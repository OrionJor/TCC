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5_6\"/>
    </mc:Choice>
  </mc:AlternateContent>
  <xr:revisionPtr revIDLastSave="0" documentId="8_{557F2A35-D6E6-4149-95F4-8C7793F43296}" xr6:coauthVersionLast="46" xr6:coauthVersionMax="46"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46" r:id="rId4"/>
    <sheet name="3. Veículos" sheetId="247" r:id="rId5"/>
    <sheet name="2. Distâncias" sheetId="248" r:id="rId6"/>
    <sheet name="4. Solução" sheetId="249" r:id="rId7"/>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9" l="1"/>
  <c r="I5" i="249"/>
  <c r="B5" i="249"/>
  <c r="D21" i="248"/>
  <c r="D41" i="248"/>
  <c r="D61" i="248"/>
  <c r="D81" i="248"/>
  <c r="D101" i="248"/>
  <c r="D121" i="248"/>
  <c r="D141" i="248"/>
  <c r="D161" i="248"/>
  <c r="D181" i="248"/>
  <c r="D201" i="248"/>
  <c r="D221" i="248"/>
  <c r="D241" i="248"/>
  <c r="D261" i="248"/>
  <c r="D281" i="248"/>
  <c r="D301" i="248"/>
  <c r="D321" i="248"/>
  <c r="D341" i="248"/>
  <c r="D361" i="248"/>
  <c r="D20" i="248"/>
  <c r="D344" i="248"/>
  <c r="D343" i="248"/>
  <c r="D323" i="248"/>
  <c r="D360" i="248"/>
  <c r="D324" i="248"/>
  <c r="D303" i="248"/>
  <c r="D359" i="248"/>
  <c r="D305" i="248"/>
  <c r="D340" i="248"/>
  <c r="D304" i="248"/>
  <c r="D283" i="248"/>
  <c r="D358" i="248"/>
  <c r="D286" i="248"/>
  <c r="D339" i="248"/>
  <c r="D285" i="248"/>
  <c r="D320" i="248"/>
  <c r="D284" i="248"/>
  <c r="D263" i="248"/>
  <c r="D357" i="248"/>
  <c r="D267" i="248"/>
  <c r="D338" i="248"/>
  <c r="D266" i="248"/>
  <c r="D319" i="248"/>
  <c r="D265" i="248"/>
  <c r="D300" i="248"/>
  <c r="D264" i="248"/>
  <c r="D243" i="248"/>
  <c r="D356" i="248"/>
  <c r="D248" i="248"/>
  <c r="D337" i="248"/>
  <c r="D247" i="248"/>
  <c r="D318" i="248"/>
  <c r="D246" i="248"/>
  <c r="D299" i="248"/>
  <c r="D245" i="248"/>
  <c r="D280" i="248"/>
  <c r="D244" i="248"/>
  <c r="D223" i="248"/>
  <c r="D355" i="248"/>
  <c r="D229" i="248"/>
  <c r="D336" i="248"/>
  <c r="D228" i="248"/>
  <c r="D317" i="248"/>
  <c r="D227" i="248"/>
  <c r="D298" i="248"/>
  <c r="D226" i="248"/>
  <c r="D279" i="248"/>
  <c r="D225" i="248"/>
  <c r="D260" i="248"/>
  <c r="D224" i="248"/>
  <c r="D203" i="248"/>
  <c r="D354" i="248"/>
  <c r="D210" i="248"/>
  <c r="D335" i="248"/>
  <c r="D209" i="248"/>
  <c r="D316" i="248"/>
  <c r="D208" i="248"/>
  <c r="D297" i="248"/>
  <c r="D207" i="248"/>
  <c r="D278" i="248"/>
  <c r="D206" i="248"/>
  <c r="D259" i="248"/>
  <c r="D205" i="248"/>
  <c r="D240" i="248"/>
  <c r="D204" i="248"/>
  <c r="D183" i="248"/>
  <c r="D353" i="248"/>
  <c r="D191" i="248"/>
  <c r="D334" i="248"/>
  <c r="D190" i="248"/>
  <c r="D315" i="248"/>
  <c r="D189" i="248"/>
  <c r="D296" i="248"/>
  <c r="D188" i="248"/>
  <c r="D277" i="248"/>
  <c r="D187" i="248"/>
  <c r="D258" i="248"/>
  <c r="D186" i="248"/>
  <c r="D239" i="248"/>
  <c r="D185" i="248"/>
  <c r="D220" i="248"/>
  <c r="D184" i="248"/>
  <c r="D163" i="248"/>
  <c r="D352" i="248"/>
  <c r="D172" i="248"/>
  <c r="D333" i="248"/>
  <c r="D171" i="248"/>
  <c r="D314" i="248"/>
  <c r="D170" i="248"/>
  <c r="D295" i="248"/>
  <c r="D169" i="248"/>
  <c r="D276" i="248"/>
  <c r="D168" i="248"/>
  <c r="D257" i="248"/>
  <c r="D167" i="248"/>
  <c r="D238" i="248"/>
  <c r="D166" i="248"/>
  <c r="D219" i="248"/>
  <c r="D165" i="248"/>
  <c r="D200" i="248"/>
  <c r="D164" i="248"/>
  <c r="D143" i="248"/>
  <c r="D351" i="248"/>
  <c r="D153" i="248"/>
  <c r="D332" i="248"/>
  <c r="D152" i="248"/>
  <c r="D313" i="248"/>
  <c r="D151" i="248"/>
  <c r="D294" i="248"/>
  <c r="D150" i="248"/>
  <c r="D275" i="248"/>
  <c r="D149" i="248"/>
  <c r="D256" i="248"/>
  <c r="D148" i="248"/>
  <c r="D237" i="248"/>
  <c r="D147" i="248"/>
  <c r="D218" i="248"/>
  <c r="D146" i="248"/>
  <c r="D199" i="248"/>
  <c r="D145" i="248"/>
  <c r="D180" i="248"/>
  <c r="D144" i="248"/>
  <c r="D123" i="248"/>
  <c r="D350" i="248"/>
  <c r="D134" i="248"/>
  <c r="D331" i="248"/>
  <c r="D133" i="248"/>
  <c r="D312" i="248"/>
  <c r="D132" i="248"/>
  <c r="D293" i="248"/>
  <c r="D131" i="248"/>
  <c r="D274" i="248"/>
  <c r="D130" i="248"/>
  <c r="D255" i="248"/>
  <c r="D129" i="248"/>
  <c r="D236" i="248"/>
  <c r="D128" i="248"/>
  <c r="D217" i="248"/>
  <c r="D127" i="248"/>
  <c r="D198" i="248"/>
  <c r="D126" i="248"/>
  <c r="D179" i="248"/>
  <c r="D125" i="248"/>
  <c r="D160" i="248"/>
  <c r="D124" i="248"/>
  <c r="D103" i="248"/>
  <c r="D349" i="248"/>
  <c r="D115" i="248"/>
  <c r="D330" i="248"/>
  <c r="D114" i="248"/>
  <c r="D311" i="248"/>
  <c r="D113" i="248"/>
  <c r="D292" i="248"/>
  <c r="D112" i="248"/>
  <c r="D273" i="248"/>
  <c r="D111" i="248"/>
  <c r="D254" i="248"/>
  <c r="D110" i="248"/>
  <c r="D235" i="248"/>
  <c r="D109" i="248"/>
  <c r="D216" i="248"/>
  <c r="D108" i="248"/>
  <c r="D197" i="248"/>
  <c r="D107" i="248"/>
  <c r="D178" i="248"/>
  <c r="D106" i="248"/>
  <c r="D159" i="248"/>
  <c r="D105" i="248"/>
  <c r="D140" i="248"/>
  <c r="D104" i="248"/>
  <c r="D83" i="248"/>
  <c r="D348" i="248"/>
  <c r="D96" i="248"/>
  <c r="D329" i="248"/>
  <c r="D95" i="248"/>
  <c r="D310" i="248"/>
  <c r="D94" i="248"/>
  <c r="D291" i="248"/>
  <c r="D93" i="248"/>
  <c r="D272" i="248"/>
  <c r="D92" i="248"/>
  <c r="D253" i="248"/>
  <c r="D91" i="248"/>
  <c r="D234" i="248"/>
  <c r="D90" i="248"/>
  <c r="D215" i="248"/>
  <c r="D89" i="248"/>
  <c r="D196" i="248"/>
  <c r="D88" i="248"/>
  <c r="D177" i="248"/>
  <c r="D87" i="248"/>
  <c r="D158" i="248"/>
  <c r="D86" i="248"/>
  <c r="D139" i="248"/>
  <c r="D85" i="248"/>
  <c r="D120" i="248"/>
  <c r="D84" i="248"/>
  <c r="D63" i="248"/>
  <c r="D347" i="248"/>
  <c r="D77" i="248"/>
  <c r="D328" i="248"/>
  <c r="D76" i="248"/>
  <c r="D309" i="248"/>
  <c r="D75" i="248"/>
  <c r="D290" i="248"/>
  <c r="D74" i="248"/>
  <c r="D271" i="248"/>
  <c r="D73" i="248"/>
  <c r="D252" i="248"/>
  <c r="D72" i="248"/>
  <c r="D233" i="248"/>
  <c r="D71" i="248"/>
  <c r="D214" i="248"/>
  <c r="D70" i="248"/>
  <c r="D195" i="248"/>
  <c r="D69" i="248"/>
  <c r="D176" i="248"/>
  <c r="D68" i="248"/>
  <c r="D157" i="248"/>
  <c r="D67" i="248"/>
  <c r="D138" i="248"/>
  <c r="D66" i="248"/>
  <c r="D119" i="248"/>
  <c r="D65" i="248"/>
  <c r="D100" i="248"/>
  <c r="D64" i="248"/>
  <c r="D43" i="248"/>
  <c r="D346" i="248"/>
  <c r="D58" i="248"/>
  <c r="D327" i="248"/>
  <c r="D57" i="248"/>
  <c r="D308" i="248"/>
  <c r="D56" i="248"/>
  <c r="D289" i="248"/>
  <c r="D55" i="248"/>
  <c r="D270" i="248"/>
  <c r="D54" i="248"/>
  <c r="D251" i="248"/>
  <c r="D53" i="248"/>
  <c r="D232" i="248"/>
  <c r="D52" i="248"/>
  <c r="D213" i="248"/>
  <c r="D51" i="248"/>
  <c r="D194" i="248"/>
  <c r="D50" i="248"/>
  <c r="D175" i="248"/>
  <c r="D49" i="248"/>
  <c r="D156" i="248"/>
  <c r="D48" i="248"/>
  <c r="D137" i="248"/>
  <c r="D47" i="248"/>
  <c r="D118" i="248"/>
  <c r="D46" i="248"/>
  <c r="D99" i="248"/>
  <c r="D45" i="248"/>
  <c r="D80" i="248"/>
  <c r="D44" i="248"/>
  <c r="D23" i="248"/>
  <c r="D345" i="248"/>
  <c r="D39" i="248"/>
  <c r="D326" i="248"/>
  <c r="D38" i="248"/>
  <c r="D307" i="248"/>
  <c r="D37" i="248"/>
  <c r="D288" i="248"/>
  <c r="D36" i="248"/>
  <c r="D269" i="248"/>
  <c r="D35" i="248"/>
  <c r="D250" i="248"/>
  <c r="D34" i="248"/>
  <c r="D231" i="248"/>
  <c r="D33" i="248"/>
  <c r="D212" i="248"/>
  <c r="D32" i="248"/>
  <c r="D193" i="248"/>
  <c r="D31" i="248"/>
  <c r="D174" i="248"/>
  <c r="D30" i="248"/>
  <c r="D155" i="248"/>
  <c r="D29" i="248"/>
  <c r="D136" i="248"/>
  <c r="D28" i="248"/>
  <c r="D117" i="248"/>
  <c r="D27" i="248"/>
  <c r="D98" i="248"/>
  <c r="D26" i="248"/>
  <c r="D79" i="248"/>
  <c r="D25" i="248"/>
  <c r="D60" i="248"/>
  <c r="D24" i="248"/>
  <c r="D3" i="248"/>
  <c r="D325" i="248"/>
  <c r="D19" i="248"/>
  <c r="D306" i="248"/>
  <c r="D18" i="248"/>
  <c r="D287" i="248"/>
  <c r="D17" i="248"/>
  <c r="D268" i="248"/>
  <c r="D16" i="248"/>
  <c r="D249" i="248"/>
  <c r="D15" i="248"/>
  <c r="D230" i="248"/>
  <c r="D14" i="248"/>
  <c r="D211" i="248"/>
  <c r="D13" i="248"/>
  <c r="D192" i="248"/>
  <c r="D12" i="248"/>
  <c r="D173" i="248"/>
  <c r="D11" i="248"/>
  <c r="D154" i="248"/>
  <c r="D10" i="248"/>
  <c r="D135" i="248"/>
  <c r="D9" i="248"/>
  <c r="D116" i="248"/>
  <c r="D8" i="248"/>
  <c r="D97" i="248"/>
  <c r="D7" i="248"/>
  <c r="D78" i="248"/>
  <c r="D6" i="248"/>
  <c r="D59" i="248"/>
  <c r="D5" i="248"/>
  <c r="D40" i="248"/>
  <c r="D4" i="248"/>
  <c r="L2" i="247"/>
  <c r="D24" i="231"/>
  <c r="C24" i="249"/>
  <c r="C23" i="249"/>
  <c r="C22" i="249"/>
  <c r="C21" i="249"/>
  <c r="C20" i="249"/>
  <c r="C19" i="249"/>
  <c r="C18" i="249"/>
  <c r="C17" i="249"/>
  <c r="C16" i="249"/>
  <c r="C15" i="249"/>
  <c r="C14" i="249"/>
  <c r="C13" i="249"/>
  <c r="C5" i="249"/>
  <c r="C12" i="249"/>
  <c r="C11" i="249"/>
  <c r="C10" i="249"/>
  <c r="C9" i="249"/>
  <c r="C8" i="249"/>
  <c r="C7" i="249"/>
  <c r="C6" i="249"/>
  <c r="L6" i="249" l="1"/>
  <c r="N6" i="249" s="1"/>
  <c r="H6" i="249"/>
  <c r="F6" i="249"/>
  <c r="F7" i="249" s="1"/>
  <c r="F8" i="249" s="1"/>
  <c r="F9" i="249" s="1"/>
  <c r="F10" i="249" s="1"/>
  <c r="F11" i="249" s="1"/>
  <c r="F12" i="249" s="1"/>
  <c r="F13" i="249" s="1"/>
  <c r="F14" i="249" s="1"/>
  <c r="F15" i="249" s="1"/>
  <c r="F16" i="249" s="1"/>
  <c r="F17" i="249" s="1"/>
  <c r="F18" i="249" s="1"/>
  <c r="F19" i="249" s="1"/>
  <c r="F20" i="249" s="1"/>
  <c r="F21" i="249" s="1"/>
  <c r="F22" i="249" s="1"/>
  <c r="F23" i="249" s="1"/>
  <c r="F24" i="249" s="1"/>
  <c r="D6" i="249"/>
  <c r="M6" i="249"/>
  <c r="K6" i="249"/>
  <c r="G6" i="249"/>
  <c r="E6" i="249"/>
  <c r="L7" i="249"/>
  <c r="N7" i="249" s="1"/>
  <c r="D7" i="249"/>
  <c r="M7" i="249"/>
  <c r="K7" i="249"/>
  <c r="K8" i="249" s="1"/>
  <c r="K9" i="249" s="1"/>
  <c r="K10" i="249" s="1"/>
  <c r="K11" i="249" s="1"/>
  <c r="K12" i="249" s="1"/>
  <c r="K13" i="249" s="1"/>
  <c r="K14" i="249" s="1"/>
  <c r="K15" i="249" s="1"/>
  <c r="K16" i="249" s="1"/>
  <c r="K17" i="249" s="1"/>
  <c r="K18" i="249" s="1"/>
  <c r="K19" i="249" s="1"/>
  <c r="K20" i="249" s="1"/>
  <c r="K21" i="249" s="1"/>
  <c r="K22" i="249" s="1"/>
  <c r="K23" i="249" s="1"/>
  <c r="K24" i="249" s="1"/>
  <c r="G7" i="249"/>
  <c r="G8" i="249" s="1"/>
  <c r="G9" i="249" s="1"/>
  <c r="G10" i="249" s="1"/>
  <c r="G11" i="249" s="1"/>
  <c r="G12" i="249" s="1"/>
  <c r="G13" i="249" s="1"/>
  <c r="G14" i="249" s="1"/>
  <c r="G15" i="249" s="1"/>
  <c r="G16" i="249" s="1"/>
  <c r="G17" i="249" s="1"/>
  <c r="G18" i="249" s="1"/>
  <c r="G19" i="249" s="1"/>
  <c r="G20" i="249" s="1"/>
  <c r="G21" i="249" s="1"/>
  <c r="G22" i="249" s="1"/>
  <c r="G23" i="249" s="1"/>
  <c r="G24" i="249" s="1"/>
  <c r="E7" i="249"/>
  <c r="L8" i="249"/>
  <c r="D8" i="249"/>
  <c r="M8" i="249"/>
  <c r="E8" i="249"/>
  <c r="L9" i="249"/>
  <c r="D9" i="249"/>
  <c r="M9" i="249"/>
  <c r="E9" i="249"/>
  <c r="L10" i="249"/>
  <c r="D10" i="249"/>
  <c r="M10" i="249"/>
  <c r="E10" i="249"/>
  <c r="L11" i="249"/>
  <c r="D11" i="249"/>
  <c r="M11" i="249"/>
  <c r="E11" i="249"/>
  <c r="M12" i="249"/>
  <c r="L12" i="249"/>
  <c r="D12" i="249"/>
  <c r="E12" i="249"/>
  <c r="E5" i="249"/>
  <c r="I6" i="249"/>
  <c r="J6" i="249" s="1"/>
  <c r="D5" i="249"/>
  <c r="M13" i="249"/>
  <c r="E13" i="249"/>
  <c r="L13" i="249"/>
  <c r="D13" i="249"/>
  <c r="M14" i="249"/>
  <c r="E14" i="249"/>
  <c r="L14" i="249"/>
  <c r="D14" i="249"/>
  <c r="M15" i="249"/>
  <c r="E15" i="249"/>
  <c r="L15" i="249"/>
  <c r="D15" i="249"/>
  <c r="M16" i="249"/>
  <c r="E16" i="249"/>
  <c r="L16" i="249"/>
  <c r="D16" i="249"/>
  <c r="M17" i="249"/>
  <c r="E17" i="249"/>
  <c r="L17" i="249"/>
  <c r="D17" i="249"/>
  <c r="M18" i="249"/>
  <c r="E18" i="249"/>
  <c r="L18" i="249"/>
  <c r="D18" i="249"/>
  <c r="M19" i="249"/>
  <c r="E19" i="249"/>
  <c r="L19" i="249"/>
  <c r="D19" i="249"/>
  <c r="M20" i="249"/>
  <c r="E20" i="249"/>
  <c r="L20" i="249"/>
  <c r="D20" i="249"/>
  <c r="M21" i="249"/>
  <c r="E21" i="249"/>
  <c r="L21" i="249"/>
  <c r="D21" i="249"/>
  <c r="M22" i="249"/>
  <c r="E22" i="249"/>
  <c r="L22" i="249"/>
  <c r="D22" i="249"/>
  <c r="O23" i="249"/>
  <c r="M23" i="249"/>
  <c r="E23" i="249"/>
  <c r="L23" i="249"/>
  <c r="D23" i="249"/>
  <c r="O24" i="249"/>
  <c r="M24" i="249"/>
  <c r="E24" i="249"/>
  <c r="N24" i="249"/>
  <c r="L24" i="249"/>
  <c r="D24" i="249"/>
  <c r="I3" i="249"/>
  <c r="P24" i="249" l="1"/>
  <c r="O22" i="249"/>
  <c r="O21" i="249" s="1"/>
  <c r="O20" i="249" s="1"/>
  <c r="O19" i="249" s="1"/>
  <c r="O18" i="249" s="1"/>
  <c r="O17" i="249" s="1"/>
  <c r="O16" i="249" s="1"/>
  <c r="O15" i="249" s="1"/>
  <c r="O14" i="249" s="1"/>
  <c r="O13" i="249" s="1"/>
  <c r="O12" i="249" s="1"/>
  <c r="O11" i="249" s="1"/>
  <c r="O10" i="249" s="1"/>
  <c r="O9" i="249" s="1"/>
  <c r="O8" i="249" s="1"/>
  <c r="O7" i="249" s="1"/>
  <c r="O6" i="249" s="1"/>
  <c r="O5" i="249" s="1"/>
  <c r="P5" i="249" s="1"/>
  <c r="B1" i="249"/>
  <c r="N8" i="249"/>
  <c r="H7" i="249"/>
  <c r="I7" i="249" s="1"/>
  <c r="P7" i="249" l="1"/>
  <c r="P8" i="249"/>
  <c r="P6" i="249"/>
  <c r="N9" i="249"/>
  <c r="P9" i="249" s="1"/>
  <c r="J7" i="249"/>
  <c r="H8" i="249"/>
  <c r="I8" i="249" s="1"/>
  <c r="N10" i="249"/>
  <c r="J8" i="249" l="1"/>
  <c r="H9" i="249"/>
  <c r="I9" i="249" s="1"/>
  <c r="P10" i="249"/>
  <c r="N11" i="249"/>
  <c r="J9" i="249" l="1"/>
  <c r="H10" i="249"/>
  <c r="I10" i="249" s="1"/>
  <c r="N12" i="249"/>
  <c r="P11" i="249"/>
  <c r="J10" i="249" l="1"/>
  <c r="H11" i="249"/>
  <c r="I11" i="249" s="1"/>
  <c r="N13" i="249"/>
  <c r="P12" i="249"/>
  <c r="J11" i="249" l="1"/>
  <c r="H12" i="249"/>
  <c r="I12" i="249" s="1"/>
  <c r="P13" i="249"/>
  <c r="N14" i="249"/>
  <c r="J12" i="249" l="1"/>
  <c r="H13" i="249"/>
  <c r="I13" i="249" s="1"/>
  <c r="P14" i="249"/>
  <c r="N15" i="249"/>
  <c r="J13" i="249" l="1"/>
  <c r="H14" i="249"/>
  <c r="I14" i="249" s="1"/>
  <c r="P15" i="249"/>
  <c r="N16" i="249"/>
  <c r="J14" i="249" l="1"/>
  <c r="H15" i="249"/>
  <c r="I15" i="249" s="1"/>
  <c r="P16" i="249"/>
  <c r="N17" i="249"/>
  <c r="J15" i="249" l="1"/>
  <c r="H16" i="249"/>
  <c r="I16" i="249" s="1"/>
  <c r="P17" i="249"/>
  <c r="N18" i="249"/>
  <c r="J16" i="249" l="1"/>
  <c r="H17" i="249"/>
  <c r="I17" i="249" s="1"/>
  <c r="P18" i="249"/>
  <c r="N19" i="249"/>
  <c r="J17" i="249" l="1"/>
  <c r="H18" i="249"/>
  <c r="I18" i="249" s="1"/>
  <c r="P19" i="249"/>
  <c r="N20" i="249"/>
  <c r="J18" i="249" l="1"/>
  <c r="H19" i="249"/>
  <c r="I19" i="249" s="1"/>
  <c r="P20" i="249"/>
  <c r="N21" i="249"/>
  <c r="J19" i="249" l="1"/>
  <c r="H20" i="249"/>
  <c r="I20" i="249" s="1"/>
  <c r="P21" i="249"/>
  <c r="N22" i="249"/>
  <c r="J20" i="249" l="1"/>
  <c r="H21" i="249"/>
  <c r="I21" i="249" s="1"/>
  <c r="P22" i="249"/>
  <c r="N23" i="249"/>
  <c r="P23" i="249" s="1"/>
  <c r="J21" i="249" l="1"/>
  <c r="H22" i="249"/>
  <c r="I22" i="249" s="1"/>
  <c r="J22" i="249" l="1"/>
  <c r="H23" i="249"/>
  <c r="I23" i="249" s="1"/>
  <c r="J23" i="249" l="1"/>
  <c r="H24" i="249"/>
  <c r="I24" i="249" s="1"/>
  <c r="J24" i="249" s="1"/>
</calcChain>
</file>

<file path=xl/sharedStrings.xml><?xml version="1.0" encoding="utf-8"?>
<sst xmlns="http://schemas.openxmlformats.org/spreadsheetml/2006/main" count="5122" uniqueCount="4025">
  <si>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</si>
  <si>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</si>
  <si>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</si>
  <si>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</si>
  <si>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</si>
  <si>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</si>
  <si>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</si>
  <si>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</si>
  <si>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</si>
  <si>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</si>
  <si>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</si>
  <si>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</si>
  <si>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</si>
  <si>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</si>
  <si>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</si>
  <si>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</si>
  <si>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</si>
  <si>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</si>
  <si>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</si>
  <si>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</si>
  <si>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</si>
  <si>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</si>
  <si>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</si>
  <si>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</si>
  <si>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</si>
  <si>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</si>
  <si>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</si>
  <si>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</si>
  <si>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</si>
  <si>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</si>
  <si>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</si>
  <si>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</si>
  <si>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</si>
  <si>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</si>
  <si>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</si>
  <si>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</si>
  <si>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</si>
  <si>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</si>
  <si>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</si>
  <si>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</si>
  <si>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</si>
  <si>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</si>
  <si>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</si>
  <si>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</si>
  <si>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</si>
  <si>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</si>
  <si>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</si>
  <si>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</si>
  <si>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</si>
  <si>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</si>
  <si>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</si>
  <si>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</si>
  <si>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</si>
  <si>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</si>
  <si>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</si>
  <si>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</si>
  <si>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</si>
  <si>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</si>
  <si>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</si>
  <si>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</si>
  <si>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</si>
  <si>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</si>
  <si>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</si>
  <si>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</si>
  <si>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</si>
  <si>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</si>
  <si>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</si>
  <si>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</si>
  <si>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</si>
  <si>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</si>
  <si>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</si>
  <si>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</si>
  <si>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</si>
  <si>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</si>
  <si>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</si>
  <si>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</si>
  <si>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</si>
  <si>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</si>
  <si>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</si>
  <si>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</si>
  <si>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</si>
  <si>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</si>
  <si>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</si>
  <si>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</si>
  <si>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</si>
  <si>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</si>
  <si>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</si>
  <si>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</si>
  <si>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</si>
  <si>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</si>
  <si>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</si>
  <si>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</si>
  <si>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</si>
  <si>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</si>
  <si>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</si>
  <si>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</si>
  <si>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</si>
  <si>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</si>
  <si>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</si>
  <si>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</si>
  <si>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</si>
  <si>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</si>
  <si>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</si>
  <si>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</si>
  <si>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</si>
  <si>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</si>
  <si>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</si>
  <si>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</si>
  <si>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</si>
  <si>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</si>
  <si>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</si>
  <si>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</si>
  <si>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</si>
  <si>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</si>
  <si>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</si>
  <si>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</si>
  <si>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</si>
  <si>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</si>
  <si>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</si>
  <si>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</si>
  <si>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</si>
  <si>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</si>
  <si>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</si>
  <si>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</si>
  <si>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</si>
  <si>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</si>
  <si>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</si>
  <si>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</si>
  <si>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</si>
  <si>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</si>
  <si>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</si>
  <si>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</si>
  <si>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</si>
  <si>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</si>
  <si>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</si>
  <si>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</si>
  <si>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</si>
  <si>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</si>
  <si>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</si>
  <si>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</si>
  <si>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</si>
  <si>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</si>
  <si>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</si>
  <si>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</si>
  <si>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</si>
  <si>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</si>
  <si>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</si>
  <si>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</si>
  <si>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</si>
  <si>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</si>
  <si>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</si>
  <si>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</si>
  <si>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</si>
  <si>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</si>
  <si>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</si>
  <si>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</si>
  <si>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</si>
  <si>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</si>
  <si>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</si>
  <si>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</si>
  <si>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</si>
  <si>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</si>
  <si>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</si>
  <si>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</si>
  <si>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</si>
  <si>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</si>
  <si>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</si>
  <si>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</si>
  <si>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</si>
  <si>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</si>
  <si>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</si>
  <si>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</si>
  <si>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</si>
  <si>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</si>
  <si>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</si>
  <si>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</si>
  <si>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</si>
  <si>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</si>
  <si>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</si>
  <si>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</si>
  <si>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</si>
  <si>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</si>
  <si>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</si>
  <si>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</si>
  <si>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</si>
  <si>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</si>
  <si>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</si>
  <si>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</si>
  <si>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</si>
  <si>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</si>
  <si>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</si>
  <si>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</si>
  <si>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</si>
  <si>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</si>
  <si>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</si>
  <si>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</si>
  <si>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</si>
  <si>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</si>
  <si>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</si>
  <si>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</si>
  <si>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</si>
  <si>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</si>
  <si>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</si>
  <si>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</si>
  <si>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</si>
  <si>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</si>
  <si>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</si>
  <si>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</si>
  <si>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</si>
  <si>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</si>
  <si>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</si>
  <si>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</si>
  <si>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</si>
  <si>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</si>
  <si>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</si>
  <si>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</si>
  <si>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</si>
  <si>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</si>
  <si>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</si>
  <si>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</si>
  <si>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</si>
  <si>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</si>
  <si>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</si>
  <si>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</si>
  <si>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</si>
  <si>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</si>
  <si>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</si>
  <si>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</si>
  <si>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</si>
  <si>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</si>
  <si>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</si>
  <si>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</si>
  <si>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</si>
  <si>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</si>
  <si>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</si>
  <si>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</si>
  <si>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</si>
  <si>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</si>
  <si>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</si>
  <si>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</si>
  <si>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</si>
  <si>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</si>
  <si>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</si>
  <si>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</si>
  <si>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</si>
  <si>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</si>
  <si>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</si>
  <si>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</si>
  <si>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</si>
  <si>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</si>
  <si>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</si>
  <si>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</si>
  <si>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</si>
  <si>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</si>
  <si>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</si>
  <si>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</si>
  <si>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</si>
  <si>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</si>
  <si>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</si>
  <si>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</si>
  <si>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</si>
  <si>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</si>
  <si>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</si>
  <si>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</si>
  <si>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</si>
  <si>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</si>
  <si>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</si>
  <si>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</si>
  <si>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</si>
  <si>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</si>
  <si>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</si>
  <si>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</si>
  <si>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</si>
  <si>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</si>
  <si>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</si>
  <si>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</si>
  <si>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</si>
  <si>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</si>
  <si>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</si>
  <si>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</si>
  <si>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</si>
  <si>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</si>
  <si>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</si>
  <si>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</si>
  <si>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</si>
  <si>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</si>
  <si>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</si>
  <si>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</si>
  <si>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</si>
  <si>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</si>
  <si>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</si>
  <si>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</si>
  <si>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</si>
  <si>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</si>
  <si>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</si>
  <si>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</si>
  <si>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</si>
  <si>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</si>
  <si>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</si>
  <si>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</si>
  <si>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</si>
  <si>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</si>
  <si>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</si>
  <si>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</si>
  <si>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</si>
  <si>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</si>
  <si>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</si>
  <si>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</si>
  <si>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</si>
  <si>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</si>
  <si>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</si>
  <si>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</si>
  <si>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</si>
  <si>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</si>
  <si>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</si>
  <si>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</si>
  <si>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</si>
  <si>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</si>
  <si>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</si>
  <si>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</si>
  <si>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</si>
  <si>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</si>
  <si>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</si>
  <si>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</si>
  <si>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</si>
  <si>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</si>
  <si>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</si>
  <si>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</si>
  <si>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</si>
  <si>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</si>
  <si>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</si>
  <si>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</si>
  <si>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</si>
  <si>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</si>
  <si>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</si>
  <si>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</si>
  <si>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</si>
  <si>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</si>
  <si>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</si>
  <si>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</si>
  <si>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</si>
  <si>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</si>
  <si>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</si>
  <si>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</si>
  <si>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</si>
  <si>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</si>
  <si>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</si>
  <si>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</si>
  <si>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</si>
  <si>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</si>
  <si>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</si>
  <si>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</si>
  <si>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</si>
  <si>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</si>
  <si>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</si>
  <si>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</si>
  <si>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</si>
  <si>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</si>
  <si>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</si>
  <si>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</si>
  <si>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</si>
  <si>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</si>
  <si>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</si>
  <si>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</si>
  <si>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</si>
  <si>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</si>
  <si>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</si>
  <si>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</si>
  <si>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</si>
  <si>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</si>
  <si>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</si>
  <si>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</si>
  <si>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</si>
  <si>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</si>
  <si>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</si>
  <si>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</si>
  <si>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</si>
  <si>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</si>
  <si>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</si>
  <si>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</si>
  <si>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</si>
  <si>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</si>
  <si>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</si>
  <si>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</si>
  <si>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</si>
  <si>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</si>
  <si>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</si>
  <si>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</si>
  <si>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</si>
  <si>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</si>
  <si>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</si>
  <si>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</si>
  <si>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</si>
  <si>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</si>
  <si>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</si>
  <si>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</si>
  <si>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</si>
  <si>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</si>
  <si>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</si>
  <si>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</si>
  <si>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</si>
  <si>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</si>
  <si>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</si>
  <si>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</si>
  <si>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</si>
  <si>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</si>
  <si>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</si>
  <si>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</si>
  <si>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</si>
  <si>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</si>
  <si>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</si>
  <si>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</si>
  <si>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</si>
  <si>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</si>
  <si>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</si>
  <si>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</si>
  <si>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</si>
  <si>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</si>
  <si>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</si>
  <si>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</si>
  <si>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</si>
  <si>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</si>
  <si>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</si>
  <si>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</si>
  <si>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</si>
  <si>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</si>
  <si>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</si>
  <si>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</si>
  <si>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</si>
  <si>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</si>
  <si>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</si>
  <si>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</si>
  <si>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</si>
  <si>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</si>
  <si>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</si>
  <si>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</si>
  <si>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</si>
  <si>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</si>
  <si>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</si>
  <si>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</si>
  <si>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</si>
  <si>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</si>
  <si>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</si>
  <si>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</si>
  <si>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</si>
  <si>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</si>
  <si>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</si>
  <si>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</si>
  <si>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</si>
  <si>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</si>
  <si>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</si>
  <si>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</si>
  <si>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</si>
  <si>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</si>
  <si>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</si>
  <si>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</si>
  <si>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</si>
  <si>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</si>
  <si>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</si>
  <si>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</si>
  <si>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</si>
  <si>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</si>
  <si>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</si>
  <si>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</si>
  <si>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</si>
  <si>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</si>
  <si>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</si>
  <si>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</si>
  <si>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</si>
  <si>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</si>
  <si>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</si>
  <si>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</si>
  <si>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</si>
  <si>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</si>
  <si>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</si>
  <si>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</si>
  <si>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</si>
  <si>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</si>
  <si>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</si>
  <si>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</si>
  <si>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</si>
  <si>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</si>
  <si>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</si>
  <si>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</si>
  <si>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</si>
  <si>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</si>
  <si>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</si>
  <si>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</si>
  <si>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</si>
  <si>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</si>
  <si>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</si>
  <si>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</si>
  <si>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</si>
  <si>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</si>
  <si>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</si>
  <si>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</si>
  <si>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</si>
  <si>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</si>
  <si>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</si>
  <si>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</si>
  <si>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</si>
  <si>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</si>
  <si>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</si>
  <si>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</si>
  <si>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</si>
  <si>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</si>
  <si>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</si>
  <si>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</si>
  <si>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</si>
  <si>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</si>
  <si>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</si>
  <si>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</si>
  <si>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</si>
  <si>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</si>
  <si>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</si>
  <si>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</si>
  <si>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</si>
  <si>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</si>
  <si>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</si>
  <si>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</si>
  <si>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</si>
  <si>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</si>
  <si>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</si>
  <si>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</si>
  <si>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</si>
  <si>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</si>
  <si>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</si>
  <si>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</si>
  <si>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</si>
  <si>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</si>
  <si>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</si>
  <si>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</si>
  <si>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</si>
  <si>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</si>
  <si>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</si>
  <si>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</si>
  <si>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</si>
  <si>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</si>
  <si>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</si>
  <si>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</si>
  <si>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</si>
  <si>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</si>
  <si>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</si>
  <si>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</si>
  <si>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</si>
  <si>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</si>
  <si>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</si>
  <si>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</si>
  <si>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</si>
  <si>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</si>
  <si>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</si>
  <si>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</si>
  <si>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</si>
  <si>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</si>
  <si>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</si>
  <si>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</si>
  <si>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</si>
  <si>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</si>
  <si>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</si>
  <si>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</si>
  <si>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</si>
  <si>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</si>
  <si>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</si>
  <si>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</si>
  <si>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</si>
  <si>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</si>
  <si>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</si>
  <si>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</si>
  <si>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</si>
  <si>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</si>
  <si>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</si>
  <si>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</si>
  <si>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</si>
  <si>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</si>
  <si>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</si>
  <si>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</si>
  <si>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</si>
  <si>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</si>
  <si>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</si>
  <si>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</si>
  <si>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</si>
  <si>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</si>
  <si>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</si>
  <si>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</si>
  <si>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</si>
  <si>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</si>
  <si>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</si>
  <si>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</si>
  <si>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</si>
  <si>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</si>
  <si>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</si>
  <si>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</si>
  <si>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</si>
  <si>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</si>
  <si>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</si>
  <si>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</si>
  <si>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</si>
  <si>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</si>
  <si>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</si>
  <si>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</si>
  <si>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</si>
  <si>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</si>
  <si>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</si>
  <si>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</si>
  <si>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</si>
  <si>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</si>
  <si>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</si>
  <si>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</si>
  <si>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</si>
  <si>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</si>
  <si>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</si>
  <si>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</si>
  <si>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</si>
  <si>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</si>
  <si>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</si>
  <si>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</si>
  <si>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</si>
  <si>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</si>
  <si>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</si>
  <si>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</si>
  <si>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</si>
  <si>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</si>
  <si>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</si>
  <si>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</si>
  <si>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</si>
  <si>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</si>
  <si>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</si>
  <si>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</si>
  <si>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</si>
  <si>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</si>
  <si>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</si>
  <si>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</si>
  <si>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</si>
  <si>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</si>
  <si>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</si>
  <si>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</si>
  <si>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</si>
  <si>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</si>
  <si>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</si>
  <si>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</si>
  <si>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</si>
  <si>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</si>
  <si>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</si>
  <si>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</si>
  <si>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</si>
  <si>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</si>
  <si>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</si>
  <si>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</si>
  <si>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</si>
  <si>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</si>
  <si>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</si>
  <si>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</si>
  <si>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</si>
  <si>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</si>
  <si>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</si>
  <si>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</si>
  <si>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</si>
  <si>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</si>
  <si>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</si>
  <si>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</si>
  <si>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</si>
  <si>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</si>
  <si>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</si>
  <si>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</si>
  <si>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</si>
  <si>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</si>
  <si>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</si>
  <si>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</si>
  <si>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</si>
  <si>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</si>
  <si>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</si>
  <si>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</si>
  <si>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</si>
  <si>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</si>
  <si>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</si>
  <si>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</si>
  <si>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</si>
  <si>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</si>
  <si>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</si>
  <si>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</si>
  <si>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</si>
  <si>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</si>
  <si>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</si>
  <si>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</si>
  <si>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</si>
  <si>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</si>
  <si>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</si>
  <si>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</si>
  <si>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</si>
  <si>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</si>
  <si>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</si>
  <si>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</si>
  <si>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</si>
  <si>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</si>
  <si>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</si>
  <si>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</si>
  <si>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</si>
  <si>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</si>
  <si>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</si>
  <si>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</si>
  <si>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</si>
  <si>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</si>
  <si>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</si>
  <si>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</si>
  <si>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</si>
  <si>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</si>
  <si>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</si>
  <si>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</si>
  <si>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</si>
  <si>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</si>
  <si>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</si>
  <si>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</si>
  <si>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</si>
  <si>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</si>
  <si>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</si>
  <si>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</si>
  <si>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</si>
  <si>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</si>
  <si>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</si>
  <si>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</si>
  <si>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</si>
  <si>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</si>
  <si>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</si>
  <si>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</si>
  <si>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</si>
  <si>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</si>
  <si>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</si>
  <si>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</si>
  <si>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</si>
  <si>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</si>
  <si>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</si>
  <si>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</si>
  <si>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</si>
  <si>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</si>
  <si>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</si>
  <si>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</si>
  <si>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</si>
  <si>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</si>
  <si>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</si>
  <si>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</si>
  <si>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</si>
  <si>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</si>
  <si>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</si>
  <si>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</si>
  <si>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</si>
  <si>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</si>
  <si>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</si>
  <si>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</si>
  <si>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</si>
  <si>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</si>
  <si>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</si>
  <si>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</si>
  <si>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</si>
  <si>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</si>
  <si>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</si>
  <si>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</si>
  <si>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</si>
  <si>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</si>
  <si>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</si>
  <si>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</si>
  <si>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</si>
  <si>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</si>
  <si>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</si>
  <si>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</si>
  <si>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</si>
  <si>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</si>
  <si>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</si>
  <si>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</si>
  <si>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</si>
  <si>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</si>
  <si>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</si>
  <si>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</si>
  <si>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</si>
  <si>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</si>
  <si>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</si>
  <si>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</si>
  <si>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</si>
  <si>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</si>
  <si>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</si>
  <si>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</si>
  <si>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</si>
  <si>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</si>
  <si>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</si>
  <si>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</si>
  <si>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</si>
  <si>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</si>
  <si>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</si>
  <si>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</si>
  <si>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</si>
  <si>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</si>
  <si>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</si>
  <si>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</si>
  <si>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</si>
  <si>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</si>
  <si>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</si>
  <si>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</si>
  <si>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</si>
  <si>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</si>
  <si>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</si>
  <si>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</si>
  <si>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</si>
  <si>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</si>
  <si>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</si>
  <si>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</si>
  <si>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</si>
  <si>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</si>
  <si>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</si>
  <si>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</si>
  <si>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</si>
  <si>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</si>
  <si>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</si>
  <si>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</si>
  <si>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</si>
  <si>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</si>
  <si>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</si>
  <si>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</si>
  <si>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</si>
  <si>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</si>
  <si>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</si>
  <si>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</si>
  <si>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</si>
  <si>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</si>
  <si>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</si>
  <si>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</si>
  <si>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</si>
  <si>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</si>
  <si>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</si>
  <si>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</si>
  <si>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</si>
  <si>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</si>
  <si>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</si>
  <si>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</si>
  <si>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</si>
  <si>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</si>
  <si>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</si>
  <si>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</si>
  <si>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</si>
  <si>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</si>
  <si>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</si>
  <si>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</si>
  <si>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</si>
  <si>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</si>
  <si>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</si>
  <si>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</si>
  <si>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</si>
  <si>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</si>
  <si>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</si>
  <si>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</si>
  <si>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</si>
  <si>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</si>
  <si>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</si>
  <si>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</si>
  <si>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</si>
  <si>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</si>
  <si>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</si>
  <si>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</si>
  <si>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</si>
  <si>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</si>
  <si>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</si>
  <si>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</si>
  <si>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</si>
  <si>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</si>
  <si>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</si>
  <si>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</si>
  <si>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</si>
  <si>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</si>
  <si>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</si>
  <si>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</si>
  <si>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</si>
  <si>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</si>
  <si>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</si>
  <si>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</si>
  <si>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</si>
  <si>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</si>
  <si>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</si>
  <si>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</si>
  <si>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</si>
  <si>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</si>
  <si>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</si>
  <si>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</si>
  <si>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</si>
  <si>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</si>
  <si>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</si>
  <si>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</si>
  <si>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</si>
  <si>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</si>
  <si>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</si>
  <si>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</si>
  <si>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</si>
  <si>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</si>
  <si>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</si>
  <si>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</si>
  <si>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</si>
  <si>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</si>
  <si>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</si>
  <si>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</si>
  <si>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</si>
  <si>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</si>
  <si>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</si>
  <si>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</si>
  <si>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</si>
  <si>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</si>
  <si>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</si>
  <si>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</si>
  <si>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</si>
  <si>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</si>
  <si>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</si>
  <si>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</si>
  <si>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</si>
  <si>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</si>
  <si>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</si>
  <si>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</si>
  <si>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</si>
  <si>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</si>
  <si>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</si>
  <si>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</si>
  <si>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</si>
  <si>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</si>
  <si>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</si>
  <si>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</si>
  <si>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</si>
  <si>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</si>
  <si>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</si>
  <si>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</si>
  <si>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</si>
  <si>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</si>
  <si>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</si>
  <si>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</si>
  <si>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</si>
  <si>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</si>
  <si>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</si>
  <si>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</si>
  <si>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</si>
  <si>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</si>
  <si>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</si>
  <si>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</si>
  <si>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</si>
  <si>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</si>
  <si>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</si>
  <si>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</si>
  <si>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</si>
  <si>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</si>
  <si>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</si>
  <si>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</si>
  <si>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</si>
  <si>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</si>
  <si>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</si>
  <si>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</si>
  <si>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</si>
  <si>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</si>
  <si>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</si>
  <si>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</si>
  <si>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</si>
  <si>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</si>
  <si>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</si>
  <si>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</si>
  <si>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</si>
  <si>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</si>
  <si>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</si>
  <si>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</si>
  <si>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</si>
  <si>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</si>
  <si>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</si>
  <si>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</si>
  <si>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</si>
  <si>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</si>
  <si>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</si>
  <si>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</si>
  <si>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</si>
  <si>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</si>
  <si>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</si>
  <si>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</si>
  <si>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</si>
  <si>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</si>
  <si>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</si>
  <si>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</si>
  <si>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</si>
  <si>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</si>
  <si>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</si>
  <si>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</si>
  <si>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</si>
  <si>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</si>
  <si>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</si>
  <si>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</si>
  <si>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</si>
  <si>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</si>
  <si>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</si>
  <si>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</si>
  <si>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</si>
  <si>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</si>
  <si>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</si>
  <si>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</si>
  <si>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</si>
  <si>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</si>
  <si>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</si>
  <si>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</si>
  <si>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</si>
  <si>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</si>
  <si>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</si>
  <si>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</si>
  <si>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</si>
  <si>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</si>
  <si>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</si>
  <si>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</si>
  <si>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</si>
  <si>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</si>
  <si>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</si>
  <si>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</si>
  <si>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</si>
  <si>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</si>
  <si>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</si>
  <si>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</si>
  <si>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</si>
  <si>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</si>
  <si>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</si>
  <si>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</si>
  <si>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</si>
  <si>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</si>
  <si>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</si>
  <si>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</si>
  <si>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</si>
  <si>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</si>
  <si>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</si>
  <si>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</si>
  <si>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</si>
  <si>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</si>
  <si>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</si>
  <si>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</si>
  <si>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</si>
  <si>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</si>
  <si>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</si>
  <si>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</si>
  <si>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</si>
  <si>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</si>
  <si>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</si>
  <si>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</si>
  <si>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</si>
  <si>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</si>
  <si>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</si>
  <si>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</si>
  <si>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</si>
  <si>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</si>
  <si>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</si>
  <si>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</si>
  <si>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</si>
  <si>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</si>
  <si>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</si>
  <si>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</si>
  <si>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</si>
  <si>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</si>
  <si>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</si>
  <si>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</si>
  <si>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</si>
  <si>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</si>
  <si>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</si>
  <si>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</si>
  <si>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</si>
  <si>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</si>
  <si>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</si>
  <si>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</si>
  <si>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</si>
  <si>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</si>
  <si>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</si>
  <si>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</si>
  <si>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</si>
  <si>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</si>
  <si>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</si>
  <si>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</si>
  <si>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</si>
  <si>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</si>
  <si>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</si>
  <si>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</si>
  <si>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</si>
  <si>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</si>
  <si>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</si>
  <si>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</si>
  <si>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</si>
  <si>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</si>
  <si>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</si>
  <si>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</si>
  <si>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</si>
  <si>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</si>
  <si>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</si>
  <si>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</si>
  <si>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</si>
  <si>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</si>
  <si>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</si>
  <si>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</si>
  <si>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</si>
  <si>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</si>
  <si>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</si>
  <si>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</si>
  <si>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</si>
  <si>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</si>
  <si>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</si>
  <si>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</si>
  <si>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</si>
  <si>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</si>
  <si>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</si>
  <si>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</si>
  <si>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</si>
  <si>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</si>
  <si>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</si>
  <si>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</si>
  <si>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</si>
  <si>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</si>
  <si>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</si>
  <si>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</si>
  <si>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</si>
  <si>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</si>
  <si>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</si>
  <si>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</si>
  <si>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</si>
  <si>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</si>
  <si>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</si>
  <si>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</si>
  <si>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</si>
  <si>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</si>
  <si>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</si>
  <si>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</si>
  <si>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</si>
  <si>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</si>
  <si>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</si>
  <si>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</si>
  <si>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</si>
  <si>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</si>
  <si>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</si>
  <si>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</si>
  <si>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</si>
  <si>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</si>
  <si>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</si>
  <si>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</si>
  <si>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</si>
  <si>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</si>
  <si>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</si>
  <si>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</si>
  <si>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</si>
  <si>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</si>
  <si>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</si>
  <si>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</si>
  <si>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</si>
  <si>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</si>
  <si>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</si>
  <si>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</si>
  <si>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</si>
  <si>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</si>
  <si>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</si>
  <si>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</si>
  <si>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</si>
  <si>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</si>
  <si>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</si>
  <si>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</si>
  <si>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</si>
  <si>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</si>
  <si>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</si>
  <si>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</si>
  <si>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</si>
  <si>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</si>
  <si>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</si>
  <si>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</si>
  <si>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</si>
  <si>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</si>
  <si>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</si>
  <si>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</si>
  <si>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</si>
  <si>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</si>
  <si>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</si>
  <si>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</si>
  <si>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</si>
  <si>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</si>
  <si>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</si>
  <si>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</si>
  <si>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</si>
  <si>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</si>
  <si>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</si>
  <si>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</si>
  <si>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</si>
  <si>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</si>
  <si>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</si>
  <si>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</si>
  <si>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</si>
  <si>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</si>
  <si>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</si>
  <si>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</si>
  <si>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</si>
  <si>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</si>
  <si>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</si>
  <si>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</si>
  <si>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</si>
  <si>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</si>
  <si>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</si>
  <si>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</si>
  <si>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</si>
  <si>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</si>
  <si>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</si>
  <si>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</si>
  <si>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</si>
  <si>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</si>
  <si>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</si>
  <si>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</si>
  <si>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</si>
  <si>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</si>
  <si>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</si>
  <si>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</si>
  <si>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</si>
  <si>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</si>
  <si>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</si>
  <si>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</si>
  <si>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</si>
  <si>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</si>
  <si>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</si>
  <si>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</si>
  <si>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</si>
  <si>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</si>
  <si>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</si>
  <si>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</si>
  <si>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</si>
  <si>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</si>
  <si>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</si>
  <si>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</si>
  <si>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</si>
  <si>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</si>
  <si>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</si>
  <si>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</si>
  <si>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</si>
  <si>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</si>
  <si>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</si>
  <si>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</si>
  <si>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</si>
  <si>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</si>
  <si>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</si>
  <si>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</si>
  <si>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</si>
  <si>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</si>
  <si>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</si>
  <si>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</si>
  <si>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</si>
  <si>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</si>
  <si>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</si>
  <si>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</si>
  <si>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</si>
  <si>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</si>
  <si>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</si>
  <si>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</si>
  <si>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</si>
  <si>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</si>
  <si>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</si>
  <si>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</si>
  <si>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</si>
  <si>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</si>
  <si>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</si>
  <si>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</si>
  <si>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</si>
  <si>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</si>
  <si>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</si>
  <si>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</si>
  <si>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</si>
  <si>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</si>
  <si>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</si>
  <si>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</si>
  <si>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</si>
  <si>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</si>
  <si>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</si>
  <si>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</si>
  <si>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</si>
  <si>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</si>
  <si>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</si>
  <si>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</si>
  <si>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</si>
  <si>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</si>
  <si>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</si>
  <si>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</si>
  <si>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</si>
  <si>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</si>
  <si>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</si>
  <si>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</si>
  <si>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</si>
  <si>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</si>
  <si>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</si>
  <si>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</si>
  <si>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</si>
  <si>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</si>
  <si>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</si>
  <si>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</si>
  <si>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</si>
  <si>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</si>
  <si>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</si>
  <si>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</si>
  <si>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</si>
  <si>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</si>
  <si>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</si>
  <si>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</si>
  <si>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</si>
  <si>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</si>
  <si>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</si>
  <si>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</si>
  <si>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</si>
  <si>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</si>
  <si>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</si>
  <si>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</si>
  <si>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</si>
  <si>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</si>
  <si>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</si>
  <si>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</si>
  <si>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</si>
  <si>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</si>
  <si>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</si>
  <si>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</si>
  <si>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</si>
  <si>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</si>
  <si>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</si>
  <si>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</si>
  <si>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</si>
  <si>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</si>
  <si>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</si>
  <si>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</si>
  <si>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</si>
  <si>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</si>
  <si>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</si>
  <si>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</si>
  <si>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</si>
  <si>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</si>
  <si>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</si>
  <si>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</si>
  <si>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</si>
  <si>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</si>
  <si>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</si>
  <si>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</si>
  <si>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</si>
  <si>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</si>
  <si>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</si>
  <si>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</si>
  <si>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</si>
  <si>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</si>
  <si>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</si>
  <si>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</si>
  <si>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</si>
  <si>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</si>
  <si>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</si>
  <si>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</si>
  <si>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</si>
  <si>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</si>
  <si>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</si>
  <si>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</si>
  <si>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</si>
  <si>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</si>
  <si>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</si>
  <si>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</si>
  <si>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</si>
  <si>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</si>
  <si>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</si>
  <si>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</si>
  <si>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</si>
  <si>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</si>
  <si>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</si>
  <si>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</si>
  <si>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</si>
  <si>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</si>
  <si>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</si>
  <si>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</si>
  <si>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</si>
  <si>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</si>
  <si>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</si>
  <si>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</si>
  <si>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</si>
  <si>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</si>
  <si>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</si>
  <si>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</si>
  <si>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</si>
  <si>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</si>
  <si>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</si>
  <si>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</si>
  <si>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</si>
  <si>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</si>
  <si>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</si>
  <si>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</si>
  <si>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</si>
  <si>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</si>
  <si>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</si>
  <si>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</si>
  <si>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</si>
  <si>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</si>
  <si>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</si>
  <si>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</si>
  <si>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</si>
  <si>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</si>
  <si>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</si>
  <si>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</si>
  <si>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</si>
  <si>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</si>
  <si>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</si>
  <si>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</si>
  <si>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</si>
  <si>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</si>
  <si>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</si>
  <si>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</si>
  <si>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</si>
  <si>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</si>
  <si>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</si>
  <si>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</si>
  <si>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</si>
  <si>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</si>
  <si>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</si>
  <si>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</si>
  <si>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</si>
  <si>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</si>
  <si>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</si>
  <si>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</si>
  <si>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</si>
  <si>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</si>
  <si>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</si>
  <si>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</si>
  <si>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</si>
  <si>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</si>
  <si>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</si>
  <si>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</si>
  <si>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</si>
  <si>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</si>
  <si>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</si>
  <si>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</si>
  <si>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</si>
  <si>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</si>
  <si>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</si>
  <si>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</si>
  <si>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</si>
  <si>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</si>
  <si>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</si>
  <si>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</si>
  <si>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</si>
  <si>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</si>
  <si>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</si>
  <si>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</si>
  <si>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</si>
  <si>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</si>
  <si>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</si>
  <si>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</si>
  <si>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</si>
  <si>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</si>
  <si>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</si>
  <si>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</si>
  <si>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</si>
  <si>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</si>
  <si>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</si>
  <si>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</si>
  <si>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</si>
  <si>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</si>
  <si>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</si>
  <si>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</si>
  <si>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</si>
  <si>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</si>
  <si>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</si>
  <si>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</si>
  <si>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</si>
  <si>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</si>
  <si>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</si>
  <si>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</si>
  <si>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</si>
  <si>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</si>
  <si>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</si>
  <si>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</si>
  <si>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</si>
  <si>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</si>
  <si>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</si>
  <si>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</si>
  <si>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</si>
  <si>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</si>
  <si>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</si>
  <si>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</si>
  <si>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</si>
  <si>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</si>
  <si>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</si>
  <si>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</si>
  <si>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</si>
  <si>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</si>
  <si>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</si>
  <si>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</si>
  <si>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</si>
  <si>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</si>
  <si>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</si>
  <si>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</si>
  <si>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</si>
  <si>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</si>
  <si>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</si>
  <si>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</si>
  <si>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</si>
  <si>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</si>
  <si>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</si>
  <si>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</si>
  <si>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</si>
  <si>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</si>
  <si>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</si>
  <si>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</si>
  <si>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</si>
  <si>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</si>
  <si>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</si>
  <si>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</si>
  <si>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</si>
  <si>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</si>
  <si>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</si>
  <si>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</si>
  <si>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</si>
  <si>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</si>
  <si>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</si>
  <si>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</si>
  <si>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</si>
  <si>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</si>
  <si>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</si>
  <si>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</si>
  <si>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</si>
  <si>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</si>
  <si>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</si>
  <si>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</si>
  <si>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</si>
  <si>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</si>
  <si>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</si>
  <si>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</si>
  <si>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</si>
  <si>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</si>
  <si>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</si>
  <si>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</si>
  <si>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</si>
  <si>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</si>
  <si>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</si>
  <si>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</si>
  <si>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</si>
  <si>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</si>
  <si>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</si>
  <si>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</si>
  <si>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</si>
  <si>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</si>
  <si>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</si>
  <si>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</si>
  <si>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</si>
  <si>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</si>
  <si>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</si>
  <si>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</si>
  <si>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</si>
  <si>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</si>
  <si>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</si>
  <si>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</si>
  <si>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</si>
  <si>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</si>
  <si>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</si>
  <si>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</si>
  <si>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</si>
  <si>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</si>
  <si>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</si>
  <si>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</si>
  <si>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</si>
  <si>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</si>
  <si>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</si>
  <si>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</si>
  <si>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</si>
  <si>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</si>
  <si>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</si>
  <si>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</si>
  <si>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</si>
  <si>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</si>
  <si>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</si>
  <si>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</si>
  <si>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</si>
  <si>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</si>
  <si>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</si>
  <si>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</si>
  <si>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</si>
  <si>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</si>
  <si>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</si>
  <si>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</si>
  <si>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</si>
  <si>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</si>
  <si>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</si>
  <si>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</si>
  <si>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</si>
  <si>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</si>
  <si>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</si>
  <si>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</si>
  <si>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</si>
  <si>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</si>
  <si>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</si>
  <si>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</si>
  <si>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</si>
  <si>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</si>
  <si>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</si>
  <si>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</si>
  <si>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</si>
  <si>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</si>
  <si>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</si>
  <si>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</si>
  <si>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</si>
  <si>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</si>
  <si>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</si>
  <si>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</si>
  <si>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</si>
  <si>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</si>
  <si>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</si>
  <si>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</si>
  <si>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</si>
  <si>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</si>
  <si>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</si>
  <si>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</si>
  <si>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</si>
  <si>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</si>
  <si>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</si>
  <si>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</si>
  <si>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</si>
  <si>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</si>
  <si>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</si>
  <si>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</si>
  <si>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</si>
  <si>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</si>
  <si>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</si>
  <si>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</si>
  <si>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</si>
  <si>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</si>
  <si>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</si>
  <si>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</si>
  <si>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</si>
  <si>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</si>
  <si>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</si>
  <si>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</si>
  <si>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</si>
  <si>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</si>
  <si>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</si>
  <si>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</si>
  <si>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</si>
  <si>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</si>
  <si>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</si>
  <si>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</si>
  <si>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</si>
  <si>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</si>
  <si>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</si>
  <si>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</si>
  <si>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</si>
  <si>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</si>
  <si>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</si>
  <si>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</si>
  <si>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</si>
  <si>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</si>
  <si>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</si>
  <si>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</si>
  <si>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</si>
  <si>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</si>
  <si>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</si>
  <si>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</si>
  <si>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</si>
  <si>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</si>
  <si>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</si>
  <si>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</si>
  <si>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</si>
  <si>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</si>
  <si>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</si>
  <si>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</si>
  <si>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</si>
  <si>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</si>
  <si>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</si>
  <si>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</si>
  <si>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</si>
  <si>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</si>
  <si>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</si>
  <si>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</si>
  <si>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</si>
  <si>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</si>
  <si>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</si>
  <si>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</si>
  <si>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</si>
  <si>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</si>
  <si>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</si>
  <si>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</si>
  <si>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</si>
  <si>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</si>
  <si>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</si>
  <si>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</si>
  <si>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</si>
  <si>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</si>
  <si>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</si>
  <si>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</si>
  <si>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</si>
  <si>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</si>
  <si>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</si>
  <si>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</si>
  <si>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</si>
  <si>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</si>
  <si>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</si>
  <si>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</si>
  <si>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</si>
  <si>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</si>
  <si>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</si>
  <si>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</si>
  <si>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</si>
  <si>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</si>
  <si>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</si>
  <si>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</si>
  <si>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</si>
  <si>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</si>
  <si>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</si>
  <si>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</si>
  <si>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</si>
  <si>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</si>
  <si>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</si>
  <si>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</si>
  <si>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</si>
  <si>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</si>
  <si>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</si>
  <si>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</si>
  <si>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</si>
  <si>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</si>
  <si>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</si>
  <si>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</si>
  <si>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</si>
  <si>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</si>
  <si>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</si>
  <si>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</si>
  <si>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</si>
  <si>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</si>
  <si>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</si>
  <si>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</si>
  <si>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</si>
  <si>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</si>
  <si>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</si>
  <si>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</si>
  <si>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</si>
  <si>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</si>
  <si>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</si>
  <si>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</si>
  <si>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</si>
  <si>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</si>
  <si>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</si>
  <si>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</si>
  <si>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</si>
  <si>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</si>
  <si>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</si>
  <si>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</si>
  <si>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</si>
  <si>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</si>
  <si>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</si>
  <si>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</si>
  <si>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</si>
  <si>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</si>
  <si>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</si>
  <si>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</si>
  <si>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</si>
  <si>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</si>
  <si>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</si>
  <si>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</si>
  <si>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</si>
  <si>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</si>
  <si>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</si>
  <si>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</si>
  <si>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</si>
  <si>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</si>
  <si>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</si>
  <si>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</si>
  <si>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</si>
  <si>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</si>
  <si>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</si>
  <si>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</si>
  <si>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</si>
  <si>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</si>
  <si>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</si>
  <si>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</si>
  <si>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</si>
  <si>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</si>
  <si>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</si>
  <si>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</si>
  <si>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</si>
  <si>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</si>
  <si>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</si>
  <si>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</si>
  <si>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</si>
  <si>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</si>
  <si>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</si>
  <si>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</si>
  <si>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</si>
  <si>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</si>
  <si>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</si>
  <si>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</si>
  <si>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</si>
  <si>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</si>
  <si>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</si>
  <si>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</si>
  <si>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</si>
  <si>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</si>
  <si>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</si>
  <si>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</si>
  <si>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</si>
  <si>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</si>
  <si>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</si>
  <si>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</si>
  <si>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</si>
  <si>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</si>
  <si>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</si>
  <si>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</si>
  <si>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</si>
  <si>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</si>
  <si>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</si>
  <si>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</si>
  <si>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</si>
  <si>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</si>
  <si>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</si>
  <si>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</si>
  <si>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</si>
  <si>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</si>
  <si>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</si>
  <si>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</si>
  <si>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</si>
  <si>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</si>
  <si>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</si>
  <si>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</si>
  <si>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</si>
  <si>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</si>
  <si>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</si>
  <si>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</si>
  <si>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</si>
  <si>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</si>
  <si>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</si>
  <si>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</si>
  <si>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</si>
  <si>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</si>
  <si>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</si>
  <si>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</si>
  <si>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</si>
  <si>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</si>
  <si>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</si>
  <si>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</si>
  <si>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</si>
  <si>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</si>
  <si>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</si>
  <si>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</si>
  <si>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</si>
  <si>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</si>
  <si>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</si>
  <si>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</si>
  <si>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</si>
  <si>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</si>
  <si>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</si>
  <si>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</si>
  <si>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</si>
  <si>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</si>
  <si>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</si>
  <si>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</si>
  <si>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</si>
  <si>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</si>
  <si>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</si>
  <si>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</si>
  <si>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</si>
  <si>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</si>
  <si>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</si>
  <si>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</si>
  <si>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</si>
  <si>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</si>
  <si>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</si>
  <si>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</si>
  <si>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</si>
  <si>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</si>
  <si>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</si>
  <si>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</si>
  <si>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</si>
  <si>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</si>
  <si>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</si>
  <si>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</si>
  <si>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</si>
  <si>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</si>
  <si>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</si>
  <si>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</si>
  <si>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</si>
  <si>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</si>
  <si>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</si>
  <si>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</si>
  <si>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</si>
  <si>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</si>
  <si>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</si>
  <si>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</si>
  <si>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</si>
  <si>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</si>
  <si>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</si>
  <si>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</si>
  <si>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</si>
  <si>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</si>
  <si>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</si>
  <si>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</si>
  <si>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</si>
  <si>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</si>
  <si>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</si>
  <si>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</si>
  <si>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</si>
  <si>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</si>
  <si>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</si>
  <si>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</si>
  <si>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</si>
  <si>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</si>
  <si>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</si>
  <si>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</si>
  <si>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</si>
  <si>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</si>
  <si>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</si>
  <si>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</si>
  <si>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</si>
  <si>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</si>
  <si>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</si>
  <si>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</si>
  <si>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</si>
  <si>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</si>
  <si>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</si>
  <si>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</si>
  <si>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</si>
  <si>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</si>
  <si>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</si>
  <si>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</si>
  <si>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</si>
  <si>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</si>
  <si>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</si>
  <si>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</si>
  <si>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</si>
  <si>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</si>
  <si>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</si>
  <si>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</si>
  <si>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</si>
  <si>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</si>
  <si>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</si>
  <si>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</si>
  <si>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</si>
  <si>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</si>
  <si>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</si>
  <si>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</si>
  <si>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</si>
  <si>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</si>
  <si>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</si>
  <si>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</si>
  <si>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</si>
  <si>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</si>
  <si>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</si>
  <si>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</si>
  <si>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</si>
  <si>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</si>
  <si>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</si>
  <si>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</si>
  <si>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</si>
  <si>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</si>
  <si>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</si>
  <si>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</si>
  <si>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</si>
  <si>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</si>
  <si>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</si>
  <si>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</si>
  <si>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</si>
  <si>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</si>
  <si>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</si>
  <si>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</si>
  <si>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</si>
  <si>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</si>
  <si>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</si>
  <si>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</si>
  <si>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</si>
  <si>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</si>
  <si>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</si>
  <si>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</si>
  <si>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</si>
  <si>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</si>
  <si>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</si>
  <si>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</si>
  <si>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</si>
  <si>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</si>
  <si>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</si>
  <si>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</si>
  <si>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</si>
  <si>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</si>
  <si>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</si>
  <si>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</si>
  <si>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</si>
  <si>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</si>
  <si>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</si>
  <si>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</si>
  <si>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</si>
  <si>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</si>
  <si>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</si>
  <si>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</si>
  <si>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</si>
  <si>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</si>
  <si>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</si>
  <si>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</si>
  <si>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</si>
  <si>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</si>
  <si>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</si>
  <si>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</si>
  <si>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</si>
  <si>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</si>
  <si>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</si>
  <si>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</si>
  <si>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</si>
  <si>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</si>
  <si>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</si>
  <si>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</si>
  <si>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</si>
  <si>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</si>
  <si>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</si>
  <si>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</si>
  <si>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</si>
  <si>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</si>
  <si>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</si>
  <si>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</si>
  <si>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</si>
  <si>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</si>
  <si>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</si>
  <si>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</si>
  <si>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</si>
  <si>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</si>
  <si>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</si>
  <si>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</si>
  <si>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</si>
  <si>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</si>
  <si>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</si>
  <si>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</si>
  <si>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</si>
  <si>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</si>
  <si>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</si>
  <si>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</si>
  <si>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</si>
  <si>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</si>
  <si>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</si>
  <si>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</si>
  <si>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</si>
  <si>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</si>
  <si>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</si>
  <si>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</si>
  <si>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</si>
  <si>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</si>
  <si>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</si>
  <si>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</si>
  <si>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</si>
  <si>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</si>
  <si>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</si>
  <si>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</si>
  <si>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</si>
  <si>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</si>
  <si>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</si>
  <si>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</si>
  <si>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</si>
  <si>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</si>
  <si>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</si>
  <si>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</si>
  <si>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</si>
  <si>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</si>
  <si>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</si>
  <si>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</si>
  <si>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</si>
  <si>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</si>
  <si>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</si>
  <si>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</si>
  <si>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</si>
  <si>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</si>
  <si>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</si>
  <si>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</si>
  <si>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</si>
  <si>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</si>
  <si>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</si>
  <si>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</si>
  <si>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</si>
  <si>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</si>
  <si>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</si>
  <si>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</si>
  <si>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</si>
  <si>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</si>
  <si>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</si>
  <si>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</si>
  <si>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</si>
  <si>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</si>
  <si>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</si>
  <si>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</si>
  <si>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</si>
  <si>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</si>
  <si>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</si>
  <si>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</si>
  <si>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</si>
  <si>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</si>
  <si>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</si>
  <si>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</si>
  <si>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</si>
  <si>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</si>
  <si>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</si>
  <si>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</si>
  <si>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</si>
  <si>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</si>
  <si>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</si>
  <si>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</si>
  <si>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</si>
  <si>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</si>
  <si>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</si>
  <si>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</si>
  <si>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</si>
  <si>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</si>
  <si>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</si>
  <si>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</si>
  <si>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</si>
  <si>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</si>
  <si>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</si>
  <si>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</si>
  <si>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</si>
  <si>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</si>
  <si>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</si>
  <si>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</si>
  <si>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</si>
  <si>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</si>
  <si>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</si>
  <si>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</si>
  <si>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</si>
  <si>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</si>
  <si>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</si>
  <si>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</si>
  <si>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</si>
  <si>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</si>
  <si>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</si>
  <si>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</si>
  <si>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</si>
  <si>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</si>
  <si>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</si>
  <si>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</si>
  <si>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</si>
  <si>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</si>
  <si>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</si>
  <si>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</si>
  <si>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</si>
  <si>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</si>
  <si>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</si>
  <si>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</si>
  <si>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</si>
  <si>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</si>
  <si>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</si>
  <si>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</si>
  <si>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</si>
  <si>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</si>
  <si>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</si>
  <si>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</si>
  <si>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</si>
  <si>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</si>
  <si>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</si>
  <si>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</si>
  <si>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</si>
  <si>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</si>
  <si>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</si>
  <si>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</si>
  <si>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</si>
  <si>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</si>
  <si>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</si>
  <si>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</si>
  <si>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</si>
  <si>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</si>
  <si>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</si>
  <si>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</si>
  <si>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</si>
  <si>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</si>
  <si>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</si>
  <si>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</si>
  <si>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</si>
  <si>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</si>
  <si>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</si>
  <si>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</si>
  <si>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</si>
  <si>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</si>
  <si>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</si>
  <si>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</si>
  <si>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</si>
  <si>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</si>
  <si>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</si>
  <si>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</si>
  <si>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</si>
  <si>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</si>
  <si>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</si>
  <si>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</si>
  <si>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</si>
  <si>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</si>
  <si>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</si>
  <si>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</si>
  <si>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</si>
  <si>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</si>
  <si>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</si>
  <si>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</si>
  <si>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</si>
  <si>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</si>
  <si>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</si>
  <si>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</si>
  <si>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</si>
  <si>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</si>
  <si>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</si>
  <si>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</si>
  <si>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</si>
  <si>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</si>
  <si>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</si>
  <si>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</si>
  <si>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</si>
  <si>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</si>
  <si>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</si>
  <si>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</si>
  <si>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</si>
  <si>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</si>
  <si>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</si>
  <si>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</si>
  <si>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</si>
  <si>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</si>
  <si>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</si>
  <si>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</si>
  <si>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</si>
  <si>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</si>
  <si>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</si>
  <si>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</si>
  <si>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</si>
  <si>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</si>
  <si>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</si>
  <si>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</si>
  <si>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</si>
  <si>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</si>
  <si>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</si>
  <si>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</si>
  <si>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</si>
  <si>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</si>
  <si>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</si>
  <si>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</si>
  <si>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</si>
  <si>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</si>
  <si>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</si>
  <si>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</si>
  <si>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</si>
  <si>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</si>
  <si>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</si>
  <si>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</si>
  <si>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</si>
  <si>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</si>
  <si>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</si>
  <si>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</si>
  <si>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</si>
  <si>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</si>
  <si>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</si>
  <si>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</si>
  <si>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</si>
  <si>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</si>
  <si>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</si>
  <si>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</si>
  <si>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</si>
  <si>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</si>
  <si>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</si>
  <si>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</si>
  <si>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</si>
  <si>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</si>
  <si>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</si>
  <si>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</si>
  <si>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</si>
  <si>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</si>
  <si>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</si>
  <si>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</si>
  <si>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</si>
  <si>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</si>
  <si>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</si>
  <si>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</si>
  <si>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</si>
  <si>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</si>
  <si>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</si>
  <si>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</si>
  <si>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</si>
  <si>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</si>
  <si>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</si>
  <si>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</si>
  <si>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</si>
  <si>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</si>
  <si>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</si>
  <si>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</si>
  <si>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</si>
  <si>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</si>
  <si>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</si>
  <si>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</si>
  <si>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</si>
  <si>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</si>
  <si>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</si>
  <si>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</si>
  <si>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</si>
  <si>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</si>
  <si>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</si>
  <si>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</si>
  <si>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</si>
  <si>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</si>
  <si>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</si>
  <si>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</si>
  <si>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</si>
  <si>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</si>
  <si>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</si>
  <si>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</si>
  <si>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</si>
  <si>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</si>
  <si>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</si>
  <si>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</si>
  <si>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</si>
  <si>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</si>
  <si>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</si>
  <si>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</si>
  <si>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</si>
  <si>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</si>
  <si>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</si>
  <si>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</si>
  <si>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</si>
  <si>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</si>
  <si>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</si>
  <si>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</si>
  <si>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</si>
  <si>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</si>
  <si>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</si>
  <si>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</si>
  <si>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</si>
  <si>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</si>
  <si>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</si>
  <si>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</si>
  <si>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</si>
  <si>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</si>
  <si>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</si>
  <si>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</si>
  <si>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</si>
  <si>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</si>
  <si>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</si>
  <si>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</si>
  <si>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</si>
  <si>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</si>
  <si>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</si>
  <si>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</si>
  <si>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</si>
  <si>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</si>
  <si>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</si>
  <si>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</si>
  <si>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</si>
  <si>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</si>
  <si>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</si>
  <si>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</si>
  <si>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</si>
  <si>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</si>
  <si>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</si>
  <si>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</si>
  <si>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</si>
  <si>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</si>
  <si>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</si>
  <si>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</si>
  <si>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</si>
  <si>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</si>
  <si>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</si>
  <si>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</si>
  <si>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</si>
  <si>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</si>
  <si>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</si>
  <si>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</si>
  <si>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</si>
  <si>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</si>
  <si>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</si>
  <si>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</si>
  <si>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</si>
  <si>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</si>
  <si>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</si>
  <si>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</si>
  <si>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</si>
  <si>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</si>
  <si>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</si>
  <si>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</si>
  <si>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</si>
  <si>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</si>
  <si>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</si>
  <si>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</si>
  <si>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</si>
  <si>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</si>
  <si>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</si>
  <si>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</si>
  <si>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</si>
  <si>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</si>
  <si>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</si>
  <si>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</si>
  <si>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</si>
  <si>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</si>
  <si>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</si>
  <si>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</si>
  <si>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</si>
  <si>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</si>
  <si>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</si>
  <si>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</si>
  <si>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</si>
  <si>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</si>
  <si>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</si>
  <si>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</si>
  <si>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</si>
  <si>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</si>
  <si>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</si>
  <si>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</si>
  <si>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</si>
  <si>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</si>
  <si>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</si>
  <si>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</si>
  <si>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</si>
  <si>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</si>
  <si>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</si>
  <si>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</si>
  <si>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</si>
  <si>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</si>
  <si>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</si>
  <si>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</si>
  <si>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</si>
  <si>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</si>
  <si>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</si>
  <si>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</si>
  <si>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</si>
  <si>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</si>
  <si>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</si>
  <si>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</si>
  <si>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</si>
  <si>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</si>
  <si>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</si>
  <si>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</si>
  <si>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</si>
  <si>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</si>
  <si>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</si>
  <si>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</si>
  <si>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</si>
  <si>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</si>
  <si>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</si>
  <si>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</si>
  <si>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</si>
  <si>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</si>
  <si>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</si>
  <si>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</si>
  <si>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</si>
  <si>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</si>
  <si>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</si>
  <si>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</si>
  <si>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</si>
  <si>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</si>
  <si>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</si>
  <si>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</si>
  <si>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</si>
  <si>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</si>
  <si>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</si>
  <si>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</si>
  <si>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</si>
  <si>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</si>
  <si>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</si>
  <si>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</si>
  <si>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</si>
  <si>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</si>
  <si>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</si>
  <si>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</si>
  <si>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</si>
  <si>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</si>
  <si>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</si>
  <si>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</si>
  <si>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</si>
  <si>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</si>
  <si>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</si>
  <si>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</si>
  <si>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</si>
  <si>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</si>
  <si>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</si>
  <si>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</si>
  <si>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</si>
  <si>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</si>
  <si>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</si>
  <si>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</si>
  <si>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</si>
  <si>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</si>
  <si>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</si>
  <si>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</si>
  <si>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</si>
  <si>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</si>
  <si>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</si>
  <si>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</si>
  <si>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</si>
  <si>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</si>
  <si>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</si>
  <si>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</si>
  <si>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</si>
  <si>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</si>
  <si>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</si>
  <si>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</si>
  <si>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</si>
  <si>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</si>
  <si>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</si>
  <si>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</si>
  <si>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</si>
  <si>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</si>
  <si>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</si>
  <si>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</si>
  <si>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</si>
  <si>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</si>
  <si>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</si>
  <si>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</si>
  <si>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</si>
  <si>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</si>
  <si>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</si>
  <si>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</si>
  <si>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</si>
  <si>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</si>
  <si>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</si>
  <si>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</si>
  <si>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</si>
  <si>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</si>
  <si>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</si>
  <si>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</si>
  <si>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</si>
  <si>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</si>
  <si>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</si>
  <si>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</si>
  <si>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</si>
  <si>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</si>
  <si>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</si>
  <si>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</si>
  <si>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</si>
  <si>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</si>
  <si>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</si>
  <si>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</si>
  <si>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</si>
  <si>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</si>
  <si>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</si>
  <si>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</si>
  <si>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</si>
  <si>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</si>
  <si>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</si>
  <si>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</si>
  <si>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</si>
  <si>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</si>
  <si>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</si>
  <si>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</si>
  <si>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</si>
  <si>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</si>
  <si>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</si>
  <si>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</si>
  <si>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</si>
  <si>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</si>
  <si>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</si>
  <si>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</si>
  <si>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</si>
  <si>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</si>
  <si>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</si>
  <si>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</si>
  <si>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</si>
  <si>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</si>
  <si>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</si>
  <si>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</si>
  <si>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</si>
  <si>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</si>
  <si>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</si>
  <si>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</si>
  <si>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</si>
  <si>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</si>
  <si>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</si>
  <si>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</si>
  <si>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</si>
  <si>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</si>
  <si>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</si>
  <si>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</si>
  <si>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</si>
  <si>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</si>
  <si>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</si>
  <si>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</si>
  <si>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</si>
  <si>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</si>
  <si>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</si>
  <si>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</si>
  <si>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</si>
  <si>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</si>
  <si>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</si>
  <si>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</si>
  <si>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</si>
  <si>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</si>
  <si>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</si>
  <si>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</si>
  <si>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</si>
  <si>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</si>
  <si>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</si>
  <si>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</si>
  <si>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</si>
  <si>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</si>
  <si>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</si>
  <si>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</si>
  <si>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</si>
  <si>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</si>
  <si>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</si>
  <si>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</si>
  <si>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</si>
  <si>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</si>
  <si>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</si>
  <si>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</si>
  <si>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</si>
  <si>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</si>
  <si>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</si>
  <si>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</si>
  <si>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</si>
  <si>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</si>
  <si>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</si>
  <si>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</si>
  <si>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</si>
  <si>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</si>
  <si>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</si>
  <si>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</si>
  <si>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</si>
  <si>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</si>
  <si>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</si>
  <si>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</si>
  <si>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</si>
  <si>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</si>
  <si>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</si>
  <si>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</si>
  <si>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</si>
  <si>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</si>
  <si>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</si>
  <si>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</si>
  <si>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</si>
  <si>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</si>
  <si>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</si>
  <si>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</si>
  <si>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</si>
  <si>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</si>
  <si>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</si>
  <si>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</si>
  <si>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</si>
  <si>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</si>
  <si>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</si>
  <si>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</si>
  <si>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</si>
  <si>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</si>
  <si>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</si>
  <si>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</si>
  <si>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</si>
  <si>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</si>
  <si>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</si>
  <si>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</si>
  <si>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</si>
  <si>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</si>
  <si>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</si>
  <si>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</si>
  <si>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</si>
  <si>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</si>
  <si>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</si>
  <si>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</si>
  <si>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</si>
  <si>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</si>
  <si>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</si>
  <si>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</si>
  <si>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</si>
  <si>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</si>
  <si>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</si>
  <si>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</si>
  <si>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</si>
  <si>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</si>
  <si>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</si>
  <si>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</si>
  <si>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</si>
  <si>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</si>
  <si>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</si>
  <si>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</si>
  <si>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</si>
  <si>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</si>
  <si>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</si>
  <si>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</si>
  <si>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</si>
  <si>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</si>
  <si>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</si>
  <si>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</si>
  <si>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</si>
  <si>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</si>
  <si>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</si>
  <si>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</si>
  <si>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</si>
  <si>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</si>
  <si>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</si>
  <si>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</si>
  <si>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</si>
  <si>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</si>
  <si>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</si>
  <si>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</si>
  <si>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</si>
  <si>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</si>
  <si>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</si>
  <si>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</si>
  <si>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</si>
  <si>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</si>
  <si>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</si>
  <si>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</si>
  <si>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</si>
  <si>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</si>
  <si>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</si>
  <si>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</si>
  <si>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</si>
  <si>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</si>
  <si>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</si>
  <si>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</si>
  <si>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</si>
  <si>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</si>
  <si>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</si>
  <si>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</si>
  <si>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</si>
  <si>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</si>
  <si>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</si>
  <si>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</si>
  <si>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</si>
  <si>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</si>
  <si>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</si>
  <si>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</si>
  <si>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</si>
  <si>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</si>
  <si>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</si>
  <si>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</si>
  <si>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</si>
  <si>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</si>
  <si>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</si>
  <si>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</si>
  <si>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</si>
  <si>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</si>
  <si>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</si>
  <si>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</si>
  <si>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</si>
  <si>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</si>
  <si>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</si>
  <si>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</si>
  <si>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</si>
  <si>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</si>
  <si>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</si>
  <si>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</si>
  <si>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</si>
  <si>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</si>
  <si>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</si>
  <si>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</si>
  <si>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</si>
  <si>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</si>
  <si>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</si>
  <si>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</si>
  <si>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</si>
  <si>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</si>
  <si>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</si>
  <si>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</si>
  <si>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</si>
  <si>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</si>
  <si>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</si>
  <si>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</si>
  <si>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</si>
  <si>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</si>
  <si>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</si>
  <si>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</si>
  <si>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</si>
  <si>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</si>
  <si>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</si>
  <si>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</si>
  <si>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</si>
  <si>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</si>
  <si>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</si>
  <si>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</si>
  <si>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</si>
  <si>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</si>
  <si>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</si>
  <si>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</si>
  <si>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</si>
  <si>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</si>
  <si>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</si>
  <si>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</si>
  <si>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</si>
  <si>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</si>
  <si>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</si>
  <si>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</si>
  <si>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</si>
  <si>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</si>
  <si>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</si>
  <si>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</si>
  <si>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</si>
  <si>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</si>
  <si>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</si>
  <si>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</si>
  <si>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</si>
  <si>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</si>
  <si>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</si>
  <si>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</si>
  <si>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</si>
  <si>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</si>
  <si>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</si>
  <si>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</si>
  <si>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</si>
  <si>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</si>
  <si>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</si>
  <si>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</si>
  <si>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</si>
  <si>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</si>
  <si>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</si>
  <si>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</si>
  <si>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</si>
  <si>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</si>
  <si>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</si>
  <si>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</si>
  <si>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</si>
  <si>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</si>
  <si>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</si>
  <si>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</si>
  <si>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</si>
  <si>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</si>
  <si>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</si>
  <si>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</si>
  <si>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</si>
  <si>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</si>
  <si>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</si>
  <si>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</si>
  <si>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</si>
  <si>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</si>
  <si>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</si>
  <si>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</si>
  <si>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</si>
  <si>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</si>
  <si>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</si>
  <si>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</si>
  <si>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</si>
  <si>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</si>
  <si>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</si>
  <si>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</si>
  <si>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</si>
  <si>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</si>
  <si>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</si>
  <si>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</si>
  <si>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</si>
  <si>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</si>
  <si>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</si>
  <si>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</si>
  <si>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</si>
  <si>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</si>
  <si>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</si>
  <si>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</si>
  <si>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</si>
  <si>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</si>
  <si>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</si>
  <si>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</si>
  <si>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</si>
  <si>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</si>
  <si>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</si>
  <si>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</si>
  <si>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</si>
  <si>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</si>
  <si>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</si>
  <si>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</si>
  <si>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</si>
  <si>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</si>
  <si>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</si>
  <si>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</si>
  <si>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</si>
  <si>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</si>
  <si>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</si>
  <si>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</si>
  <si>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</si>
  <si>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</si>
  <si>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</si>
  <si>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</si>
  <si>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</si>
  <si>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</si>
  <si>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</si>
  <si>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</si>
  <si>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</si>
  <si>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</si>
  <si>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</si>
  <si>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</si>
  <si>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</si>
  <si>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</si>
  <si>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</si>
  <si>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</si>
  <si>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</si>
  <si>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</si>
  <si>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</si>
  <si>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</si>
  <si>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</si>
  <si>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</si>
  <si>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</si>
  <si>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</si>
  <si>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</si>
  <si>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</si>
  <si>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</si>
  <si>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</si>
  <si>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</si>
  <si>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</si>
  <si>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</si>
  <si>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</si>
  <si>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</si>
  <si>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</si>
  <si>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</si>
  <si>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</si>
  <si>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</si>
  <si>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</si>
  <si>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</si>
  <si>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</si>
  <si>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</si>
  <si>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</si>
  <si>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</si>
  <si>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</si>
  <si>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</si>
  <si>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</si>
  <si>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</si>
  <si>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</si>
  <si>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</si>
  <si>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</si>
  <si>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</si>
  <si>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</si>
  <si>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</si>
  <si>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</si>
  <si>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</si>
  <si>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</si>
  <si>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</si>
  <si>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</si>
  <si>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</si>
  <si>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</si>
  <si>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</si>
  <si>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</si>
  <si>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</si>
  <si>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</si>
  <si>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</si>
  <si>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</si>
  <si>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</si>
  <si>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</si>
  <si>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</si>
  <si>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</si>
  <si>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</si>
  <si>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</si>
  <si>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</si>
  <si>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</si>
  <si>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</si>
  <si>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</si>
  <si>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</si>
  <si>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</si>
  <si>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</si>
  <si>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</si>
  <si>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</si>
  <si>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</si>
  <si>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</si>
  <si>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</si>
  <si>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</si>
  <si>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</si>
  <si>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</si>
  <si>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</si>
  <si>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</si>
  <si>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</si>
  <si>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</si>
  <si>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</si>
  <si>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</si>
  <si>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</si>
  <si>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</si>
  <si>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</si>
  <si>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</si>
  <si>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</si>
  <si>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</si>
  <si>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</si>
  <si>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</si>
  <si>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</si>
  <si>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</si>
  <si>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</si>
  <si>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</si>
  <si>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</si>
  <si>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</si>
  <si>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</si>
  <si>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</si>
  <si>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</si>
  <si>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</si>
  <si>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</si>
  <si>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</si>
  <si>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</si>
  <si>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</si>
  <si>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</si>
  <si>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</si>
  <si>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</si>
  <si>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</si>
  <si>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</si>
  <si>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</si>
  <si>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</si>
  <si>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</si>
  <si>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</si>
  <si>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</si>
  <si>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</si>
  <si>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</si>
  <si>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</si>
  <si>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</si>
  <si>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</si>
  <si>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</si>
  <si>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</si>
  <si>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</si>
  <si>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</si>
  <si>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</si>
  <si>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</si>
  <si>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</si>
  <si>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</si>
  <si>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</si>
  <si>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</si>
  <si>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</si>
  <si>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</si>
  <si>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</si>
  <si>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</si>
  <si>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</si>
  <si>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</si>
  <si>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</si>
  <si>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</si>
  <si>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</si>
  <si>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</si>
  <si>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</si>
  <si>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</si>
  <si>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</si>
  <si>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</si>
  <si>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</si>
  <si>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</si>
  <si>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</si>
  <si>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</si>
  <si>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</si>
  <si>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</si>
  <si>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</si>
  <si>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</si>
  <si>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</si>
  <si>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</si>
  <si>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</si>
  <si>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</si>
  <si>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</si>
  <si>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</si>
  <si>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</si>
  <si>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</si>
  <si>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</si>
  <si>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</si>
  <si>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</si>
  <si>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</si>
  <si>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</si>
  <si>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</si>
  <si>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</si>
  <si>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</si>
  <si>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</si>
  <si>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</si>
  <si>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</si>
  <si>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</si>
  <si>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</si>
  <si>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</si>
  <si>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</si>
  <si>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</si>
  <si>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</si>
  <si>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</si>
  <si>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</si>
  <si>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</si>
  <si>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</si>
  <si>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</si>
  <si>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</si>
  <si>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</si>
  <si>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</si>
  <si>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</si>
  <si>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</si>
  <si>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</si>
  <si>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</si>
  <si>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</si>
  <si>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</si>
  <si>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</si>
  <si>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</si>
  <si>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</si>
  <si>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</si>
  <si>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</si>
  <si>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</si>
  <si>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</si>
  <si>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</si>
  <si>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</si>
  <si>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</si>
  <si>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</si>
  <si>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</si>
  <si>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</si>
  <si>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</si>
  <si>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</si>
  <si>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</si>
  <si>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</si>
  <si>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</si>
  <si>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</si>
  <si>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</si>
  <si>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</si>
  <si>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</si>
  <si>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</si>
  <si>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</si>
  <si>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</si>
  <si>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</si>
  <si>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</si>
  <si>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</si>
  <si>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</si>
  <si>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</si>
  <si>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</si>
  <si>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</si>
  <si>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</si>
  <si>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</si>
  <si>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</si>
  <si>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</si>
  <si>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</si>
  <si>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</si>
  <si>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</si>
  <si>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</si>
  <si>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</si>
  <si>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</si>
  <si>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</si>
  <si>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</si>
  <si>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</si>
  <si>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</si>
  <si>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</si>
  <si>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</si>
  <si>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</si>
  <si>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</si>
  <si>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</si>
  <si>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</si>
  <si>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</si>
  <si>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</si>
  <si>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</si>
  <si>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</si>
  <si>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</si>
  <si>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</si>
  <si>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</si>
  <si>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</si>
  <si>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</si>
  <si>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</si>
  <si>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</si>
  <si>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</si>
  <si>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</si>
  <si>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</si>
  <si>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</si>
  <si>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</si>
  <si>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</si>
  <si>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</si>
  <si>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</si>
  <si>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</si>
  <si>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</si>
  <si>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</si>
  <si>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</si>
  <si>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</si>
  <si>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</si>
  <si>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</si>
  <si>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</si>
  <si>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</si>
  <si>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</si>
  <si>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</si>
  <si>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</si>
  <si>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</si>
  <si>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</si>
  <si>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</si>
  <si>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</si>
  <si>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</si>
  <si>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</si>
  <si>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</si>
  <si>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</si>
  <si>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</si>
  <si>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</si>
  <si>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</si>
  <si>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</si>
  <si>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</si>
  <si>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</si>
  <si>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</si>
  <si>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</si>
  <si>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</si>
  <si>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</si>
  <si>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</si>
  <si>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</si>
  <si>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</si>
  <si>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</si>
  <si>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</si>
  <si>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</si>
  <si>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</si>
  <si>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</si>
  <si>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</si>
  <si>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</si>
  <si>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</si>
  <si>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</si>
  <si>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</si>
  <si>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</si>
  <si>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</si>
  <si>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</si>
  <si>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</si>
  <si>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</si>
  <si>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</si>
  <si>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</si>
  <si>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</si>
  <si>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</si>
  <si>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</si>
  <si>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</si>
  <si>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</si>
  <si>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</si>
  <si>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</si>
  <si>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</si>
  <si>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</si>
  <si>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</si>
  <si>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</si>
  <si>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</si>
  <si>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</si>
  <si>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</si>
  <si>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</si>
  <si>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</si>
  <si>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</si>
  <si>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</si>
  <si>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</si>
  <si>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</si>
  <si>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</si>
  <si>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</si>
  <si>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</si>
  <si>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</si>
  <si>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</si>
  <si>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</si>
  <si>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</si>
  <si>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</si>
  <si>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</si>
  <si>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</si>
  <si>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</si>
  <si>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</si>
  <si>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</si>
  <si>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</si>
  <si>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</si>
  <si>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</si>
  <si>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</si>
  <si>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</si>
  <si>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</si>
  <si>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</si>
  <si>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</si>
  <si>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</si>
  <si>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</si>
  <si>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</si>
  <si>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</si>
  <si>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</si>
  <si>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</si>
  <si>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</si>
  <si>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</si>
  <si>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</si>
  <si>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</si>
  <si>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</si>
  <si>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</si>
  <si>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</si>
  <si>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</si>
  <si>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</si>
  <si>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</si>
  <si>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</si>
  <si>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</si>
  <si>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</si>
  <si>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</si>
  <si>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</si>
  <si>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</si>
  <si>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</si>
  <si>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</si>
  <si>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</si>
  <si>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</si>
  <si>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</si>
  <si>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</si>
  <si>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</si>
  <si>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</si>
  <si>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</si>
  <si>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</si>
  <si>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</si>
  <si>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</si>
  <si>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</si>
  <si>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</si>
  <si>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</si>
  <si>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</si>
  <si>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</si>
  <si>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</si>
  <si>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</si>
  <si>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</si>
  <si>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</si>
  <si>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</si>
  <si>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</si>
  <si>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</si>
  <si>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</si>
  <si>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</si>
  <si>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</si>
  <si>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</si>
  <si>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</si>
  <si>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</si>
  <si>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</si>
  <si>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</si>
  <si>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</si>
  <si>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</si>
  <si>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</si>
  <si>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</si>
  <si>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</si>
  <si>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</si>
  <si>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</si>
  <si>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</si>
  <si>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</si>
  <si>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</si>
  <si>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</si>
  <si>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</si>
  <si>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</si>
  <si>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</si>
  <si>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</si>
  <si>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</si>
  <si>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</si>
  <si>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</si>
  <si>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</si>
  <si>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</si>
  <si>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</si>
  <si>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</si>
  <si>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</si>
  <si>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</si>
  <si>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</si>
  <si>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</si>
  <si>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</si>
  <si>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</si>
  <si>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</si>
  <si>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</si>
  <si>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</si>
  <si>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</si>
  <si>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</si>
  <si>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</si>
  <si>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</si>
  <si>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</si>
  <si>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</si>
  <si>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</si>
  <si>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</si>
  <si>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</si>
  <si>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</si>
  <si>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</si>
  <si>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</si>
  <si>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</si>
  <si>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</si>
  <si>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</si>
  <si>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</si>
  <si>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</si>
  <si>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</si>
  <si>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</si>
  <si>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</si>
  <si>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</si>
  <si>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</si>
  <si>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</si>
  <si>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</si>
  <si>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</si>
  <si>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</si>
  <si>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</si>
  <si>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</si>
  <si>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</si>
  <si>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</si>
  <si>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</si>
  <si>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</si>
  <si>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</si>
  <si>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</si>
  <si>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</si>
  <si>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</si>
  <si>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</si>
  <si>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</si>
  <si>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</si>
  <si>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</si>
  <si>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</si>
  <si>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</si>
  <si>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</si>
  <si>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</si>
  <si>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</si>
  <si>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</si>
  <si>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</si>
  <si>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</si>
  <si>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</si>
  <si>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</si>
  <si>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</si>
  <si>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</si>
  <si>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</si>
  <si>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</si>
  <si>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</si>
  <si>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</si>
  <si>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</si>
  <si>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</si>
  <si>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</si>
  <si>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</si>
  <si>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</si>
  <si>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</si>
  <si>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</si>
  <si>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</si>
  <si>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</si>
  <si>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</si>
  <si>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</si>
  <si>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</si>
  <si>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</si>
  <si>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</si>
  <si>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</si>
  <si>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</si>
  <si>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</si>
  <si>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</si>
  <si>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</si>
  <si>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</si>
  <si>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</si>
  <si>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</si>
  <si>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</si>
  <si>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</si>
  <si>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</si>
  <si>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</si>
  <si>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</si>
  <si>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</si>
  <si>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</si>
  <si>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</si>
  <si>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</si>
  <si>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</si>
  <si>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</si>
  <si>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</si>
  <si>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</si>
  <si>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</si>
  <si>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</si>
  <si>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</si>
  <si>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</si>
  <si>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</si>
  <si>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</si>
  <si>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</si>
  <si>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</si>
  <si>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</si>
  <si>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</si>
  <si>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</si>
  <si>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</si>
  <si>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</si>
  <si>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</si>
  <si>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</si>
  <si>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</si>
  <si>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</si>
  <si>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</si>
  <si>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</si>
  <si>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</si>
  <si>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</si>
  <si>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</si>
  <si>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</si>
  <si>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</si>
  <si>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</si>
  <si>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</si>
  <si>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</si>
  <si>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</si>
  <si>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</si>
  <si>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</si>
  <si>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</si>
  <si>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</si>
  <si>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</si>
  <si>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</si>
  <si>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</si>
  <si>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</si>
  <si>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</si>
  <si>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</si>
  <si>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</si>
  <si>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</si>
  <si>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</si>
  <si>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</si>
  <si>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</si>
  <si>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</si>
  <si>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</si>
  <si>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</si>
  <si>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</si>
  <si>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</si>
  <si>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</si>
  <si>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</si>
  <si>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</si>
  <si>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</si>
  <si>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</si>
  <si>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</si>
  <si>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</si>
  <si>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</si>
  <si>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</si>
  <si>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</si>
  <si>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</si>
  <si>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</si>
  <si>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</si>
  <si>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</si>
  <si>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</si>
  <si>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</si>
  <si>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</si>
  <si>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</si>
  <si>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</si>
  <si>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</si>
  <si>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</si>
  <si>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</si>
  <si>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</si>
  <si>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</si>
  <si>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</si>
  <si>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</si>
  <si>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</si>
  <si>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</si>
  <si>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</si>
  <si>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</si>
  <si>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</si>
  <si>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</si>
  <si>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</si>
  <si>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</si>
  <si>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</si>
  <si>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</si>
  <si>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</si>
  <si>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</si>
  <si>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</si>
  <si>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</si>
  <si>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</si>
  <si>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</si>
  <si>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</si>
  <si>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</si>
  <si>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</si>
  <si>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</si>
  <si>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</si>
  <si>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</si>
  <si>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</si>
  <si>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</si>
  <si>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</si>
  <si>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</si>
  <si>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</si>
  <si>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</si>
  <si>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</si>
  <si>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</si>
  <si>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</si>
  <si>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</si>
  <si>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</si>
  <si>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</si>
  <si>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</si>
  <si>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</si>
  <si>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</si>
  <si>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</si>
  <si>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</si>
  <si>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</si>
  <si>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</si>
  <si>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</si>
  <si>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</si>
  <si>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</si>
  <si>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</si>
  <si>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</si>
  <si>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</si>
  <si>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</si>
  <si>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</si>
  <si>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</si>
  <si>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</si>
  <si>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</si>
  <si>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</si>
  <si>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</si>
  <si>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</si>
  <si>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</si>
  <si>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</si>
  <si>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</si>
  <si>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</si>
  <si>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</si>
  <si>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</si>
  <si>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</si>
  <si>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</si>
  <si>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</si>
  <si>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</si>
  <si>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</si>
  <si>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</si>
  <si>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</si>
  <si>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</si>
  <si>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</si>
  <si>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</si>
  <si>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</si>
  <si>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</si>
  <si>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</si>
  <si>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</si>
  <si>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</si>
  <si>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</si>
  <si>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</si>
  <si>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</si>
  <si>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</si>
  <si>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</si>
  <si>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</si>
  <si>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</si>
  <si>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</si>
  <si>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</si>
  <si>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</si>
  <si>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</si>
  <si>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</si>
  <si>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</si>
  <si>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</si>
  <si>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</si>
  <si>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</si>
  <si>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</si>
  <si>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</si>
  <si>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</si>
  <si>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</si>
  <si>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</si>
  <si>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</si>
  <si>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</si>
  <si>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</si>
  <si>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</si>
  <si>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</si>
  <si>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</si>
  <si>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</si>
  <si>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</si>
  <si>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</si>
  <si>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</si>
  <si>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</si>
  <si>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</si>
  <si>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</si>
  <si>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</si>
  <si>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</si>
  <si>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</si>
  <si>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</si>
  <si>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</si>
  <si>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</si>
  <si>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</si>
  <si>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</si>
  <si>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</si>
  <si>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</si>
  <si>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</si>
  <si>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</si>
  <si>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</si>
  <si>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</si>
  <si>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</si>
  <si>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</si>
  <si>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</si>
  <si>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</si>
  <si>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</si>
  <si>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</si>
  <si>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</si>
  <si>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</si>
  <si>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</si>
  <si>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</si>
  <si>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</si>
  <si>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</si>
  <si>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</si>
  <si>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</si>
  <si>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</si>
  <si>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</si>
  <si>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</si>
  <si>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</si>
  <si>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</si>
  <si>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</si>
  <si>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</si>
  <si>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</si>
  <si>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</si>
  <si>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</si>
  <si>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</si>
  <si>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</si>
  <si>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</si>
  <si>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</si>
  <si>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</si>
  <si>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</si>
  <si>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</si>
  <si>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</si>
  <si>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</si>
  <si>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</si>
  <si>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</si>
  <si>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</si>
  <si>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</si>
  <si>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</si>
  <si>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</si>
  <si>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</si>
  <si>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</si>
  <si>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</si>
  <si>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</si>
  <si>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</si>
  <si>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</si>
  <si>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</si>
  <si>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</si>
  <si>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</si>
  <si>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</si>
  <si>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</si>
  <si>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</si>
  <si>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</si>
  <si>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</si>
  <si>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</si>
  <si>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</si>
  <si>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</si>
  <si>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</si>
  <si>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</si>
  <si>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</si>
  <si>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</si>
  <si>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</si>
  <si>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</si>
  <si>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</si>
  <si>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</si>
  <si>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</si>
  <si>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</si>
  <si>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</si>
  <si>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</si>
  <si>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</si>
  <si>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</si>
  <si>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</si>
  <si>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</si>
  <si>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</si>
  <si>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</si>
  <si>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</si>
  <si>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</si>
  <si>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</si>
  <si>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</si>
  <si>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</si>
  <si>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</si>
  <si>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</si>
  <si>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</si>
  <si>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</si>
  <si>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</si>
  <si>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</si>
  <si>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</si>
  <si>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</si>
  <si>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</si>
  <si>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</si>
  <si>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</si>
  <si>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</si>
  <si>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</si>
  <si>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</si>
  <si>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</si>
  <si>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</si>
  <si>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</si>
  <si>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</si>
  <si>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</si>
  <si>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</si>
  <si>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</si>
  <si>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</si>
  <si>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</si>
  <si>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</si>
  <si>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</si>
  <si>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</si>
  <si>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</si>
  <si>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</si>
  <si>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</si>
  <si>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</si>
  <si>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</si>
  <si>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</si>
  <si>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</si>
  <si>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</si>
  <si>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</si>
  <si>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</si>
  <si>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</si>
  <si>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</si>
  <si>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</si>
  <si>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</si>
  <si>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</si>
  <si>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</si>
  <si>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</si>
  <si>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</si>
  <si>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</si>
  <si>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</si>
  <si>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</si>
  <si>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</si>
  <si>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</si>
  <si>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</si>
  <si>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</si>
  <si>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</si>
  <si>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</si>
  <si>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</si>
  <si>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</si>
  <si>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</si>
  <si>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</si>
  <si>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</si>
  <si>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</si>
  <si>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</si>
  <si>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</si>
  <si>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</si>
  <si>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</si>
  <si>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</si>
  <si>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</si>
  <si>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</si>
  <si>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</si>
  <si>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</si>
  <si>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</si>
  <si>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</si>
  <si>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</si>
  <si>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</si>
  <si>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</si>
  <si>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</si>
  <si>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</si>
  <si>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</si>
  <si>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</si>
  <si>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</si>
  <si>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</si>
  <si>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</si>
  <si>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</si>
  <si>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</si>
  <si>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</si>
  <si>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</si>
  <si>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</si>
  <si>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</si>
  <si>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</si>
  <si>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</si>
  <si>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</si>
  <si>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</si>
  <si>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</si>
  <si>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</si>
  <si>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</si>
  <si>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</si>
  <si>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</si>
  <si>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</si>
  <si>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</si>
  <si>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</si>
  <si>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</si>
  <si>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</si>
  <si>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</si>
  <si>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</si>
  <si>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</si>
  <si>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</si>
  <si>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</si>
  <si>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</si>
  <si>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</si>
  <si>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</si>
  <si>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</si>
  <si>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</si>
  <si>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</si>
  <si>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</si>
  <si>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</si>
  <si>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</si>
  <si>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</si>
  <si>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</si>
  <si>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</si>
  <si>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</si>
  <si>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</si>
  <si>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</si>
  <si>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</si>
  <si>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</si>
  <si>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</si>
  <si>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</si>
  <si>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</si>
  <si>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</si>
  <si>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</si>
  <si>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</si>
  <si>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</si>
  <si>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</si>
  <si>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</si>
  <si>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</si>
  <si>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</si>
  <si>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</si>
  <si>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</si>
  <si>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</si>
  <si>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</si>
  <si>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</si>
  <si>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</si>
  <si>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</si>
  <si>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</si>
  <si>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</si>
  <si>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</si>
  <si>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</si>
  <si>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</si>
  <si>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</si>
  <si>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</si>
  <si>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</si>
  <si>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</si>
  <si>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</si>
  <si>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</si>
  <si>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</si>
  <si>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</si>
  <si>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</si>
  <si>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</si>
  <si>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</si>
  <si>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</si>
  <si>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</si>
  <si>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</si>
  <si>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</si>
  <si>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</si>
  <si>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</si>
  <si>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</si>
  <si>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</si>
  <si>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</si>
  <si>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</si>
  <si>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</si>
  <si>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</si>
  <si>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</si>
  <si>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</si>
  <si>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</si>
  <si>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</si>
  <si>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</si>
  <si>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</si>
  <si>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</si>
  <si>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</si>
  <si>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</si>
  <si>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</si>
  <si>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</si>
  <si>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</si>
  <si>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</si>
  <si>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</si>
  <si>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</si>
  <si>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</si>
  <si>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</si>
  <si>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</si>
  <si>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</si>
  <si>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</si>
  <si>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</si>
  <si>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</si>
  <si>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</si>
  <si>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</si>
  <si>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</si>
  <si>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</si>
  <si>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</si>
  <si>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</si>
  <si>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</si>
  <si>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</si>
  <si>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</si>
  <si>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</si>
  <si>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</si>
  <si>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</si>
  <si>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</si>
  <si>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</si>
  <si>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</si>
  <si>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</si>
  <si>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</si>
  <si>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</si>
  <si>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</si>
  <si>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</si>
  <si>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</si>
  <si>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</si>
  <si>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</si>
  <si>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</si>
  <si>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</si>
  <si>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</si>
  <si>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</si>
  <si>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</si>
  <si>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</si>
  <si>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</si>
  <si>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</si>
  <si>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</si>
  <si>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</si>
  <si>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</si>
  <si>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</si>
  <si>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</si>
  <si>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</si>
  <si>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</si>
  <si>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</si>
  <si>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</si>
  <si>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</si>
  <si>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</si>
  <si>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</si>
  <si>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</si>
  <si>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</si>
  <si>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</si>
  <si>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</si>
  <si>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</si>
  <si>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</si>
  <si>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</si>
  <si>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</si>
  <si>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</si>
  <si>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</si>
  <si>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</si>
  <si>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</si>
  <si>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</si>
  <si>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</si>
  <si>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</si>
  <si>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</si>
  <si>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</si>
  <si>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</si>
  <si>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</si>
  <si>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</si>
  <si>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</si>
  <si>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</si>
  <si>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</si>
  <si>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</si>
  <si>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</si>
  <si>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</si>
  <si>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</si>
  <si>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</si>
  <si>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</si>
  <si>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</si>
  <si>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</si>
  <si>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</si>
  <si>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</si>
  <si>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</si>
  <si>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</si>
  <si>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</si>
  <si>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</si>
  <si>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</si>
  <si>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</si>
  <si>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</si>
  <si>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</si>
  <si>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</si>
  <si>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</si>
  <si>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</si>
  <si>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</si>
  <si>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</si>
  <si>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</si>
  <si>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</si>
  <si>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</si>
  <si>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</si>
  <si>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</si>
  <si>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</si>
  <si>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</si>
  <si>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</si>
  <si>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</si>
  <si>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</si>
  <si>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</si>
  <si>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</si>
  <si>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</si>
  <si>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</si>
  <si>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</si>
  <si>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</si>
  <si>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</si>
  <si>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</si>
  <si>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</si>
  <si>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</si>
  <si>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</si>
  <si>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</si>
  <si>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</si>
  <si>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</si>
  <si>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</si>
  <si>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</si>
  <si>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</si>
  <si>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</si>
  <si>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</si>
  <si>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</si>
  <si>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</si>
  <si>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</si>
  <si>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</si>
  <si>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</si>
  <si>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</si>
  <si>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</si>
  <si>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</si>
  <si>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</si>
  <si>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</si>
  <si>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</si>
  <si>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</si>
  <si>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</si>
  <si>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</si>
  <si>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</si>
  <si>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</si>
  <si>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</si>
  <si>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</si>
  <si>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</si>
  <si>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</si>
  <si>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</si>
  <si>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</si>
  <si>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</si>
  <si>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</si>
  <si>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</si>
  <si>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</si>
  <si>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</si>
  <si>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</si>
  <si>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</si>
  <si>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</si>
  <si>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</si>
  <si>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</si>
  <si>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</si>
  <si>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</si>
  <si>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</si>
  <si>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</si>
  <si>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</si>
  <si>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</si>
  <si>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</si>
  <si>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</si>
  <si>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</si>
  <si>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</si>
  <si>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</si>
  <si>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</si>
  <si>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</si>
  <si>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</si>
  <si>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</si>
  <si>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</si>
  <si>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</si>
  <si>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</si>
  <si>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</si>
  <si>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</si>
  <si>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</si>
  <si>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</si>
  <si>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</si>
  <si>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</si>
  <si>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</si>
  <si>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Distâncias de condução do Bing Maps (km) / Velocidade média do veículo</t>
  </si>
  <si>
    <t>Ônibus</t>
  </si>
  <si>
    <t>V1</t>
  </si>
  <si>
    <t>Escola6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</si>
</sst>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6" fontId="22" fillId="36" borderId="15" xfId="0" applyNumberFormat="1" applyFont="1" applyFill="1" applyBorder="1"/>
    <xf numFmtId="166" fontId="22" fillId="37" borderId="1"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0" fontId="22" fillId="2" borderId="18" xfId="0" applyFont="1" applyFill="1" applyBorder="1"/>
    <xf numFmtId="166" fontId="22" fillId="2" borderId="18"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5" xfId="0" applyNumberFormat="1" applyFont="1" applyFill="1" applyBorder="1"/>
    <xf numFmtId="2" fontId="22" fillId="37" borderId="1"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 xfId="0"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0" fontId="22" fillId="36" borderId="21" xfId="0" applyFont="1" applyFill="1" applyBorder="1"/>
    <xf numFmtId="164" fontId="22" fillId="36" borderId="21" xfId="0" applyNumberFormat="1" applyFont="1" applyFill="1" applyBorder="1"/>
    <xf numFmtId="165" fontId="22" fillId="36" borderId="21" xfId="0" applyNumberFormat="1" applyFont="1" applyFill="1" applyBorder="1"/>
    <xf numFmtId="166" fontId="22" fillId="36" borderId="21"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0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5" sqref="C5"/>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18</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27586EF8-B2D2-47DE-9553-905350EC2918}">
      <formula1>1</formula1>
      <formula2>20</formula2>
    </dataValidation>
    <dataValidation type="whole" allowBlank="1" showInputMessage="1" showErrorMessage="1" error="Insira um número inteiro de 5 a 200" sqref="C6" xr:uid="{F8CD00CC-1CCA-4BDE-BEEF-98549B02D0BD}">
      <formula1>5</formula1>
      <formula2>200</formula2>
    </dataValidation>
    <dataValidation type="list" allowBlank="1" showInputMessage="1" showErrorMessage="1" sqref="C8" xr:uid="{5757450C-4E57-4B69-997D-4938C199091D}">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E9EB8B8C-1DB7-4CBD-B311-878B3CD22671}">
      <formula1>"Entrada manual,Velocidade média do veículo,Duração de condução do Bing Maps"</formula1>
    </dataValidation>
    <dataValidation type="list" allowBlank="1" showInputMessage="1" showErrorMessage="1" sqref="C10" xr:uid="{F698E30F-78EB-4E0E-9FE5-BBAD5FF189E9}">
      <formula1>"Mais curto,O mais rápido,Mais rápido - Tráfego em tempo real"</formula1>
    </dataValidation>
    <dataValidation type="decimal" operator="greaterThan" allowBlank="1" showInputMessage="1" showErrorMessage="1" error="Insira um valor positivo" sqref="C11" xr:uid="{EC85BD57-6372-4DAE-B7AF-05B9783A43BB}">
      <formula1>0.0001</formula1>
    </dataValidation>
    <dataValidation type="whole" allowBlank="1" showInputMessage="1" showErrorMessage="1" error="Insira um número inteiro de 1 a 10" sqref="C13" xr:uid="{CD284AB3-85EB-4B74-B8F0-6A010F767574}">
      <formula1>1</formula1>
      <formula2>10</formula2>
    </dataValidation>
    <dataValidation type="list" allowBlank="1" showInputMessage="1" showErrorMessage="1" sqref="C15" xr:uid="{13C2851F-F4B4-42F1-A2E0-2C99C7F0FEAA}">
      <formula1>"Não,Sim - apenas uma vez no final,Sim - pode fazer isso várias vezes"</formula1>
    </dataValidation>
    <dataValidation type="list" allowBlank="1" showInputMessage="1" showErrorMessage="1" sqref="C16" xr:uid="{15C68CE6-E737-4BF3-A7E1-0E69CF4D7B79}">
      <formula1>"Difícil,Suave"</formula1>
    </dataValidation>
    <dataValidation type="list" allowBlank="1" showInputMessage="1" showErrorMessage="1" sqref="C17 C22 C23" xr:uid="{1CB31BF0-DBDF-4A23-BB6A-D3315589ABA3}">
      <formula1>"sim,Não"</formula1>
    </dataValidation>
    <dataValidation type="list" allowBlank="1" showInputMessage="1" showErrorMessage="1" sqref="C19" xr:uid="{AD81757F-6189-4426-ACE7-7D05257F635C}">
      <formula1>"Em branco,Bing Maps"</formula1>
    </dataValidation>
    <dataValidation type="list" allowBlank="1" showInputMessage="1" showErrorMessage="1" sqref="C20" xr:uid="{D4D8F812-F903-4989-A6A5-420979ECADCC}">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D3B84649-9232-4A0F-9E1E-87AAE8CD3364}">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AA199-1A47-422A-95D2-90A967013421}">
  <dimension ref="A1:L20"/>
  <sheetViews>
    <sheetView topLeftCell="B1" workbookViewId="0">
      <selection activeCell="J6" sqref="J6"/>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4024</v>
      </c>
      <c r="C2" s="29"/>
      <c r="D2" s="33">
        <v>-10.1652536</v>
      </c>
      <c r="E2" s="33">
        <v>-48.308237499999997</v>
      </c>
      <c r="F2" s="37">
        <v>0</v>
      </c>
      <c r="G2" s="37">
        <v>0.99930555555555556</v>
      </c>
      <c r="H2" s="44" t="s">
        <v>1628</v>
      </c>
      <c r="I2" s="45">
        <v>0</v>
      </c>
      <c r="J2" s="44">
        <v>0</v>
      </c>
      <c r="K2" s="44">
        <v>0</v>
      </c>
      <c r="L2" s="44">
        <v>0</v>
      </c>
    </row>
    <row r="3" spans="1:12" ht="15.75" thickTop="1" x14ac:dyDescent="0.25">
      <c r="A3" s="22">
        <v>1</v>
      </c>
      <c r="B3" s="30" t="s">
        <v>4003</v>
      </c>
      <c r="C3" s="30"/>
      <c r="D3" s="34">
        <v>-10.1835659</v>
      </c>
      <c r="E3" s="34">
        <v>-48.321423299999999</v>
      </c>
      <c r="F3" s="38">
        <v>0</v>
      </c>
      <c r="G3" s="38">
        <v>0.99930555555555556</v>
      </c>
      <c r="H3" s="30" t="s">
        <v>1152</v>
      </c>
      <c r="I3" s="41">
        <v>0</v>
      </c>
      <c r="J3" s="30">
        <v>2</v>
      </c>
      <c r="K3" s="30">
        <v>0</v>
      </c>
      <c r="L3" s="30">
        <v>0</v>
      </c>
    </row>
    <row r="4" spans="1:12" ht="15.75" thickBot="1" x14ac:dyDescent="0.3">
      <c r="A4" s="24">
        <v>2</v>
      </c>
      <c r="B4" s="31" t="s">
        <v>4004</v>
      </c>
      <c r="C4" s="31"/>
      <c r="D4" s="35">
        <v>-10.181644</v>
      </c>
      <c r="E4" s="35">
        <v>-48.313516499999999</v>
      </c>
      <c r="F4" s="39">
        <v>0</v>
      </c>
      <c r="G4" s="39">
        <v>0.99930555555555556</v>
      </c>
      <c r="H4" s="31" t="s">
        <v>1152</v>
      </c>
      <c r="I4" s="42">
        <v>0</v>
      </c>
      <c r="J4" s="31">
        <v>2</v>
      </c>
      <c r="K4" s="31">
        <v>0</v>
      </c>
      <c r="L4" s="31">
        <v>0</v>
      </c>
    </row>
    <row r="5" spans="1:12" ht="15.75" thickTop="1" x14ac:dyDescent="0.25">
      <c r="A5" s="24">
        <v>3</v>
      </c>
      <c r="B5" s="30" t="s">
        <v>4005</v>
      </c>
      <c r="C5" s="32"/>
      <c r="D5" s="36">
        <v>-10.165786900000001</v>
      </c>
      <c r="E5" s="36">
        <v>-48.309047499999998</v>
      </c>
      <c r="F5" s="40">
        <v>0</v>
      </c>
      <c r="G5" s="40">
        <v>0.99930555555555556</v>
      </c>
      <c r="H5" s="32" t="s">
        <v>1152</v>
      </c>
      <c r="I5" s="43">
        <v>0</v>
      </c>
      <c r="J5" s="32">
        <v>1</v>
      </c>
      <c r="K5" s="32">
        <v>0</v>
      </c>
      <c r="L5" s="32">
        <v>0</v>
      </c>
    </row>
    <row r="6" spans="1:12" ht="15.75" thickBot="1" x14ac:dyDescent="0.3">
      <c r="A6" s="24">
        <v>4</v>
      </c>
      <c r="B6" s="31" t="s">
        <v>4006</v>
      </c>
      <c r="C6" s="31"/>
      <c r="D6" s="35">
        <v>-10.178058500000001</v>
      </c>
      <c r="E6" s="35">
        <v>-48.310685599999999</v>
      </c>
      <c r="F6" s="39">
        <v>0</v>
      </c>
      <c r="G6" s="39">
        <v>0.99930555555555556</v>
      </c>
      <c r="H6" s="31" t="s">
        <v>1152</v>
      </c>
      <c r="I6" s="42">
        <v>0</v>
      </c>
      <c r="J6" s="31">
        <v>2</v>
      </c>
      <c r="K6" s="31">
        <v>0</v>
      </c>
      <c r="L6" s="31">
        <v>0</v>
      </c>
    </row>
    <row r="7" spans="1:12" ht="15.75" thickTop="1" x14ac:dyDescent="0.25">
      <c r="A7" s="24">
        <v>5</v>
      </c>
      <c r="B7" s="30" t="s">
        <v>4007</v>
      </c>
      <c r="C7" s="32"/>
      <c r="D7" s="36">
        <v>-10.163940999999999</v>
      </c>
      <c r="E7" s="36">
        <v>-48.253256299999997</v>
      </c>
      <c r="F7" s="40">
        <v>0</v>
      </c>
      <c r="G7" s="40">
        <v>0.99930555555555556</v>
      </c>
      <c r="H7" s="32" t="s">
        <v>1152</v>
      </c>
      <c r="I7" s="43">
        <v>0</v>
      </c>
      <c r="J7" s="32">
        <v>3</v>
      </c>
      <c r="K7" s="32">
        <v>0</v>
      </c>
      <c r="L7" s="32">
        <v>0</v>
      </c>
    </row>
    <row r="8" spans="1:12" ht="15.75" thickBot="1" x14ac:dyDescent="0.3">
      <c r="A8" s="24">
        <v>6</v>
      </c>
      <c r="B8" s="31" t="s">
        <v>4008</v>
      </c>
      <c r="C8" s="31"/>
      <c r="D8" s="35">
        <v>-10.179654599999999</v>
      </c>
      <c r="E8" s="35">
        <v>-48.261839299999998</v>
      </c>
      <c r="F8" s="39">
        <v>0</v>
      </c>
      <c r="G8" s="39">
        <v>0.99930555555555556</v>
      </c>
      <c r="H8" s="31" t="s">
        <v>1152</v>
      </c>
      <c r="I8" s="42">
        <v>0</v>
      </c>
      <c r="J8" s="31">
        <v>0</v>
      </c>
      <c r="K8" s="31">
        <v>0</v>
      </c>
      <c r="L8" s="31">
        <v>0</v>
      </c>
    </row>
    <row r="9" spans="1:12" ht="15.75" thickTop="1" x14ac:dyDescent="0.25">
      <c r="A9" s="24">
        <v>7</v>
      </c>
      <c r="B9" s="30" t="s">
        <v>4009</v>
      </c>
      <c r="C9" s="32"/>
      <c r="D9" s="36">
        <v>-10.2000595</v>
      </c>
      <c r="E9" s="36">
        <v>-48.244261100000003</v>
      </c>
      <c r="F9" s="40">
        <v>0</v>
      </c>
      <c r="G9" s="40">
        <v>0.99930555555555556</v>
      </c>
      <c r="H9" s="32" t="s">
        <v>1152</v>
      </c>
      <c r="I9" s="43">
        <v>0</v>
      </c>
      <c r="J9" s="32">
        <v>2</v>
      </c>
      <c r="K9" s="32">
        <v>0</v>
      </c>
      <c r="L9" s="32">
        <v>0</v>
      </c>
    </row>
    <row r="10" spans="1:12" ht="15.75" thickBot="1" x14ac:dyDescent="0.3">
      <c r="A10" s="24">
        <v>8</v>
      </c>
      <c r="B10" s="31" t="s">
        <v>4010</v>
      </c>
      <c r="C10" s="31"/>
      <c r="D10" s="35">
        <v>-10.1788875</v>
      </c>
      <c r="E10" s="35">
        <v>-48.324953000000001</v>
      </c>
      <c r="F10" s="39">
        <v>0</v>
      </c>
      <c r="G10" s="39">
        <v>0.99930555555555556</v>
      </c>
      <c r="H10" s="31" t="s">
        <v>1152</v>
      </c>
      <c r="I10" s="42">
        <v>0</v>
      </c>
      <c r="J10" s="31">
        <v>3</v>
      </c>
      <c r="K10" s="31">
        <v>0</v>
      </c>
      <c r="L10" s="31">
        <v>0</v>
      </c>
    </row>
    <row r="11" spans="1:12" ht="15.75" thickTop="1" x14ac:dyDescent="0.25">
      <c r="A11" s="24">
        <v>9</v>
      </c>
      <c r="B11" s="30" t="s">
        <v>4011</v>
      </c>
      <c r="C11" s="32"/>
      <c r="D11" s="36">
        <v>-10.1736489</v>
      </c>
      <c r="E11" s="36">
        <v>-48.328217500000001</v>
      </c>
      <c r="F11" s="40">
        <v>0</v>
      </c>
      <c r="G11" s="40">
        <v>0.99930555555555556</v>
      </c>
      <c r="H11" s="32" t="s">
        <v>1152</v>
      </c>
      <c r="I11" s="43">
        <v>0</v>
      </c>
      <c r="J11" s="32">
        <v>2</v>
      </c>
      <c r="K11" s="32">
        <v>0</v>
      </c>
      <c r="L11" s="32">
        <v>0</v>
      </c>
    </row>
    <row r="12" spans="1:12" ht="15.75" thickBot="1" x14ac:dyDescent="0.3">
      <c r="A12" s="24">
        <v>10</v>
      </c>
      <c r="B12" s="31" t="s">
        <v>4012</v>
      </c>
      <c r="C12" s="31"/>
      <c r="D12" s="35">
        <v>-10.1679464</v>
      </c>
      <c r="E12" s="35">
        <v>-48.335384300000001</v>
      </c>
      <c r="F12" s="39">
        <v>0</v>
      </c>
      <c r="G12" s="39">
        <v>0.99930555555555556</v>
      </c>
      <c r="H12" s="31" t="s">
        <v>1152</v>
      </c>
      <c r="I12" s="42">
        <v>0</v>
      </c>
      <c r="J12" s="31">
        <v>4</v>
      </c>
      <c r="K12" s="31">
        <v>0</v>
      </c>
      <c r="L12" s="31">
        <v>0</v>
      </c>
    </row>
    <row r="13" spans="1:12" ht="15.75" thickTop="1" x14ac:dyDescent="0.25">
      <c r="A13" s="24">
        <v>11</v>
      </c>
      <c r="B13" s="30" t="s">
        <v>4013</v>
      </c>
      <c r="C13" s="32"/>
      <c r="D13" s="36">
        <v>-10.156007600000001</v>
      </c>
      <c r="E13" s="36">
        <v>-48.326465900000002</v>
      </c>
      <c r="F13" s="40">
        <v>0</v>
      </c>
      <c r="G13" s="40">
        <v>0.99930555555555556</v>
      </c>
      <c r="H13" s="32" t="s">
        <v>1152</v>
      </c>
      <c r="I13" s="43">
        <v>0</v>
      </c>
      <c r="J13" s="32">
        <v>0</v>
      </c>
      <c r="K13" s="32">
        <v>0</v>
      </c>
      <c r="L13" s="32">
        <v>0</v>
      </c>
    </row>
    <row r="14" spans="1:12" ht="15.75" thickBot="1" x14ac:dyDescent="0.3">
      <c r="A14" s="24">
        <v>12</v>
      </c>
      <c r="B14" s="31" t="s">
        <v>4014</v>
      </c>
      <c r="C14" s="31"/>
      <c r="D14" s="35">
        <v>-10.1614991</v>
      </c>
      <c r="E14" s="35">
        <v>-48.329684499999999</v>
      </c>
      <c r="F14" s="39">
        <v>0</v>
      </c>
      <c r="G14" s="39">
        <v>0.99930555555555556</v>
      </c>
      <c r="H14" s="31" t="s">
        <v>1152</v>
      </c>
      <c r="I14" s="42">
        <v>0</v>
      </c>
      <c r="J14" s="31">
        <v>2</v>
      </c>
      <c r="K14" s="31">
        <v>0</v>
      </c>
      <c r="L14" s="31">
        <v>0</v>
      </c>
    </row>
    <row r="15" spans="1:12" ht="15.75" thickTop="1" x14ac:dyDescent="0.25">
      <c r="A15" s="24">
        <v>13</v>
      </c>
      <c r="B15" s="30" t="s">
        <v>4015</v>
      </c>
      <c r="C15" s="32"/>
      <c r="D15" s="36">
        <v>-10.1625552</v>
      </c>
      <c r="E15" s="36">
        <v>-48.318269100000002</v>
      </c>
      <c r="F15" s="40">
        <v>0</v>
      </c>
      <c r="G15" s="40">
        <v>0.99930555555555556</v>
      </c>
      <c r="H15" s="32" t="s">
        <v>1152</v>
      </c>
      <c r="I15" s="43">
        <v>0</v>
      </c>
      <c r="J15" s="32">
        <v>0</v>
      </c>
      <c r="K15" s="32">
        <v>0</v>
      </c>
      <c r="L15" s="32">
        <v>0</v>
      </c>
    </row>
    <row r="16" spans="1:12" ht="15.75" thickBot="1" x14ac:dyDescent="0.3">
      <c r="A16" s="24">
        <v>14</v>
      </c>
      <c r="B16" s="31" t="s">
        <v>4016</v>
      </c>
      <c r="C16" s="31"/>
      <c r="D16" s="35">
        <v>-10.152712599999999</v>
      </c>
      <c r="E16" s="35">
        <v>-48.325392999999998</v>
      </c>
      <c r="F16" s="39">
        <v>0</v>
      </c>
      <c r="G16" s="39">
        <v>0.99930555555555556</v>
      </c>
      <c r="H16" s="31" t="s">
        <v>1152</v>
      </c>
      <c r="I16" s="42">
        <v>0</v>
      </c>
      <c r="J16" s="31">
        <v>3</v>
      </c>
      <c r="K16" s="31">
        <v>0</v>
      </c>
      <c r="L16" s="31">
        <v>0</v>
      </c>
    </row>
    <row r="17" spans="1:12" ht="15.75" thickTop="1" x14ac:dyDescent="0.25">
      <c r="A17" s="24">
        <v>15</v>
      </c>
      <c r="B17" s="30" t="s">
        <v>4017</v>
      </c>
      <c r="C17" s="32"/>
      <c r="D17" s="36">
        <v>-10.174674899999999</v>
      </c>
      <c r="E17" s="36">
        <v>-48.3076261</v>
      </c>
      <c r="F17" s="40">
        <v>0</v>
      </c>
      <c r="G17" s="40">
        <v>0.99930555555555556</v>
      </c>
      <c r="H17" s="32" t="s">
        <v>1152</v>
      </c>
      <c r="I17" s="43">
        <v>0</v>
      </c>
      <c r="J17" s="32">
        <v>4</v>
      </c>
      <c r="K17" s="32">
        <v>0</v>
      </c>
      <c r="L17" s="32">
        <v>0</v>
      </c>
    </row>
    <row r="18" spans="1:12" ht="15.75" thickBot="1" x14ac:dyDescent="0.3">
      <c r="A18" s="24">
        <v>16</v>
      </c>
      <c r="B18" s="31" t="s">
        <v>4018</v>
      </c>
      <c r="C18" s="31"/>
      <c r="D18" s="35">
        <v>-10.1847134</v>
      </c>
      <c r="E18" s="35">
        <v>-48.309062900000001</v>
      </c>
      <c r="F18" s="39">
        <v>0</v>
      </c>
      <c r="G18" s="39">
        <v>0.99930555555555556</v>
      </c>
      <c r="H18" s="31" t="s">
        <v>1152</v>
      </c>
      <c r="I18" s="42">
        <v>0</v>
      </c>
      <c r="J18" s="31">
        <v>1</v>
      </c>
      <c r="K18" s="31">
        <v>0</v>
      </c>
      <c r="L18" s="31">
        <v>0</v>
      </c>
    </row>
    <row r="19" spans="1:12" ht="15.75" thickTop="1" x14ac:dyDescent="0.25">
      <c r="A19" s="24">
        <v>17</v>
      </c>
      <c r="B19" s="30" t="s">
        <v>4019</v>
      </c>
      <c r="C19" s="32"/>
      <c r="D19" s="36">
        <v>-10.193465399999999</v>
      </c>
      <c r="E19" s="36">
        <v>-48.254106100000001</v>
      </c>
      <c r="F19" s="40">
        <v>0</v>
      </c>
      <c r="G19" s="40">
        <v>0.99930555555555556</v>
      </c>
      <c r="H19" s="32" t="s">
        <v>1152</v>
      </c>
      <c r="I19" s="43">
        <v>0</v>
      </c>
      <c r="J19" s="32">
        <v>2</v>
      </c>
      <c r="K19" s="32">
        <v>0</v>
      </c>
      <c r="L19" s="32">
        <v>0</v>
      </c>
    </row>
    <row r="20" spans="1:12" x14ac:dyDescent="0.25">
      <c r="A20" s="23">
        <v>18</v>
      </c>
      <c r="B20" s="31" t="s">
        <v>4020</v>
      </c>
      <c r="C20" s="75"/>
      <c r="D20" s="76">
        <v>-10.177837</v>
      </c>
      <c r="E20" s="76">
        <v>-48.2921908</v>
      </c>
      <c r="F20" s="77">
        <v>0</v>
      </c>
      <c r="G20" s="77">
        <v>0.99930555555555556</v>
      </c>
      <c r="H20" s="75" t="s">
        <v>1152</v>
      </c>
      <c r="I20" s="78">
        <v>0</v>
      </c>
      <c r="J20" s="75">
        <v>5</v>
      </c>
      <c r="K20" s="75">
        <v>0</v>
      </c>
      <c r="L20" s="75">
        <v>0</v>
      </c>
    </row>
  </sheetData>
  <phoneticPr fontId="28" type="noConversion"/>
  <conditionalFormatting sqref="A2">
    <cfRule type="expression" dxfId="202" priority="1" stopIfTrue="1">
      <formula>ISBLANK(A2)</formula>
    </cfRule>
  </conditionalFormatting>
  <conditionalFormatting sqref="B2">
    <cfRule type="expression" dxfId="201" priority="2" stopIfTrue="1">
      <formula>ISBLANK(B2)</formula>
    </cfRule>
  </conditionalFormatting>
  <conditionalFormatting sqref="F2">
    <cfRule type="cellIs" dxfId="200" priority="3" stopIfTrue="1" operator="greaterThan">
      <formula>G2-$I$2</formula>
    </cfRule>
  </conditionalFormatting>
  <conditionalFormatting sqref="G2">
    <cfRule type="cellIs" dxfId="199" priority="4" stopIfTrue="1" operator="lessThan">
      <formula>F2+$I$2</formula>
    </cfRule>
  </conditionalFormatting>
  <conditionalFormatting sqref="I2">
    <cfRule type="cellIs" dxfId="198" priority="5" stopIfTrue="1" operator="greaterThan">
      <formula>G2-F2 + 0.0001</formula>
    </cfRule>
  </conditionalFormatting>
  <conditionalFormatting sqref="A3">
    <cfRule type="expression" dxfId="197" priority="6" stopIfTrue="1">
      <formula>ISBLANK(A3)</formula>
    </cfRule>
  </conditionalFormatting>
  <conditionalFormatting sqref="B3 B5 B7 B9 B11 B13 B15 B17 B19">
    <cfRule type="expression" dxfId="196" priority="7" stopIfTrue="1">
      <formula>ISBLANK(B3)</formula>
    </cfRule>
  </conditionalFormatting>
  <conditionalFormatting sqref="F3">
    <cfRule type="cellIs" dxfId="195" priority="8" stopIfTrue="1" operator="greaterThan">
      <formula>G3-$I$3</formula>
    </cfRule>
  </conditionalFormatting>
  <conditionalFormatting sqref="G3">
    <cfRule type="cellIs" dxfId="194" priority="9" stopIfTrue="1" operator="lessThan">
      <formula>F3+$I$3</formula>
    </cfRule>
  </conditionalFormatting>
  <conditionalFormatting sqref="H3">
    <cfRule type="cellIs" dxfId="193" priority="10" stopIfTrue="1" operator="equal">
      <formula>"Pode ser visitado"</formula>
    </cfRule>
    <cfRule type="cellIs" dxfId="192" priority="11" stopIfTrue="1" operator="equal">
      <formula>"Não visite"</formula>
    </cfRule>
  </conditionalFormatting>
  <conditionalFormatting sqref="I3">
    <cfRule type="cellIs" dxfId="191" priority="12" stopIfTrue="1" operator="greaterThan">
      <formula>G3-F3 + 0.0001</formula>
    </cfRule>
  </conditionalFormatting>
  <conditionalFormatting sqref="A4">
    <cfRule type="expression" dxfId="190" priority="13" stopIfTrue="1">
      <formula>ISBLANK(A4)</formula>
    </cfRule>
  </conditionalFormatting>
  <conditionalFormatting sqref="B4 B6 B8 B10 B12 B14 B16 B18 B20">
    <cfRule type="expression" dxfId="189" priority="14" stopIfTrue="1">
      <formula>ISBLANK(B4)</formula>
    </cfRule>
  </conditionalFormatting>
  <conditionalFormatting sqref="F4">
    <cfRule type="cellIs" dxfId="188" priority="15" stopIfTrue="1" operator="greaterThan">
      <formula>G4-$I$4</formula>
    </cfRule>
  </conditionalFormatting>
  <conditionalFormatting sqref="G4">
    <cfRule type="cellIs" dxfId="187" priority="16" stopIfTrue="1" operator="lessThan">
      <formula>F4+$I$4</formula>
    </cfRule>
  </conditionalFormatting>
  <conditionalFormatting sqref="H4">
    <cfRule type="cellIs" dxfId="186" priority="17" stopIfTrue="1" operator="equal">
      <formula>"Pode ser visitado"</formula>
    </cfRule>
    <cfRule type="cellIs" dxfId="185" priority="18" stopIfTrue="1" operator="equal">
      <formula>"Não visite"</formula>
    </cfRule>
  </conditionalFormatting>
  <conditionalFormatting sqref="I4">
    <cfRule type="cellIs" dxfId="184" priority="19" stopIfTrue="1" operator="greaterThan">
      <formula>G4-F4 + 0.0001</formula>
    </cfRule>
  </conditionalFormatting>
  <conditionalFormatting sqref="A5">
    <cfRule type="expression" dxfId="183" priority="20" stopIfTrue="1">
      <formula>ISBLANK(A5)</formula>
    </cfRule>
  </conditionalFormatting>
  <conditionalFormatting sqref="B5">
    <cfRule type="expression" dxfId="182" priority="21" stopIfTrue="1">
      <formula>ISBLANK(B5)</formula>
    </cfRule>
  </conditionalFormatting>
  <conditionalFormatting sqref="F5">
    <cfRule type="cellIs" dxfId="181" priority="22" stopIfTrue="1" operator="greaterThan">
      <formula>G5-$I$5</formula>
    </cfRule>
  </conditionalFormatting>
  <conditionalFormatting sqref="G5">
    <cfRule type="cellIs" dxfId="180" priority="23" stopIfTrue="1" operator="lessThan">
      <formula>F5+$I$5</formula>
    </cfRule>
  </conditionalFormatting>
  <conditionalFormatting sqref="H5">
    <cfRule type="cellIs" dxfId="179" priority="24" stopIfTrue="1" operator="equal">
      <formula>"Pode ser visitado"</formula>
    </cfRule>
  </conditionalFormatting>
  <conditionalFormatting sqref="H5">
    <cfRule type="cellIs" dxfId="178" priority="25" stopIfTrue="1" operator="equal">
      <formula>"Não visite"</formula>
    </cfRule>
  </conditionalFormatting>
  <conditionalFormatting sqref="I5">
    <cfRule type="cellIs" dxfId="177" priority="26" stopIfTrue="1" operator="greaterThan">
      <formula>G5-F5 + 0.0001</formula>
    </cfRule>
  </conditionalFormatting>
  <conditionalFormatting sqref="A6">
    <cfRule type="expression" dxfId="176" priority="27" stopIfTrue="1">
      <formula>ISBLANK(A6)</formula>
    </cfRule>
  </conditionalFormatting>
  <conditionalFormatting sqref="B6">
    <cfRule type="expression" dxfId="175" priority="28" stopIfTrue="1">
      <formula>ISBLANK(B6)</formula>
    </cfRule>
  </conditionalFormatting>
  <conditionalFormatting sqref="F6">
    <cfRule type="cellIs" dxfId="174" priority="29" stopIfTrue="1" operator="greaterThan">
      <formula>G6-$I$6</formula>
    </cfRule>
  </conditionalFormatting>
  <conditionalFormatting sqref="G6">
    <cfRule type="cellIs" dxfId="173" priority="30" stopIfTrue="1" operator="lessThan">
      <formula>F6+$I$6</formula>
    </cfRule>
  </conditionalFormatting>
  <conditionalFormatting sqref="H6">
    <cfRule type="cellIs" dxfId="172" priority="31" stopIfTrue="1" operator="equal">
      <formula>"Pode ser visitado"</formula>
    </cfRule>
  </conditionalFormatting>
  <conditionalFormatting sqref="H6">
    <cfRule type="cellIs" dxfId="171" priority="32" stopIfTrue="1" operator="equal">
      <formula>"Não visite"</formula>
    </cfRule>
  </conditionalFormatting>
  <conditionalFormatting sqref="I6">
    <cfRule type="cellIs" dxfId="170" priority="33" stopIfTrue="1" operator="greaterThan">
      <formula>G6-F6 + 0.0001</formula>
    </cfRule>
  </conditionalFormatting>
  <conditionalFormatting sqref="A7">
    <cfRule type="expression" dxfId="169" priority="34" stopIfTrue="1">
      <formula>ISBLANK(A7)</formula>
    </cfRule>
  </conditionalFormatting>
  <conditionalFormatting sqref="B7">
    <cfRule type="expression" dxfId="168" priority="35" stopIfTrue="1">
      <formula>ISBLANK(B7)</formula>
    </cfRule>
  </conditionalFormatting>
  <conditionalFormatting sqref="F7">
    <cfRule type="cellIs" dxfId="167" priority="36" stopIfTrue="1" operator="greaterThan">
      <formula>G7-$I$7</formula>
    </cfRule>
  </conditionalFormatting>
  <conditionalFormatting sqref="G7">
    <cfRule type="cellIs" dxfId="166" priority="37" stopIfTrue="1" operator="lessThan">
      <formula>F7+$I$7</formula>
    </cfRule>
  </conditionalFormatting>
  <conditionalFormatting sqref="H7">
    <cfRule type="cellIs" dxfId="165" priority="38" stopIfTrue="1" operator="equal">
      <formula>"Pode ser visitado"</formula>
    </cfRule>
  </conditionalFormatting>
  <conditionalFormatting sqref="H7">
    <cfRule type="cellIs" dxfId="164" priority="39" stopIfTrue="1" operator="equal">
      <formula>"Não visite"</formula>
    </cfRule>
  </conditionalFormatting>
  <conditionalFormatting sqref="I7">
    <cfRule type="cellIs" dxfId="163" priority="40" stopIfTrue="1" operator="greaterThan">
      <formula>G7-F7 + 0.0001</formula>
    </cfRule>
  </conditionalFormatting>
  <conditionalFormatting sqref="A8">
    <cfRule type="expression" dxfId="162" priority="41" stopIfTrue="1">
      <formula>ISBLANK(A8)</formula>
    </cfRule>
  </conditionalFormatting>
  <conditionalFormatting sqref="B8">
    <cfRule type="expression" dxfId="161" priority="42" stopIfTrue="1">
      <formula>ISBLANK(B8)</formula>
    </cfRule>
  </conditionalFormatting>
  <conditionalFormatting sqref="F8">
    <cfRule type="cellIs" dxfId="160" priority="43" stopIfTrue="1" operator="greaterThan">
      <formula>G8-$I$8</formula>
    </cfRule>
  </conditionalFormatting>
  <conditionalFormatting sqref="G8">
    <cfRule type="cellIs" dxfId="159" priority="44" stopIfTrue="1" operator="lessThan">
      <formula>F8+$I$8</formula>
    </cfRule>
  </conditionalFormatting>
  <conditionalFormatting sqref="H8">
    <cfRule type="cellIs" dxfId="158" priority="45" stopIfTrue="1" operator="equal">
      <formula>"Pode ser visitado"</formula>
    </cfRule>
  </conditionalFormatting>
  <conditionalFormatting sqref="H8">
    <cfRule type="cellIs" dxfId="157" priority="46" stopIfTrue="1" operator="equal">
      <formula>"Não visite"</formula>
    </cfRule>
  </conditionalFormatting>
  <conditionalFormatting sqref="I8">
    <cfRule type="cellIs" dxfId="156" priority="47" stopIfTrue="1" operator="greaterThan">
      <formula>G8-F8 + 0.0001</formula>
    </cfRule>
  </conditionalFormatting>
  <conditionalFormatting sqref="A9">
    <cfRule type="expression" dxfId="155" priority="48" stopIfTrue="1">
      <formula>ISBLANK(A9)</formula>
    </cfRule>
  </conditionalFormatting>
  <conditionalFormatting sqref="B9">
    <cfRule type="expression" dxfId="154" priority="49" stopIfTrue="1">
      <formula>ISBLANK(B9)</formula>
    </cfRule>
  </conditionalFormatting>
  <conditionalFormatting sqref="F9">
    <cfRule type="cellIs" dxfId="153" priority="50" stopIfTrue="1" operator="greaterThan">
      <formula>G9-$I$9</formula>
    </cfRule>
  </conditionalFormatting>
  <conditionalFormatting sqref="G9">
    <cfRule type="cellIs" dxfId="152" priority="51" stopIfTrue="1" operator="lessThan">
      <formula>F9+$I$9</formula>
    </cfRule>
  </conditionalFormatting>
  <conditionalFormatting sqref="H9">
    <cfRule type="cellIs" dxfId="151" priority="52" stopIfTrue="1" operator="equal">
      <formula>"Pode ser visitado"</formula>
    </cfRule>
  </conditionalFormatting>
  <conditionalFormatting sqref="H9">
    <cfRule type="cellIs" dxfId="150" priority="53" stopIfTrue="1" operator="equal">
      <formula>"Não visite"</formula>
    </cfRule>
  </conditionalFormatting>
  <conditionalFormatting sqref="I9">
    <cfRule type="cellIs" dxfId="149" priority="54" stopIfTrue="1" operator="greaterThan">
      <formula>G9-F9 + 0.0001</formula>
    </cfRule>
  </conditionalFormatting>
  <conditionalFormatting sqref="A10">
    <cfRule type="expression" dxfId="148" priority="55" stopIfTrue="1">
      <formula>ISBLANK(A10)</formula>
    </cfRule>
  </conditionalFormatting>
  <conditionalFormatting sqref="B10">
    <cfRule type="expression" dxfId="147" priority="56" stopIfTrue="1">
      <formula>ISBLANK(B10)</formula>
    </cfRule>
  </conditionalFormatting>
  <conditionalFormatting sqref="F10">
    <cfRule type="cellIs" dxfId="146" priority="57" stopIfTrue="1" operator="greaterThan">
      <formula>G10-$I$10</formula>
    </cfRule>
  </conditionalFormatting>
  <conditionalFormatting sqref="G10">
    <cfRule type="cellIs" dxfId="145" priority="58" stopIfTrue="1" operator="lessThan">
      <formula>F10+$I$10</formula>
    </cfRule>
  </conditionalFormatting>
  <conditionalFormatting sqref="H10">
    <cfRule type="cellIs" dxfId="144" priority="59" stopIfTrue="1" operator="equal">
      <formula>"Pode ser visitado"</formula>
    </cfRule>
  </conditionalFormatting>
  <conditionalFormatting sqref="H10">
    <cfRule type="cellIs" dxfId="143" priority="60" stopIfTrue="1" operator="equal">
      <formula>"Não visite"</formula>
    </cfRule>
  </conditionalFormatting>
  <conditionalFormatting sqref="I10">
    <cfRule type="cellIs" dxfId="142" priority="61" stopIfTrue="1" operator="greaterThan">
      <formula>G10-F10 + 0.0001</formula>
    </cfRule>
  </conditionalFormatting>
  <conditionalFormatting sqref="A11">
    <cfRule type="expression" dxfId="141" priority="62" stopIfTrue="1">
      <formula>ISBLANK(A11)</formula>
    </cfRule>
  </conditionalFormatting>
  <conditionalFormatting sqref="B11">
    <cfRule type="expression" dxfId="140" priority="63" stopIfTrue="1">
      <formula>ISBLANK(B11)</formula>
    </cfRule>
  </conditionalFormatting>
  <conditionalFormatting sqref="F11">
    <cfRule type="cellIs" dxfId="139" priority="64" stopIfTrue="1" operator="greaterThan">
      <formula>G11-$I$11</formula>
    </cfRule>
  </conditionalFormatting>
  <conditionalFormatting sqref="G11">
    <cfRule type="cellIs" dxfId="138" priority="65" stopIfTrue="1" operator="lessThan">
      <formula>F11+$I$11</formula>
    </cfRule>
  </conditionalFormatting>
  <conditionalFormatting sqref="H11">
    <cfRule type="cellIs" dxfId="137" priority="66" stopIfTrue="1" operator="equal">
      <formula>"Pode ser visitado"</formula>
    </cfRule>
  </conditionalFormatting>
  <conditionalFormatting sqref="H11">
    <cfRule type="cellIs" dxfId="136" priority="67" stopIfTrue="1" operator="equal">
      <formula>"Não visite"</formula>
    </cfRule>
  </conditionalFormatting>
  <conditionalFormatting sqref="I11">
    <cfRule type="cellIs" dxfId="135" priority="68" stopIfTrue="1" operator="greaterThan">
      <formula>G11-F11 + 0.0001</formula>
    </cfRule>
  </conditionalFormatting>
  <conditionalFormatting sqref="A12">
    <cfRule type="expression" dxfId="134" priority="69" stopIfTrue="1">
      <formula>ISBLANK(A12)</formula>
    </cfRule>
  </conditionalFormatting>
  <conditionalFormatting sqref="B12">
    <cfRule type="expression" dxfId="133" priority="70" stopIfTrue="1">
      <formula>ISBLANK(B12)</formula>
    </cfRule>
  </conditionalFormatting>
  <conditionalFormatting sqref="F12">
    <cfRule type="cellIs" dxfId="132" priority="71" stopIfTrue="1" operator="greaterThan">
      <formula>G12-$I$12</formula>
    </cfRule>
  </conditionalFormatting>
  <conditionalFormatting sqref="G12">
    <cfRule type="cellIs" dxfId="131" priority="72" stopIfTrue="1" operator="lessThan">
      <formula>F12+$I$12</formula>
    </cfRule>
  </conditionalFormatting>
  <conditionalFormatting sqref="H12">
    <cfRule type="cellIs" dxfId="130" priority="73" stopIfTrue="1" operator="equal">
      <formula>"Pode ser visitado"</formula>
    </cfRule>
  </conditionalFormatting>
  <conditionalFormatting sqref="H12">
    <cfRule type="cellIs" dxfId="129" priority="74" stopIfTrue="1" operator="equal">
      <formula>"Não visite"</formula>
    </cfRule>
  </conditionalFormatting>
  <conditionalFormatting sqref="I12">
    <cfRule type="cellIs" dxfId="128" priority="75" stopIfTrue="1" operator="greaterThan">
      <formula>G12-F12 + 0.0001</formula>
    </cfRule>
  </conditionalFormatting>
  <conditionalFormatting sqref="A13">
    <cfRule type="expression" dxfId="127" priority="76" stopIfTrue="1">
      <formula>ISBLANK(A13)</formula>
    </cfRule>
  </conditionalFormatting>
  <conditionalFormatting sqref="B13">
    <cfRule type="expression" dxfId="126" priority="77" stopIfTrue="1">
      <formula>ISBLANK(B13)</formula>
    </cfRule>
  </conditionalFormatting>
  <conditionalFormatting sqref="F13">
    <cfRule type="cellIs" dxfId="125" priority="78" stopIfTrue="1" operator="greaterThan">
      <formula>G13-$I$13</formula>
    </cfRule>
  </conditionalFormatting>
  <conditionalFormatting sqref="G13">
    <cfRule type="cellIs" dxfId="124" priority="79" stopIfTrue="1" operator="lessThan">
      <formula>F13+$I$13</formula>
    </cfRule>
  </conditionalFormatting>
  <conditionalFormatting sqref="H13">
    <cfRule type="cellIs" dxfId="123" priority="80" stopIfTrue="1" operator="equal">
      <formula>"Pode ser visitado"</formula>
    </cfRule>
  </conditionalFormatting>
  <conditionalFormatting sqref="H13">
    <cfRule type="cellIs" dxfId="122" priority="81" stopIfTrue="1" operator="equal">
      <formula>"Não visite"</formula>
    </cfRule>
  </conditionalFormatting>
  <conditionalFormatting sqref="I13">
    <cfRule type="cellIs" dxfId="121" priority="82" stopIfTrue="1" operator="greaterThan">
      <formula>G13-F13 + 0.0001</formula>
    </cfRule>
  </conditionalFormatting>
  <conditionalFormatting sqref="A14">
    <cfRule type="expression" dxfId="120" priority="83" stopIfTrue="1">
      <formula>ISBLANK(A14)</formula>
    </cfRule>
  </conditionalFormatting>
  <conditionalFormatting sqref="B14">
    <cfRule type="expression" dxfId="119" priority="84" stopIfTrue="1">
      <formula>ISBLANK(B14)</formula>
    </cfRule>
  </conditionalFormatting>
  <conditionalFormatting sqref="F14">
    <cfRule type="cellIs" dxfId="118" priority="85" stopIfTrue="1" operator="greaterThan">
      <formula>G14-$I$14</formula>
    </cfRule>
  </conditionalFormatting>
  <conditionalFormatting sqref="G14">
    <cfRule type="cellIs" dxfId="117" priority="86" stopIfTrue="1" operator="lessThan">
      <formula>F14+$I$14</formula>
    </cfRule>
  </conditionalFormatting>
  <conditionalFormatting sqref="H14">
    <cfRule type="cellIs" dxfId="116" priority="87" stopIfTrue="1" operator="equal">
      <formula>"Pode ser visitado"</formula>
    </cfRule>
  </conditionalFormatting>
  <conditionalFormatting sqref="H14">
    <cfRule type="cellIs" dxfId="115" priority="88" stopIfTrue="1" operator="equal">
      <formula>"Não visite"</formula>
    </cfRule>
  </conditionalFormatting>
  <conditionalFormatting sqref="I14">
    <cfRule type="cellIs" dxfId="114" priority="89" stopIfTrue="1" operator="greaterThan">
      <formula>G14-F14 + 0.0001</formula>
    </cfRule>
  </conditionalFormatting>
  <conditionalFormatting sqref="A15">
    <cfRule type="expression" dxfId="113" priority="90" stopIfTrue="1">
      <formula>ISBLANK(A15)</formula>
    </cfRule>
  </conditionalFormatting>
  <conditionalFormatting sqref="B15">
    <cfRule type="expression" dxfId="112" priority="91" stopIfTrue="1">
      <formula>ISBLANK(B15)</formula>
    </cfRule>
  </conditionalFormatting>
  <conditionalFormatting sqref="F15">
    <cfRule type="cellIs" dxfId="111" priority="92" stopIfTrue="1" operator="greaterThan">
      <formula>G15-$I$15</formula>
    </cfRule>
  </conditionalFormatting>
  <conditionalFormatting sqref="G15">
    <cfRule type="cellIs" dxfId="110" priority="93" stopIfTrue="1" operator="lessThan">
      <formula>F15+$I$15</formula>
    </cfRule>
  </conditionalFormatting>
  <conditionalFormatting sqref="H15">
    <cfRule type="cellIs" dxfId="109" priority="94" stopIfTrue="1" operator="equal">
      <formula>"Pode ser visitado"</formula>
    </cfRule>
  </conditionalFormatting>
  <conditionalFormatting sqref="H15">
    <cfRule type="cellIs" dxfId="108" priority="95" stopIfTrue="1" operator="equal">
      <formula>"Não visite"</formula>
    </cfRule>
  </conditionalFormatting>
  <conditionalFormatting sqref="I15">
    <cfRule type="cellIs" dxfId="107" priority="96" stopIfTrue="1" operator="greaterThan">
      <formula>G15-F15 + 0.0001</formula>
    </cfRule>
  </conditionalFormatting>
  <conditionalFormatting sqref="A16">
    <cfRule type="expression" dxfId="106" priority="97" stopIfTrue="1">
      <formula>ISBLANK(A16)</formula>
    </cfRule>
  </conditionalFormatting>
  <conditionalFormatting sqref="B16">
    <cfRule type="expression" dxfId="105" priority="98" stopIfTrue="1">
      <formula>ISBLANK(B16)</formula>
    </cfRule>
  </conditionalFormatting>
  <conditionalFormatting sqref="F16">
    <cfRule type="cellIs" dxfId="104" priority="99" stopIfTrue="1" operator="greaterThan">
      <formula>G16-$I$16</formula>
    </cfRule>
  </conditionalFormatting>
  <conditionalFormatting sqref="G16">
    <cfRule type="cellIs" dxfId="103" priority="100" stopIfTrue="1" operator="lessThan">
      <formula>F16+$I$16</formula>
    </cfRule>
  </conditionalFormatting>
  <conditionalFormatting sqref="H16">
    <cfRule type="cellIs" dxfId="102" priority="101" stopIfTrue="1" operator="equal">
      <formula>"Pode ser visitado"</formula>
    </cfRule>
  </conditionalFormatting>
  <conditionalFormatting sqref="H16">
    <cfRule type="cellIs" dxfId="101" priority="102" stopIfTrue="1" operator="equal">
      <formula>"Não visite"</formula>
    </cfRule>
  </conditionalFormatting>
  <conditionalFormatting sqref="I16">
    <cfRule type="cellIs" dxfId="100" priority="103" stopIfTrue="1" operator="greaterThan">
      <formula>G16-F16 + 0.0001</formula>
    </cfRule>
  </conditionalFormatting>
  <conditionalFormatting sqref="A17">
    <cfRule type="expression" dxfId="99" priority="104" stopIfTrue="1">
      <formula>ISBLANK(A17)</formula>
    </cfRule>
  </conditionalFormatting>
  <conditionalFormatting sqref="B17">
    <cfRule type="expression" dxfId="98" priority="105" stopIfTrue="1">
      <formula>ISBLANK(B17)</formula>
    </cfRule>
  </conditionalFormatting>
  <conditionalFormatting sqref="F17">
    <cfRule type="cellIs" dxfId="97" priority="106" stopIfTrue="1" operator="greaterThan">
      <formula>G17-$I$17</formula>
    </cfRule>
  </conditionalFormatting>
  <conditionalFormatting sqref="G17">
    <cfRule type="cellIs" dxfId="96" priority="107" stopIfTrue="1" operator="lessThan">
      <formula>F17+$I$17</formula>
    </cfRule>
  </conditionalFormatting>
  <conditionalFormatting sqref="H17">
    <cfRule type="cellIs" dxfId="95" priority="108" stopIfTrue="1" operator="equal">
      <formula>"Pode ser visitado"</formula>
    </cfRule>
  </conditionalFormatting>
  <conditionalFormatting sqref="H17">
    <cfRule type="cellIs" dxfId="94" priority="109" stopIfTrue="1" operator="equal">
      <formula>"Não visite"</formula>
    </cfRule>
  </conditionalFormatting>
  <conditionalFormatting sqref="I17">
    <cfRule type="cellIs" dxfId="93" priority="110" stopIfTrue="1" operator="greaterThan">
      <formula>G17-F17 + 0.0001</formula>
    </cfRule>
  </conditionalFormatting>
  <conditionalFormatting sqref="A18">
    <cfRule type="expression" dxfId="92" priority="111" stopIfTrue="1">
      <formula>ISBLANK(A18)</formula>
    </cfRule>
  </conditionalFormatting>
  <conditionalFormatting sqref="B18">
    <cfRule type="expression" dxfId="91" priority="112" stopIfTrue="1">
      <formula>ISBLANK(B18)</formula>
    </cfRule>
  </conditionalFormatting>
  <conditionalFormatting sqref="F18">
    <cfRule type="cellIs" dxfId="90" priority="113" stopIfTrue="1" operator="greaterThan">
      <formula>G18-$I$18</formula>
    </cfRule>
  </conditionalFormatting>
  <conditionalFormatting sqref="G18">
    <cfRule type="cellIs" dxfId="89" priority="114" stopIfTrue="1" operator="lessThan">
      <formula>F18+$I$18</formula>
    </cfRule>
  </conditionalFormatting>
  <conditionalFormatting sqref="H18">
    <cfRule type="cellIs" dxfId="88" priority="115" stopIfTrue="1" operator="equal">
      <formula>"Pode ser visitado"</formula>
    </cfRule>
  </conditionalFormatting>
  <conditionalFormatting sqref="H18">
    <cfRule type="cellIs" dxfId="87" priority="116" stopIfTrue="1" operator="equal">
      <formula>"Não visite"</formula>
    </cfRule>
  </conditionalFormatting>
  <conditionalFormatting sqref="I18">
    <cfRule type="cellIs" dxfId="86" priority="117" stopIfTrue="1" operator="greaterThan">
      <formula>G18-F18 + 0.0001</formula>
    </cfRule>
  </conditionalFormatting>
  <conditionalFormatting sqref="A19">
    <cfRule type="expression" dxfId="85" priority="118" stopIfTrue="1">
      <formula>ISBLANK(A19)</formula>
    </cfRule>
  </conditionalFormatting>
  <conditionalFormatting sqref="B19">
    <cfRule type="expression" dxfId="84" priority="119" stopIfTrue="1">
      <formula>ISBLANK(B19)</formula>
    </cfRule>
  </conditionalFormatting>
  <conditionalFormatting sqref="F19">
    <cfRule type="cellIs" dxfId="83" priority="120" stopIfTrue="1" operator="greaterThan">
      <formula>G19-$I$19</formula>
    </cfRule>
  </conditionalFormatting>
  <conditionalFormatting sqref="G19">
    <cfRule type="cellIs" dxfId="82" priority="121" stopIfTrue="1" operator="lessThan">
      <formula>F19+$I$19</formula>
    </cfRule>
  </conditionalFormatting>
  <conditionalFormatting sqref="H19">
    <cfRule type="cellIs" dxfId="81" priority="122" stopIfTrue="1" operator="equal">
      <formula>"Pode ser visitado"</formula>
    </cfRule>
  </conditionalFormatting>
  <conditionalFormatting sqref="H19">
    <cfRule type="cellIs" dxfId="80" priority="123" stopIfTrue="1" operator="equal">
      <formula>"Não visite"</formula>
    </cfRule>
  </conditionalFormatting>
  <conditionalFormatting sqref="I19">
    <cfRule type="cellIs" dxfId="79" priority="124" stopIfTrue="1" operator="greaterThan">
      <formula>G19-F19 + 0.0001</formula>
    </cfRule>
  </conditionalFormatting>
  <conditionalFormatting sqref="A20">
    <cfRule type="expression" dxfId="78" priority="125" stopIfTrue="1">
      <formula>ISBLANK(A20)</formula>
    </cfRule>
  </conditionalFormatting>
  <conditionalFormatting sqref="B20">
    <cfRule type="expression" dxfId="77" priority="126" stopIfTrue="1">
      <formula>ISBLANK(B20)</formula>
    </cfRule>
  </conditionalFormatting>
  <conditionalFormatting sqref="F20">
    <cfRule type="cellIs" dxfId="76" priority="127" stopIfTrue="1" operator="greaterThan">
      <formula>G20-$I$20</formula>
    </cfRule>
  </conditionalFormatting>
  <conditionalFormatting sqref="G20">
    <cfRule type="cellIs" dxfId="75" priority="128" stopIfTrue="1" operator="lessThan">
      <formula>F20+$I$20</formula>
    </cfRule>
  </conditionalFormatting>
  <conditionalFormatting sqref="H20">
    <cfRule type="cellIs" dxfId="74" priority="129" stopIfTrue="1" operator="equal">
      <formula>"Pode ser visitado"</formula>
    </cfRule>
  </conditionalFormatting>
  <conditionalFormatting sqref="H20">
    <cfRule type="cellIs" dxfId="73" priority="130" stopIfTrue="1" operator="equal">
      <formula>"Não visite"</formula>
    </cfRule>
  </conditionalFormatting>
  <conditionalFormatting sqref="I20">
    <cfRule type="cellIs" dxfId="72" priority="131" stopIfTrue="1" operator="greaterThan">
      <formula>G20-F20 + 0.0001</formula>
    </cfRule>
  </conditionalFormatting>
  <conditionalFormatting sqref="J3:J20">
    <cfRule type="cellIs" dxfId="71" priority="132" stopIfTrue="1" operator="lessThan">
      <formula>0</formula>
    </cfRule>
  </conditionalFormatting>
  <conditionalFormatting sqref="B2:B20">
    <cfRule type="duplicateValues" dxfId="70" priority="133"/>
  </conditionalFormatting>
  <dataValidations count="20">
    <dataValidation type="decimal" operator="greaterThan" allowBlank="1" showInputMessage="1" showErrorMessage="1" error="Insira um valor não negativo" sqref="K2" xr:uid="{970B995F-320F-4E76-87C7-1B2DFC5336EE}">
      <formula1>-0.0001</formula1>
    </dataValidation>
    <dataValidation type="list" allowBlank="1" showInputMessage="1" showErrorMessage="1" sqref="H3:H20" xr:uid="{084EF8D8-82F3-43F7-8284-CA138AE54D39}">
      <formula1>"Deve ser visitado,Pode ser visitado,Não visite"</formula1>
    </dataValidation>
    <dataValidation type="decimal" operator="greaterThan" allowBlank="1" showInputMessage="1" showErrorMessage="1" error="Insira um valor não negativo" sqref="K3" xr:uid="{D98CA891-B687-4AB4-AD67-4C265454816C}">
      <formula1>-0.0001</formula1>
    </dataValidation>
    <dataValidation type="decimal" operator="greaterThan" allowBlank="1" showInputMessage="1" showErrorMessage="1" error="Insira um valor não negativo" sqref="K4" xr:uid="{009AB6DC-0EEA-4772-8B46-30B3A9EA3EDB}">
      <formula1>-0.0001</formula1>
    </dataValidation>
    <dataValidation type="decimal" operator="greaterThan" allowBlank="1" showInputMessage="1" showErrorMessage="1" error="Insira um valor não negativo" sqref="K5" xr:uid="{F464C791-28DC-44C5-BE95-963344167418}">
      <formula1>-0.0001</formula1>
    </dataValidation>
    <dataValidation type="decimal" operator="greaterThan" allowBlank="1" showInputMessage="1" showErrorMessage="1" error="Insira um valor não negativo" sqref="K6" xr:uid="{79D1EEF4-EE31-4A6E-B52A-038B25533949}">
      <formula1>-0.0001</formula1>
    </dataValidation>
    <dataValidation type="decimal" operator="greaterThan" allowBlank="1" showInputMessage="1" showErrorMessage="1" error="Insira um valor não negativo" sqref="K7" xr:uid="{1A89C9C5-AF51-4AC5-977E-C1779A19A96B}">
      <formula1>-0.0001</formula1>
    </dataValidation>
    <dataValidation type="decimal" operator="greaterThan" allowBlank="1" showInputMessage="1" showErrorMessage="1" error="Insira um valor não negativo" sqref="K8" xr:uid="{500BDE09-B0DE-4D7F-9758-C390F08065A3}">
      <formula1>-0.0001</formula1>
    </dataValidation>
    <dataValidation type="decimal" operator="greaterThan" allowBlank="1" showInputMessage="1" showErrorMessage="1" error="Insira um valor não negativo" sqref="K9" xr:uid="{B6C32FF4-375B-4B51-B2B3-9FB08845DA7E}">
      <formula1>-0.0001</formula1>
    </dataValidation>
    <dataValidation type="decimal" operator="greaterThan" allowBlank="1" showInputMessage="1" showErrorMessage="1" error="Insira um valor não negativo" sqref="K10" xr:uid="{943E5066-408D-40E1-B7BB-56475E6CF95C}">
      <formula1>-0.0001</formula1>
    </dataValidation>
    <dataValidation type="decimal" operator="greaterThan" allowBlank="1" showInputMessage="1" showErrorMessage="1" error="Insira um valor não negativo" sqref="K11" xr:uid="{F5FA4A77-07F7-4787-8BCE-D2CFF7E59364}">
      <formula1>-0.0001</formula1>
    </dataValidation>
    <dataValidation type="decimal" operator="greaterThan" allowBlank="1" showInputMessage="1" showErrorMessage="1" error="Insira um valor não negativo" sqref="K12" xr:uid="{C9C224AC-51D9-433C-87AF-F761C1F5EAA5}">
      <formula1>-0.0001</formula1>
    </dataValidation>
    <dataValidation type="decimal" operator="greaterThan" allowBlank="1" showInputMessage="1" showErrorMessage="1" error="Insira um valor não negativo" sqref="K13" xr:uid="{79A66A40-3322-4A93-B65C-DCA4F7E85BC8}">
      <formula1>-0.0001</formula1>
    </dataValidation>
    <dataValidation type="decimal" operator="greaterThan" allowBlank="1" showInputMessage="1" showErrorMessage="1" error="Insira um valor não negativo" sqref="K14" xr:uid="{0BFA6931-E83D-495E-8F61-640D56B8F6A5}">
      <formula1>-0.0001</formula1>
    </dataValidation>
    <dataValidation type="decimal" operator="greaterThan" allowBlank="1" showInputMessage="1" showErrorMessage="1" error="Insira um valor não negativo" sqref="K15" xr:uid="{FC119578-6525-4A90-A895-21E5FAAE3FC0}">
      <formula1>-0.0001</formula1>
    </dataValidation>
    <dataValidation type="decimal" operator="greaterThan" allowBlank="1" showInputMessage="1" showErrorMessage="1" error="Insira um valor não negativo" sqref="K16" xr:uid="{C21118B8-2886-488E-8AB2-60E6D4E6E09F}">
      <formula1>-0.0001</formula1>
    </dataValidation>
    <dataValidation type="decimal" operator="greaterThan" allowBlank="1" showInputMessage="1" showErrorMessage="1" error="Insira um valor não negativo" sqref="K17" xr:uid="{5EC5E2C2-4948-44C2-AB70-9A8CBE7B2FD4}">
      <formula1>-0.0001</formula1>
    </dataValidation>
    <dataValidation type="decimal" operator="greaterThan" allowBlank="1" showInputMessage="1" showErrorMessage="1" error="Insira um valor não negativo" sqref="K18" xr:uid="{AE8F0DA0-BBD5-4F41-A911-1C91F677CA8C}">
      <formula1>-0.0001</formula1>
    </dataValidation>
    <dataValidation type="decimal" operator="greaterThan" allowBlank="1" showInputMessage="1" showErrorMessage="1" error="Insira um valor não negativo" sqref="K19" xr:uid="{1D5E0D94-329C-4561-997F-4BEC8A3BE0BB}">
      <formula1>-0.0001</formula1>
    </dataValidation>
    <dataValidation type="decimal" operator="greaterThan" allowBlank="1" showInputMessage="1" showErrorMessage="1" error="Insira um valor não negativo" sqref="K20" xr:uid="{C20E6115-B6D0-4086-A6AC-94F98DE01F66}">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B965C-F292-4CBC-840B-C9BF21DD9121}">
  <dimension ref="A1:M3"/>
  <sheetViews>
    <sheetView topLeftCell="F1" workbookViewId="0">
      <selection activeCell="I2" sqref="I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4024</v>
      </c>
      <c r="B2" s="51" t="s">
        <v>4022</v>
      </c>
      <c r="C2" s="51">
        <v>44</v>
      </c>
      <c r="D2" s="52">
        <v>0</v>
      </c>
      <c r="E2" s="52">
        <v>11.22</v>
      </c>
      <c r="F2" s="52">
        <v>1</v>
      </c>
      <c r="G2" s="52">
        <v>100</v>
      </c>
      <c r="H2" s="53">
        <v>0.25</v>
      </c>
      <c r="I2" s="54">
        <v>0.125</v>
      </c>
      <c r="J2" s="54">
        <v>0.375</v>
      </c>
      <c r="K2" s="51" t="s">
        <v>4024</v>
      </c>
      <c r="L2" s="55">
        <f>IFERROR(MATCH(K2,'1. Locais'!$B$2:$B$2,0) - 1," ")</f>
        <v>0</v>
      </c>
      <c r="M2" s="51">
        <v>1</v>
      </c>
    </row>
    <row r="3" spans="1:13" ht="15.75" thickTop="1" x14ac:dyDescent="0.25"/>
  </sheetData>
  <dataValidations count="6">
    <dataValidation type="decimal" operator="greaterThan" allowBlank="1" showInputMessage="1" showErrorMessage="1" error="Insira um valor não negativo" sqref="C2" xr:uid="{07715E4E-2574-4E94-A3DC-5B6ED39EDC38}">
      <formula1>-0.0001</formula1>
    </dataValidation>
    <dataValidation type="decimal" operator="greaterThan" allowBlank="1" showInputMessage="1" showErrorMessage="1" error="Insira um valor não negativo" sqref="D2" xr:uid="{BA846211-25B1-4ABA-A44B-7B1A96FFE1E5}">
      <formula1>-0.0001</formula1>
    </dataValidation>
    <dataValidation type="decimal" operator="greaterThan" allowBlank="1" showInputMessage="1" showErrorMessage="1" error="Insira um valor não negativo" sqref="E2" xr:uid="{5F000B2F-F123-4E61-A73D-A74C9DC1A096}">
      <formula1>-0.0001</formula1>
    </dataValidation>
    <dataValidation type="decimal" operator="greaterThan" allowBlank="1" showInputMessage="1" showErrorMessage="1" error="Insira um valor positivo" sqref="F2" xr:uid="{B4ECAD22-5F46-465B-9295-E8BF60FBBF6E}">
      <formula1>0</formula1>
    </dataValidation>
    <dataValidation type="whole" operator="greaterThan" allowBlank="1" showInputMessage="1" showErrorMessage="1" error="Insira um valor inteiro não negativo" sqref="G2" xr:uid="{F3FC11C9-0A7D-4228-87F3-AFC8EBD32E3C}">
      <formula1>-1</formula1>
    </dataValidation>
    <dataValidation type="decimal" operator="greaterThan" allowBlank="1" showInputMessage="1" showErrorMessage="1" error="Insira um valor positivo" sqref="J2" xr:uid="{7A0B4E6E-18AC-4F0C-B710-0E99E025705E}">
      <formula1>0</formula1>
    </dataValidation>
  </dataValidations>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A5100E21-BAC1-4F41-AC3C-2F740BF775D0}">
          <x14:formula1>
            <xm:f>'1. Locais'!$B$2:$B$2</xm:f>
          </x14:formula1>
          <xm:sqref>K2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B3CA1-6D03-4E8F-A309-43EA847E3675}">
  <dimension ref="A1:F362"/>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4021</v>
      </c>
    </row>
    <row r="2" spans="1:6" x14ac:dyDescent="0.25">
      <c r="A2" s="21" t="s">
        <v>4024</v>
      </c>
      <c r="B2" s="21" t="s">
        <v>4024</v>
      </c>
      <c r="C2" s="46">
        <v>0</v>
      </c>
      <c r="D2" s="47">
        <v>0</v>
      </c>
    </row>
    <row r="3" spans="1:6" x14ac:dyDescent="0.25">
      <c r="A3" s="24" t="s">
        <v>4024</v>
      </c>
      <c r="B3" s="24" t="s">
        <v>4003</v>
      </c>
      <c r="C3" s="48">
        <v>3.802</v>
      </c>
      <c r="D3" s="25">
        <f xml:space="preserve"> C3 / (24 * 'VRP Solver Console'!C11)</f>
        <v>2.6402777777777778E-3</v>
      </c>
    </row>
    <row r="4" spans="1:6" x14ac:dyDescent="0.25">
      <c r="A4" s="24" t="s">
        <v>4024</v>
      </c>
      <c r="B4" s="24" t="s">
        <v>4004</v>
      </c>
      <c r="C4" s="50">
        <v>2.573</v>
      </c>
      <c r="D4" s="27">
        <f xml:space="preserve"> C4 / (24 * 'VRP Solver Console'!C11)</f>
        <v>1.7868055555555556E-3</v>
      </c>
    </row>
    <row r="5" spans="1:6" x14ac:dyDescent="0.25">
      <c r="A5" s="24" t="s">
        <v>4024</v>
      </c>
      <c r="B5" s="24" t="s">
        <v>4005</v>
      </c>
      <c r="C5" s="48">
        <v>0.13</v>
      </c>
      <c r="D5" s="25">
        <f xml:space="preserve"> C5 / (24 * 'VRP Solver Console'!C11)</f>
        <v>9.0277777777777787E-5</v>
      </c>
    </row>
    <row r="6" spans="1:6" x14ac:dyDescent="0.25">
      <c r="A6" s="24" t="s">
        <v>4024</v>
      </c>
      <c r="B6" s="24" t="s">
        <v>4006</v>
      </c>
      <c r="C6" s="50">
        <v>2.4780000000000002</v>
      </c>
      <c r="D6" s="27">
        <f xml:space="preserve"> C6 / (24 * 'VRP Solver Console'!C11)</f>
        <v>1.7208333333333335E-3</v>
      </c>
    </row>
    <row r="7" spans="1:6" x14ac:dyDescent="0.25">
      <c r="A7" s="24" t="s">
        <v>4024</v>
      </c>
      <c r="B7" s="24" t="s">
        <v>4007</v>
      </c>
      <c r="C7" s="48">
        <v>9.8019999999999996</v>
      </c>
      <c r="D7" s="25">
        <f xml:space="preserve"> C7 / (24 * 'VRP Solver Console'!C11)</f>
        <v>6.8069444444444445E-3</v>
      </c>
    </row>
    <row r="8" spans="1:6" x14ac:dyDescent="0.25">
      <c r="A8" s="24" t="s">
        <v>4024</v>
      </c>
      <c r="B8" s="24" t="s">
        <v>4008</v>
      </c>
      <c r="C8" s="50">
        <v>7.3449999999999998</v>
      </c>
      <c r="D8" s="27">
        <f xml:space="preserve"> C8 / (24 * 'VRP Solver Console'!C11)</f>
        <v>5.1006944444444442E-3</v>
      </c>
    </row>
    <row r="9" spans="1:6" x14ac:dyDescent="0.25">
      <c r="A9" s="24" t="s">
        <v>4024</v>
      </c>
      <c r="B9" s="24" t="s">
        <v>4009</v>
      </c>
      <c r="C9" s="48">
        <v>10.972</v>
      </c>
      <c r="D9" s="25">
        <f xml:space="preserve"> C9 / (24 * 'VRP Solver Console'!C11)</f>
        <v>7.6194444444444443E-3</v>
      </c>
    </row>
    <row r="10" spans="1:6" x14ac:dyDescent="0.25">
      <c r="A10" s="24" t="s">
        <v>4024</v>
      </c>
      <c r="B10" s="24" t="s">
        <v>4010</v>
      </c>
      <c r="C10" s="50">
        <v>3.7639999999999998</v>
      </c>
      <c r="D10" s="27">
        <f xml:space="preserve"> C10 / (24 * 'VRP Solver Console'!C11)</f>
        <v>2.6138888888888887E-3</v>
      </c>
    </row>
    <row r="11" spans="1:6" x14ac:dyDescent="0.25">
      <c r="A11" s="24" t="s">
        <v>4024</v>
      </c>
      <c r="B11" s="24" t="s">
        <v>4011</v>
      </c>
      <c r="C11" s="48">
        <v>3.5209999999999999</v>
      </c>
      <c r="D11" s="25">
        <f xml:space="preserve"> C11 / (24 * 'VRP Solver Console'!C11)</f>
        <v>2.4451388888888886E-3</v>
      </c>
    </row>
    <row r="12" spans="1:6" x14ac:dyDescent="0.25">
      <c r="A12" s="24" t="s">
        <v>4024</v>
      </c>
      <c r="B12" s="24" t="s">
        <v>4012</v>
      </c>
      <c r="C12" s="50">
        <v>4.6509999999999998</v>
      </c>
      <c r="D12" s="27">
        <f xml:space="preserve"> C12 / (24 * 'VRP Solver Console'!C11)</f>
        <v>3.2298611111111109E-3</v>
      </c>
    </row>
    <row r="13" spans="1:6" x14ac:dyDescent="0.25">
      <c r="A13" s="24" t="s">
        <v>4024</v>
      </c>
      <c r="B13" s="24" t="s">
        <v>4013</v>
      </c>
      <c r="C13" s="48">
        <v>3.1659999999999999</v>
      </c>
      <c r="D13" s="25">
        <f xml:space="preserve"> C13 / (24 * 'VRP Solver Console'!C11)</f>
        <v>2.1986111111111113E-3</v>
      </c>
    </row>
    <row r="14" spans="1:6" x14ac:dyDescent="0.25">
      <c r="A14" s="24" t="s">
        <v>4024</v>
      </c>
      <c r="B14" s="24" t="s">
        <v>4014</v>
      </c>
      <c r="C14" s="50">
        <v>3.327</v>
      </c>
      <c r="D14" s="27">
        <f xml:space="preserve"> C14 / (24 * 'VRP Solver Console'!C11)</f>
        <v>2.3104166666666668E-3</v>
      </c>
    </row>
    <row r="15" spans="1:6" x14ac:dyDescent="0.25">
      <c r="A15" s="24" t="s">
        <v>4024</v>
      </c>
      <c r="B15" s="24" t="s">
        <v>4015</v>
      </c>
      <c r="C15" s="48">
        <v>1.4930000000000001</v>
      </c>
      <c r="D15" s="25">
        <f xml:space="preserve"> C15 / (24 * 'VRP Solver Console'!C11)</f>
        <v>1.0368055555555556E-3</v>
      </c>
    </row>
    <row r="16" spans="1:6" x14ac:dyDescent="0.25">
      <c r="A16" s="24" t="s">
        <v>4024</v>
      </c>
      <c r="B16" s="24" t="s">
        <v>4016</v>
      </c>
      <c r="C16" s="50">
        <v>3.419</v>
      </c>
      <c r="D16" s="27">
        <f xml:space="preserve"> C16 / (24 * 'VRP Solver Console'!C11)</f>
        <v>2.3743055555555557E-3</v>
      </c>
    </row>
    <row r="17" spans="1:4" x14ac:dyDescent="0.25">
      <c r="A17" s="24" t="s">
        <v>4024</v>
      </c>
      <c r="B17" s="24" t="s">
        <v>4017</v>
      </c>
      <c r="C17" s="48">
        <v>1.171</v>
      </c>
      <c r="D17" s="25">
        <f xml:space="preserve"> C17 / (24 * 'VRP Solver Console'!C11)</f>
        <v>8.1319444444444451E-4</v>
      </c>
    </row>
    <row r="18" spans="1:4" x14ac:dyDescent="0.25">
      <c r="A18" s="24" t="s">
        <v>4024</v>
      </c>
      <c r="B18" s="24" t="s">
        <v>4018</v>
      </c>
      <c r="C18" s="50">
        <v>3.601</v>
      </c>
      <c r="D18" s="27">
        <f xml:space="preserve"> C18 / (24 * 'VRP Solver Console'!C11)</f>
        <v>2.5006944444444443E-3</v>
      </c>
    </row>
    <row r="19" spans="1:4" x14ac:dyDescent="0.25">
      <c r="A19" s="24" t="s">
        <v>4024</v>
      </c>
      <c r="B19" s="24" t="s">
        <v>4019</v>
      </c>
      <c r="C19" s="48">
        <v>9.0809999999999995</v>
      </c>
      <c r="D19" s="25">
        <f xml:space="preserve"> C19 / (24 * 'VRP Solver Console'!C11)</f>
        <v>6.3062499999999994E-3</v>
      </c>
    </row>
    <row r="20" spans="1:4" x14ac:dyDescent="0.25">
      <c r="A20" s="24" t="s">
        <v>4024</v>
      </c>
      <c r="B20" s="24" t="s">
        <v>4020</v>
      </c>
      <c r="C20" s="50">
        <v>3.456</v>
      </c>
      <c r="D20" s="27">
        <f xml:space="preserve"> C20 / (24 * 'VRP Solver Console'!C11)</f>
        <v>2.3999999999999998E-3</v>
      </c>
    </row>
    <row r="21" spans="1:4" x14ac:dyDescent="0.25">
      <c r="A21" s="24" t="s">
        <v>4003</v>
      </c>
      <c r="B21" s="24" t="s">
        <v>4024</v>
      </c>
      <c r="C21" s="48">
        <v>4.1500000000000004</v>
      </c>
      <c r="D21" s="25">
        <f xml:space="preserve"> C21 / (24 * 'VRP Solver Console'!C11)</f>
        <v>2.8819444444444448E-3</v>
      </c>
    </row>
    <row r="22" spans="1:4" x14ac:dyDescent="0.25">
      <c r="A22" s="24" t="s">
        <v>4003</v>
      </c>
      <c r="B22" s="24" t="s">
        <v>4003</v>
      </c>
      <c r="C22" s="50">
        <v>0</v>
      </c>
      <c r="D22" s="27">
        <v>0</v>
      </c>
    </row>
    <row r="23" spans="1:4" x14ac:dyDescent="0.25">
      <c r="A23" s="24" t="s">
        <v>4003</v>
      </c>
      <c r="B23" s="24" t="s">
        <v>4004</v>
      </c>
      <c r="C23" s="48">
        <v>1.3979999999999999</v>
      </c>
      <c r="D23" s="25">
        <f xml:space="preserve"> C23 / (24 * 'VRP Solver Console'!C11)</f>
        <v>9.7083333333333331E-4</v>
      </c>
    </row>
    <row r="24" spans="1:4" x14ac:dyDescent="0.25">
      <c r="A24" s="24" t="s">
        <v>4003</v>
      </c>
      <c r="B24" s="24" t="s">
        <v>4005</v>
      </c>
      <c r="C24" s="50">
        <v>3.5449999999999999</v>
      </c>
      <c r="D24" s="27">
        <f xml:space="preserve"> C24 / (24 * 'VRP Solver Console'!C11)</f>
        <v>2.4618055555555556E-3</v>
      </c>
    </row>
    <row r="25" spans="1:4" x14ac:dyDescent="0.25">
      <c r="A25" s="24" t="s">
        <v>4003</v>
      </c>
      <c r="B25" s="24" t="s">
        <v>4006</v>
      </c>
      <c r="C25" s="48">
        <v>2.0630000000000002</v>
      </c>
      <c r="D25" s="25">
        <f xml:space="preserve"> C25 / (24 * 'VRP Solver Console'!C11)</f>
        <v>1.4326388888888891E-3</v>
      </c>
    </row>
    <row r="26" spans="1:4" x14ac:dyDescent="0.25">
      <c r="A26" s="24" t="s">
        <v>4003</v>
      </c>
      <c r="B26" s="24" t="s">
        <v>4007</v>
      </c>
      <c r="C26" s="50">
        <v>11.454000000000001</v>
      </c>
      <c r="D26" s="27">
        <f xml:space="preserve"> C26 / (24 * 'VRP Solver Console'!C11)</f>
        <v>7.9541666666666667E-3</v>
      </c>
    </row>
    <row r="27" spans="1:4" x14ac:dyDescent="0.25">
      <c r="A27" s="24" t="s">
        <v>4003</v>
      </c>
      <c r="B27" s="24" t="s">
        <v>4008</v>
      </c>
      <c r="C27" s="48">
        <v>8.9969999999999999</v>
      </c>
      <c r="D27" s="25">
        <f xml:space="preserve"> C27 / (24 * 'VRP Solver Console'!C11)</f>
        <v>6.2479166666666664E-3</v>
      </c>
    </row>
    <row r="28" spans="1:4" x14ac:dyDescent="0.25">
      <c r="A28" s="24" t="s">
        <v>4003</v>
      </c>
      <c r="B28" s="24" t="s">
        <v>4009</v>
      </c>
      <c r="C28" s="50">
        <v>12.624000000000001</v>
      </c>
      <c r="D28" s="27">
        <f xml:space="preserve"> C28 / (24 * 'VRP Solver Console'!C11)</f>
        <v>8.7666666666666674E-3</v>
      </c>
    </row>
    <row r="29" spans="1:4" x14ac:dyDescent="0.25">
      <c r="A29" s="24" t="s">
        <v>4003</v>
      </c>
      <c r="B29" s="24" t="s">
        <v>4010</v>
      </c>
      <c r="C29" s="48">
        <v>1.1970000000000001</v>
      </c>
      <c r="D29" s="25">
        <f xml:space="preserve"> C29 / (24 * 'VRP Solver Console'!C11)</f>
        <v>8.3125000000000007E-4</v>
      </c>
    </row>
    <row r="30" spans="1:4" x14ac:dyDescent="0.25">
      <c r="A30" s="24" t="s">
        <v>4003</v>
      </c>
      <c r="B30" s="24" t="s">
        <v>4011</v>
      </c>
      <c r="C30" s="50">
        <v>1.855</v>
      </c>
      <c r="D30" s="27">
        <f xml:space="preserve"> C30 / (24 * 'VRP Solver Console'!C11)</f>
        <v>1.2881944444444445E-3</v>
      </c>
    </row>
    <row r="31" spans="1:4" x14ac:dyDescent="0.25">
      <c r="A31" s="24" t="s">
        <v>4003</v>
      </c>
      <c r="B31" s="24" t="s">
        <v>4012</v>
      </c>
      <c r="C31" s="48">
        <v>3.6850000000000001</v>
      </c>
      <c r="D31" s="25">
        <f xml:space="preserve"> C31 / (24 * 'VRP Solver Console'!C11)</f>
        <v>2.5590277777777777E-3</v>
      </c>
    </row>
    <row r="32" spans="1:4" x14ac:dyDescent="0.25">
      <c r="A32" s="24" t="s">
        <v>4003</v>
      </c>
      <c r="B32" s="24" t="s">
        <v>4013</v>
      </c>
      <c r="C32" s="50">
        <v>4.8769999999999998</v>
      </c>
      <c r="D32" s="27">
        <f xml:space="preserve"> C32 / (24 * 'VRP Solver Console'!C11)</f>
        <v>3.3868055555555552E-3</v>
      </c>
    </row>
    <row r="33" spans="1:4" x14ac:dyDescent="0.25">
      <c r="A33" s="24" t="s">
        <v>4003</v>
      </c>
      <c r="B33" s="24" t="s">
        <v>4014</v>
      </c>
      <c r="C33" s="48">
        <v>4.069</v>
      </c>
      <c r="D33" s="25">
        <f xml:space="preserve"> C33 / (24 * 'VRP Solver Console'!C11)</f>
        <v>2.8256944444444445E-3</v>
      </c>
    </row>
    <row r="34" spans="1:4" x14ac:dyDescent="0.25">
      <c r="A34" s="24" t="s">
        <v>4003</v>
      </c>
      <c r="B34" s="24" t="s">
        <v>4015</v>
      </c>
      <c r="C34" s="50">
        <v>3.5979999999999999</v>
      </c>
      <c r="D34" s="27">
        <f xml:space="preserve"> C34 / (24 * 'VRP Solver Console'!C11)</f>
        <v>2.4986111111111112E-3</v>
      </c>
    </row>
    <row r="35" spans="1:4" x14ac:dyDescent="0.25">
      <c r="A35" s="24" t="s">
        <v>4003</v>
      </c>
      <c r="B35" s="24" t="s">
        <v>4016</v>
      </c>
      <c r="C35" s="48">
        <v>4.9749999999999996</v>
      </c>
      <c r="D35" s="25">
        <f xml:space="preserve"> C35 / (24 * 'VRP Solver Console'!C11)</f>
        <v>3.4548611111111108E-3</v>
      </c>
    </row>
    <row r="36" spans="1:4" x14ac:dyDescent="0.25">
      <c r="A36" s="24" t="s">
        <v>4003</v>
      </c>
      <c r="B36" s="24" t="s">
        <v>4017</v>
      </c>
      <c r="C36" s="50">
        <v>2.992</v>
      </c>
      <c r="D36" s="27">
        <f xml:space="preserve"> C36 / (24 * 'VRP Solver Console'!C11)</f>
        <v>2.0777777777777778E-3</v>
      </c>
    </row>
    <row r="37" spans="1:4" x14ac:dyDescent="0.25">
      <c r="A37" s="24" t="s">
        <v>4003</v>
      </c>
      <c r="B37" s="24" t="s">
        <v>4018</v>
      </c>
      <c r="C37" s="48">
        <v>1.5640000000000001</v>
      </c>
      <c r="D37" s="25">
        <f xml:space="preserve"> C37 / (24 * 'VRP Solver Console'!C11)</f>
        <v>1.086111111111111E-3</v>
      </c>
    </row>
    <row r="38" spans="1:4" x14ac:dyDescent="0.25">
      <c r="A38" s="24" t="s">
        <v>4003</v>
      </c>
      <c r="B38" s="24" t="s">
        <v>4019</v>
      </c>
      <c r="C38" s="50">
        <v>10.733000000000001</v>
      </c>
      <c r="D38" s="27">
        <f xml:space="preserve"> C38 / (24 * 'VRP Solver Console'!C11)</f>
        <v>7.4534722222222224E-3</v>
      </c>
    </row>
    <row r="39" spans="1:4" x14ac:dyDescent="0.25">
      <c r="A39" s="24" t="s">
        <v>4003</v>
      </c>
      <c r="B39" s="24" t="s">
        <v>4020</v>
      </c>
      <c r="C39" s="48">
        <v>4.9630000000000001</v>
      </c>
      <c r="D39" s="25">
        <f xml:space="preserve"> C39 / (24 * 'VRP Solver Console'!C11)</f>
        <v>3.446527777777778E-3</v>
      </c>
    </row>
    <row r="40" spans="1:4" x14ac:dyDescent="0.25">
      <c r="A40" s="24" t="s">
        <v>4004</v>
      </c>
      <c r="B40" s="24" t="s">
        <v>4024</v>
      </c>
      <c r="C40" s="50">
        <v>2.64</v>
      </c>
      <c r="D40" s="27">
        <f xml:space="preserve"> C40 / (24 * 'VRP Solver Console'!C11)</f>
        <v>1.8333333333333335E-3</v>
      </c>
    </row>
    <row r="41" spans="1:4" x14ac:dyDescent="0.25">
      <c r="A41" s="24" t="s">
        <v>4004</v>
      </c>
      <c r="B41" s="24" t="s">
        <v>4003</v>
      </c>
      <c r="C41" s="48">
        <v>2.198</v>
      </c>
      <c r="D41" s="25">
        <f xml:space="preserve"> C41 / (24 * 'VRP Solver Console'!C11)</f>
        <v>1.5263888888888888E-3</v>
      </c>
    </row>
    <row r="42" spans="1:4" x14ac:dyDescent="0.25">
      <c r="A42" s="24" t="s">
        <v>4004</v>
      </c>
      <c r="B42" s="24" t="s">
        <v>4004</v>
      </c>
      <c r="C42" s="50">
        <v>0</v>
      </c>
      <c r="D42" s="27">
        <v>0</v>
      </c>
    </row>
    <row r="43" spans="1:4" x14ac:dyDescent="0.25">
      <c r="A43" s="24" t="s">
        <v>4004</v>
      </c>
      <c r="B43" s="24" t="s">
        <v>4005</v>
      </c>
      <c r="C43" s="48">
        <v>2.2269999999999999</v>
      </c>
      <c r="D43" s="25">
        <f xml:space="preserve"> C43 / (24 * 'VRP Solver Console'!C11)</f>
        <v>1.5465277777777777E-3</v>
      </c>
    </row>
    <row r="44" spans="1:4" x14ac:dyDescent="0.25">
      <c r="A44" s="24" t="s">
        <v>4004</v>
      </c>
      <c r="B44" s="24" t="s">
        <v>4006</v>
      </c>
      <c r="C44" s="50">
        <v>0.745</v>
      </c>
      <c r="D44" s="27">
        <f xml:space="preserve"> C44 / (24 * 'VRP Solver Console'!C11)</f>
        <v>5.1736111111111112E-4</v>
      </c>
    </row>
    <row r="45" spans="1:4" x14ac:dyDescent="0.25">
      <c r="A45" s="24" t="s">
        <v>4004</v>
      </c>
      <c r="B45" s="24" t="s">
        <v>4007</v>
      </c>
      <c r="C45" s="48">
        <v>10.999000000000001</v>
      </c>
      <c r="D45" s="25">
        <f xml:space="preserve"> C45 / (24 * 'VRP Solver Console'!C11)</f>
        <v>7.6381944444444448E-3</v>
      </c>
    </row>
    <row r="46" spans="1:4" x14ac:dyDescent="0.25">
      <c r="A46" s="24" t="s">
        <v>4004</v>
      </c>
      <c r="B46" s="24" t="s">
        <v>4008</v>
      </c>
      <c r="C46" s="50">
        <v>8.5419999999999998</v>
      </c>
      <c r="D46" s="27">
        <f xml:space="preserve"> C46 / (24 * 'VRP Solver Console'!C11)</f>
        <v>5.9319444444444445E-3</v>
      </c>
    </row>
    <row r="47" spans="1:4" x14ac:dyDescent="0.25">
      <c r="A47" s="24" t="s">
        <v>4004</v>
      </c>
      <c r="B47" s="24" t="s">
        <v>4009</v>
      </c>
      <c r="C47" s="48">
        <v>12.169</v>
      </c>
      <c r="D47" s="25">
        <f xml:space="preserve"> C47 / (24 * 'VRP Solver Console'!C11)</f>
        <v>8.4506944444444447E-3</v>
      </c>
    </row>
    <row r="48" spans="1:4" x14ac:dyDescent="0.25">
      <c r="A48" s="24" t="s">
        <v>4004</v>
      </c>
      <c r="B48" s="24" t="s">
        <v>4010</v>
      </c>
      <c r="C48" s="50">
        <v>2.085</v>
      </c>
      <c r="D48" s="27">
        <f xml:space="preserve"> C48 / (24 * 'VRP Solver Console'!C11)</f>
        <v>1.4479166666666666E-3</v>
      </c>
    </row>
    <row r="49" spans="1:4" x14ac:dyDescent="0.25">
      <c r="A49" s="24" t="s">
        <v>4004</v>
      </c>
      <c r="B49" s="24" t="s">
        <v>4011</v>
      </c>
      <c r="C49" s="48">
        <v>2.57</v>
      </c>
      <c r="D49" s="25">
        <f xml:space="preserve"> C49 / (24 * 'VRP Solver Console'!C11)</f>
        <v>1.784722222222222E-3</v>
      </c>
    </row>
    <row r="50" spans="1:4" x14ac:dyDescent="0.25">
      <c r="A50" s="24" t="s">
        <v>4004</v>
      </c>
      <c r="B50" s="24" t="s">
        <v>4012</v>
      </c>
      <c r="C50" s="50">
        <v>4.4219999999999997</v>
      </c>
      <c r="D50" s="27">
        <f xml:space="preserve"> C50 / (24 * 'VRP Solver Console'!C11)</f>
        <v>3.070833333333333E-3</v>
      </c>
    </row>
    <row r="51" spans="1:4" x14ac:dyDescent="0.25">
      <c r="A51" s="24" t="s">
        <v>4004</v>
      </c>
      <c r="B51" s="24" t="s">
        <v>4013</v>
      </c>
      <c r="C51" s="48">
        <v>5.4480000000000004</v>
      </c>
      <c r="D51" s="25">
        <f xml:space="preserve"> C51 / (24 * 'VRP Solver Console'!C11)</f>
        <v>3.7833333333333334E-3</v>
      </c>
    </row>
    <row r="52" spans="1:4" x14ac:dyDescent="0.25">
      <c r="A52" s="24" t="s">
        <v>4004</v>
      </c>
      <c r="B52" s="24" t="s">
        <v>4014</v>
      </c>
      <c r="C52" s="50">
        <v>4.6399999999999997</v>
      </c>
      <c r="D52" s="27">
        <f xml:space="preserve"> C52 / (24 * 'VRP Solver Console'!C11)</f>
        <v>3.2222222222222218E-3</v>
      </c>
    </row>
    <row r="53" spans="1:4" x14ac:dyDescent="0.25">
      <c r="A53" s="24" t="s">
        <v>4004</v>
      </c>
      <c r="B53" s="24" t="s">
        <v>4015</v>
      </c>
      <c r="C53" s="48">
        <v>2.9329999999999998</v>
      </c>
      <c r="D53" s="25">
        <f xml:space="preserve"> C53 / (24 * 'VRP Solver Console'!C11)</f>
        <v>2.0368055555555556E-3</v>
      </c>
    </row>
    <row r="54" spans="1:4" x14ac:dyDescent="0.25">
      <c r="A54" s="24" t="s">
        <v>4004</v>
      </c>
      <c r="B54" s="24" t="s">
        <v>4016</v>
      </c>
      <c r="C54" s="50">
        <v>5.5460000000000003</v>
      </c>
      <c r="D54" s="27">
        <f xml:space="preserve"> C54 / (24 * 'VRP Solver Console'!C11)</f>
        <v>3.851388888888889E-3</v>
      </c>
    </row>
    <row r="55" spans="1:4" x14ac:dyDescent="0.25">
      <c r="A55" s="24" t="s">
        <v>4004</v>
      </c>
      <c r="B55" s="24" t="s">
        <v>4017</v>
      </c>
      <c r="C55" s="48">
        <v>1.823</v>
      </c>
      <c r="D55" s="25">
        <f xml:space="preserve"> C55 / (24 * 'VRP Solver Console'!C11)</f>
        <v>1.2659722222222222E-3</v>
      </c>
    </row>
    <row r="56" spans="1:4" x14ac:dyDescent="0.25">
      <c r="A56" s="24" t="s">
        <v>4004</v>
      </c>
      <c r="B56" s="24" t="s">
        <v>4018</v>
      </c>
      <c r="C56" s="50">
        <v>1.109</v>
      </c>
      <c r="D56" s="27">
        <f xml:space="preserve"> C56 / (24 * 'VRP Solver Console'!C11)</f>
        <v>7.7013888888888889E-4</v>
      </c>
    </row>
    <row r="57" spans="1:4" x14ac:dyDescent="0.25">
      <c r="A57" s="24" t="s">
        <v>4004</v>
      </c>
      <c r="B57" s="24" t="s">
        <v>4019</v>
      </c>
      <c r="C57" s="48">
        <v>10.278</v>
      </c>
      <c r="D57" s="25">
        <f xml:space="preserve"> C57 / (24 * 'VRP Solver Console'!C11)</f>
        <v>7.1375000000000006E-3</v>
      </c>
    </row>
    <row r="58" spans="1:4" x14ac:dyDescent="0.25">
      <c r="A58" s="24" t="s">
        <v>4004</v>
      </c>
      <c r="B58" s="24" t="s">
        <v>4020</v>
      </c>
      <c r="C58" s="50">
        <v>4.508</v>
      </c>
      <c r="D58" s="27">
        <f xml:space="preserve"> C58 / (24 * 'VRP Solver Console'!C11)</f>
        <v>3.1305555555555557E-3</v>
      </c>
    </row>
    <row r="59" spans="1:4" x14ac:dyDescent="0.25">
      <c r="A59" s="24" t="s">
        <v>4005</v>
      </c>
      <c r="B59" s="24" t="s">
        <v>4024</v>
      </c>
      <c r="C59" s="48">
        <v>0.13</v>
      </c>
      <c r="D59" s="25">
        <f xml:space="preserve"> C59 / (24 * 'VRP Solver Console'!C11)</f>
        <v>9.0277777777777787E-5</v>
      </c>
    </row>
    <row r="60" spans="1:4" x14ac:dyDescent="0.25">
      <c r="A60" s="24" t="s">
        <v>4005</v>
      </c>
      <c r="B60" s="24" t="s">
        <v>4003</v>
      </c>
      <c r="C60" s="50">
        <v>3.82</v>
      </c>
      <c r="D60" s="27">
        <f xml:space="preserve"> C60 / (24 * 'VRP Solver Console'!C11)</f>
        <v>2.6527777777777778E-3</v>
      </c>
    </row>
    <row r="61" spans="1:4" x14ac:dyDescent="0.25">
      <c r="A61" s="24" t="s">
        <v>4005</v>
      </c>
      <c r="B61" s="24" t="s">
        <v>4004</v>
      </c>
      <c r="C61" s="48">
        <v>2.5910000000000002</v>
      </c>
      <c r="D61" s="25">
        <f xml:space="preserve"> C61 / (24 * 'VRP Solver Console'!C11)</f>
        <v>1.7993055555555557E-3</v>
      </c>
    </row>
    <row r="62" spans="1:4" x14ac:dyDescent="0.25">
      <c r="A62" s="24" t="s">
        <v>4005</v>
      </c>
      <c r="B62" s="24" t="s">
        <v>4005</v>
      </c>
      <c r="C62" s="50">
        <v>0</v>
      </c>
      <c r="D62" s="27">
        <v>0</v>
      </c>
    </row>
    <row r="63" spans="1:4" x14ac:dyDescent="0.25">
      <c r="A63" s="24" t="s">
        <v>4005</v>
      </c>
      <c r="B63" s="24" t="s">
        <v>4006</v>
      </c>
      <c r="C63" s="48">
        <v>2.496</v>
      </c>
      <c r="D63" s="25">
        <f xml:space="preserve"> C63 / (24 * 'VRP Solver Console'!C11)</f>
        <v>1.7333333333333333E-3</v>
      </c>
    </row>
    <row r="64" spans="1:4" x14ac:dyDescent="0.25">
      <c r="A64" s="24" t="s">
        <v>4005</v>
      </c>
      <c r="B64" s="24" t="s">
        <v>4007</v>
      </c>
      <c r="C64" s="50">
        <v>9.82</v>
      </c>
      <c r="D64" s="27">
        <f xml:space="preserve"> C64 / (24 * 'VRP Solver Console'!C11)</f>
        <v>6.8194444444444448E-3</v>
      </c>
    </row>
    <row r="65" spans="1:4" x14ac:dyDescent="0.25">
      <c r="A65" s="24" t="s">
        <v>4005</v>
      </c>
      <c r="B65" s="24" t="s">
        <v>4008</v>
      </c>
      <c r="C65" s="48">
        <v>7.3630000000000004</v>
      </c>
      <c r="D65" s="25">
        <f xml:space="preserve"> C65 / (24 * 'VRP Solver Console'!C11)</f>
        <v>5.1131944444444445E-3</v>
      </c>
    </row>
    <row r="66" spans="1:4" x14ac:dyDescent="0.25">
      <c r="A66" s="24" t="s">
        <v>4005</v>
      </c>
      <c r="B66" s="24" t="s">
        <v>4009</v>
      </c>
      <c r="C66" s="50">
        <v>10.99</v>
      </c>
      <c r="D66" s="27">
        <f xml:space="preserve"> C66 / (24 * 'VRP Solver Console'!C11)</f>
        <v>7.6319444444444447E-3</v>
      </c>
    </row>
    <row r="67" spans="1:4" x14ac:dyDescent="0.25">
      <c r="A67" s="24" t="s">
        <v>4005</v>
      </c>
      <c r="B67" s="24" t="s">
        <v>4010</v>
      </c>
      <c r="C67" s="48">
        <v>3.782</v>
      </c>
      <c r="D67" s="25">
        <f xml:space="preserve"> C67 / (24 * 'VRP Solver Console'!C11)</f>
        <v>2.626388888888889E-3</v>
      </c>
    </row>
    <row r="68" spans="1:4" x14ac:dyDescent="0.25">
      <c r="A68" s="24" t="s">
        <v>4005</v>
      </c>
      <c r="B68" s="24" t="s">
        <v>4011</v>
      </c>
      <c r="C68" s="50">
        <v>3.5390000000000001</v>
      </c>
      <c r="D68" s="27">
        <f xml:space="preserve"> C68 / (24 * 'VRP Solver Console'!C11)</f>
        <v>2.457638888888889E-3</v>
      </c>
    </row>
    <row r="69" spans="1:4" x14ac:dyDescent="0.25">
      <c r="A69" s="24" t="s">
        <v>4005</v>
      </c>
      <c r="B69" s="24" t="s">
        <v>4012</v>
      </c>
      <c r="C69" s="48">
        <v>4.6689999999999996</v>
      </c>
      <c r="D69" s="25">
        <f xml:space="preserve"> C69 / (24 * 'VRP Solver Console'!C11)</f>
        <v>3.2423611111111108E-3</v>
      </c>
    </row>
    <row r="70" spans="1:4" x14ac:dyDescent="0.25">
      <c r="A70" s="24" t="s">
        <v>4005</v>
      </c>
      <c r="B70" s="24" t="s">
        <v>4013</v>
      </c>
      <c r="C70" s="50">
        <v>3.036</v>
      </c>
      <c r="D70" s="27">
        <f xml:space="preserve"> C70 / (24 * 'VRP Solver Console'!C11)</f>
        <v>2.1083333333333332E-3</v>
      </c>
    </row>
    <row r="71" spans="1:4" x14ac:dyDescent="0.25">
      <c r="A71" s="24" t="s">
        <v>4005</v>
      </c>
      <c r="B71" s="24" t="s">
        <v>4014</v>
      </c>
      <c r="C71" s="48">
        <v>3.2029999999999998</v>
      </c>
      <c r="D71" s="25">
        <f xml:space="preserve"> C71 / (24 * 'VRP Solver Console'!C11)</f>
        <v>2.2243055555555553E-3</v>
      </c>
    </row>
    <row r="72" spans="1:4" x14ac:dyDescent="0.25">
      <c r="A72" s="24" t="s">
        <v>4005</v>
      </c>
      <c r="B72" s="24" t="s">
        <v>4015</v>
      </c>
      <c r="C72" s="50">
        <v>1.363</v>
      </c>
      <c r="D72" s="27">
        <f xml:space="preserve"> C72 / (24 * 'VRP Solver Console'!C11)</f>
        <v>9.465277777777778E-4</v>
      </c>
    </row>
    <row r="73" spans="1:4" x14ac:dyDescent="0.25">
      <c r="A73" s="24" t="s">
        <v>4005</v>
      </c>
      <c r="B73" s="24" t="s">
        <v>4016</v>
      </c>
      <c r="C73" s="48">
        <v>3.2890000000000001</v>
      </c>
      <c r="D73" s="25">
        <f xml:space="preserve"> C73 / (24 * 'VRP Solver Console'!C11)</f>
        <v>2.2840277777777781E-3</v>
      </c>
    </row>
    <row r="74" spans="1:4" x14ac:dyDescent="0.25">
      <c r="A74" s="24" t="s">
        <v>4005</v>
      </c>
      <c r="B74" s="24" t="s">
        <v>4017</v>
      </c>
      <c r="C74" s="50">
        <v>1.1890000000000001</v>
      </c>
      <c r="D74" s="27">
        <f xml:space="preserve"> C74 / (24 * 'VRP Solver Console'!C11)</f>
        <v>8.2569444444444444E-4</v>
      </c>
    </row>
    <row r="75" spans="1:4" x14ac:dyDescent="0.25">
      <c r="A75" s="24" t="s">
        <v>4005</v>
      </c>
      <c r="B75" s="24" t="s">
        <v>4018</v>
      </c>
      <c r="C75" s="48">
        <v>3.6190000000000002</v>
      </c>
      <c r="D75" s="25">
        <f xml:space="preserve"> C75 / (24 * 'VRP Solver Console'!C11)</f>
        <v>2.5131944444444446E-3</v>
      </c>
    </row>
    <row r="76" spans="1:4" x14ac:dyDescent="0.25">
      <c r="A76" s="24" t="s">
        <v>4005</v>
      </c>
      <c r="B76" s="24" t="s">
        <v>4019</v>
      </c>
      <c r="C76" s="50">
        <v>9.0990000000000002</v>
      </c>
      <c r="D76" s="27">
        <f xml:space="preserve"> C76 / (24 * 'VRP Solver Console'!C11)</f>
        <v>6.3187499999999997E-3</v>
      </c>
    </row>
    <row r="77" spans="1:4" x14ac:dyDescent="0.25">
      <c r="A77" s="24" t="s">
        <v>4005</v>
      </c>
      <c r="B77" s="24" t="s">
        <v>4020</v>
      </c>
      <c r="C77" s="48">
        <v>3.4740000000000002</v>
      </c>
      <c r="D77" s="25">
        <f xml:space="preserve"> C77 / (24 * 'VRP Solver Console'!C11)</f>
        <v>2.4125000000000001E-3</v>
      </c>
    </row>
    <row r="78" spans="1:4" x14ac:dyDescent="0.25">
      <c r="A78" s="24" t="s">
        <v>4006</v>
      </c>
      <c r="B78" s="24" t="s">
        <v>4024</v>
      </c>
      <c r="C78" s="50">
        <v>1.94</v>
      </c>
      <c r="D78" s="27">
        <f xml:space="preserve"> C78 / (24 * 'VRP Solver Console'!C11)</f>
        <v>1.3472222222222221E-3</v>
      </c>
    </row>
    <row r="79" spans="1:4" x14ac:dyDescent="0.25">
      <c r="A79" s="24" t="s">
        <v>4006</v>
      </c>
      <c r="B79" s="24" t="s">
        <v>4003</v>
      </c>
      <c r="C79" s="48">
        <v>2.1970000000000001</v>
      </c>
      <c r="D79" s="25">
        <f xml:space="preserve"> C79 / (24 * 'VRP Solver Console'!C11)</f>
        <v>1.5256944444444445E-3</v>
      </c>
    </row>
    <row r="80" spans="1:4" x14ac:dyDescent="0.25">
      <c r="A80" s="24" t="s">
        <v>4006</v>
      </c>
      <c r="B80" s="24" t="s">
        <v>4004</v>
      </c>
      <c r="C80" s="50">
        <v>0.96799999999999997</v>
      </c>
      <c r="D80" s="27">
        <f xml:space="preserve"> C80 / (24 * 'VRP Solver Console'!C11)</f>
        <v>6.7222222222222217E-4</v>
      </c>
    </row>
    <row r="81" spans="1:4" x14ac:dyDescent="0.25">
      <c r="A81" s="24" t="s">
        <v>4006</v>
      </c>
      <c r="B81" s="24" t="s">
        <v>4005</v>
      </c>
      <c r="C81" s="48">
        <v>1.958</v>
      </c>
      <c r="D81" s="25">
        <f xml:space="preserve"> C81 / (24 * 'VRP Solver Console'!C11)</f>
        <v>1.3597222222222222E-3</v>
      </c>
    </row>
    <row r="82" spans="1:4" x14ac:dyDescent="0.25">
      <c r="A82" s="24" t="s">
        <v>4006</v>
      </c>
      <c r="B82" s="24" t="s">
        <v>4006</v>
      </c>
      <c r="C82" s="50">
        <v>0</v>
      </c>
      <c r="D82" s="27">
        <v>0</v>
      </c>
    </row>
    <row r="83" spans="1:4" x14ac:dyDescent="0.25">
      <c r="A83" s="24" t="s">
        <v>4006</v>
      </c>
      <c r="B83" s="24" t="s">
        <v>4007</v>
      </c>
      <c r="C83" s="48">
        <v>10.964</v>
      </c>
      <c r="D83" s="25">
        <f xml:space="preserve"> C83 / (24 * 'VRP Solver Console'!C11)</f>
        <v>7.6138888888888888E-3</v>
      </c>
    </row>
    <row r="84" spans="1:4" x14ac:dyDescent="0.25">
      <c r="A84" s="24" t="s">
        <v>4006</v>
      </c>
      <c r="B84" s="24" t="s">
        <v>4008</v>
      </c>
      <c r="C84" s="50">
        <v>8.5069999999999997</v>
      </c>
      <c r="D84" s="27">
        <f xml:space="preserve"> C84 / (24 * 'VRP Solver Console'!C11)</f>
        <v>5.9076388888888885E-3</v>
      </c>
    </row>
    <row r="85" spans="1:4" x14ac:dyDescent="0.25">
      <c r="A85" s="24" t="s">
        <v>4006</v>
      </c>
      <c r="B85" s="24" t="s">
        <v>4009</v>
      </c>
      <c r="C85" s="48">
        <v>12.134</v>
      </c>
      <c r="D85" s="25">
        <f xml:space="preserve"> C85 / (24 * 'VRP Solver Console'!C11)</f>
        <v>8.4263888888888895E-3</v>
      </c>
    </row>
    <row r="86" spans="1:4" x14ac:dyDescent="0.25">
      <c r="A86" s="24" t="s">
        <v>4006</v>
      </c>
      <c r="B86" s="24" t="s">
        <v>4010</v>
      </c>
      <c r="C86" s="50">
        <v>2.0840000000000001</v>
      </c>
      <c r="D86" s="27">
        <f xml:space="preserve"> C86 / (24 * 'VRP Solver Console'!C11)</f>
        <v>1.4472222222222224E-3</v>
      </c>
    </row>
    <row r="87" spans="1:4" x14ac:dyDescent="0.25">
      <c r="A87" s="24" t="s">
        <v>4006</v>
      </c>
      <c r="B87" s="24" t="s">
        <v>4011</v>
      </c>
      <c r="C87" s="48">
        <v>2.569</v>
      </c>
      <c r="D87" s="25">
        <f xml:space="preserve"> C87 / (24 * 'VRP Solver Console'!C11)</f>
        <v>1.7840277777777778E-3</v>
      </c>
    </row>
    <row r="88" spans="1:4" x14ac:dyDescent="0.25">
      <c r="A88" s="24" t="s">
        <v>4006</v>
      </c>
      <c r="B88" s="24" t="s">
        <v>4012</v>
      </c>
      <c r="C88" s="50">
        <v>4.8250000000000002</v>
      </c>
      <c r="D88" s="27">
        <f xml:space="preserve"> C88 / (24 * 'VRP Solver Console'!C11)</f>
        <v>3.3506944444444448E-3</v>
      </c>
    </row>
    <row r="89" spans="1:4" x14ac:dyDescent="0.25">
      <c r="A89" s="24" t="s">
        <v>4006</v>
      </c>
      <c r="B89" s="24" t="s">
        <v>4013</v>
      </c>
      <c r="C89" s="48">
        <v>5.851</v>
      </c>
      <c r="D89" s="25">
        <f xml:space="preserve"> C89 / (24 * 'VRP Solver Console'!C11)</f>
        <v>4.0631944444444448E-3</v>
      </c>
    </row>
    <row r="90" spans="1:4" x14ac:dyDescent="0.25">
      <c r="A90" s="24" t="s">
        <v>4006</v>
      </c>
      <c r="B90" s="24" t="s">
        <v>4014</v>
      </c>
      <c r="C90" s="50">
        <v>5.0430000000000001</v>
      </c>
      <c r="D90" s="27">
        <f xml:space="preserve"> C90 / (24 * 'VRP Solver Console'!C11)</f>
        <v>3.5020833333333336E-3</v>
      </c>
    </row>
    <row r="91" spans="1:4" x14ac:dyDescent="0.25">
      <c r="A91" s="24" t="s">
        <v>4006</v>
      </c>
      <c r="B91" s="24" t="s">
        <v>4015</v>
      </c>
      <c r="C91" s="48">
        <v>3.3359999999999999</v>
      </c>
      <c r="D91" s="25">
        <f xml:space="preserve"> C91 / (24 * 'VRP Solver Console'!C11)</f>
        <v>2.3166666666666665E-3</v>
      </c>
    </row>
    <row r="92" spans="1:4" x14ac:dyDescent="0.25">
      <c r="A92" s="24" t="s">
        <v>4006</v>
      </c>
      <c r="B92" s="24" t="s">
        <v>4016</v>
      </c>
      <c r="C92" s="50">
        <v>5.9489999999999998</v>
      </c>
      <c r="D92" s="27">
        <f xml:space="preserve"> C92 / (24 * 'VRP Solver Console'!C11)</f>
        <v>4.1312499999999995E-3</v>
      </c>
    </row>
    <row r="93" spans="1:4" x14ac:dyDescent="0.25">
      <c r="A93" s="24" t="s">
        <v>4006</v>
      </c>
      <c r="B93" s="24" t="s">
        <v>4017</v>
      </c>
      <c r="C93" s="48">
        <v>0.78200000000000003</v>
      </c>
      <c r="D93" s="25">
        <f xml:space="preserve"> C93 / (24 * 'VRP Solver Console'!C11)</f>
        <v>5.4305555555555552E-4</v>
      </c>
    </row>
    <row r="94" spans="1:4" x14ac:dyDescent="0.25">
      <c r="A94" s="24" t="s">
        <v>4006</v>
      </c>
      <c r="B94" s="24" t="s">
        <v>4018</v>
      </c>
      <c r="C94" s="50">
        <v>1.827</v>
      </c>
      <c r="D94" s="27">
        <f xml:space="preserve"> C94 / (24 * 'VRP Solver Console'!C11)</f>
        <v>1.2687499999999999E-3</v>
      </c>
    </row>
    <row r="95" spans="1:4" x14ac:dyDescent="0.25">
      <c r="A95" s="24" t="s">
        <v>4006</v>
      </c>
      <c r="B95" s="24" t="s">
        <v>4019</v>
      </c>
      <c r="C95" s="48">
        <v>10.243</v>
      </c>
      <c r="D95" s="25">
        <f xml:space="preserve"> C95 / (24 * 'VRP Solver Console'!C11)</f>
        <v>7.1131944444444446E-3</v>
      </c>
    </row>
    <row r="96" spans="1:4" x14ac:dyDescent="0.25">
      <c r="A96" s="24" t="s">
        <v>4006</v>
      </c>
      <c r="B96" s="24" t="s">
        <v>4020</v>
      </c>
      <c r="C96" s="50">
        <v>4.4729999999999999</v>
      </c>
      <c r="D96" s="27">
        <f xml:space="preserve"> C96 / (24 * 'VRP Solver Console'!C11)</f>
        <v>3.1062500000000001E-3</v>
      </c>
    </row>
    <row r="97" spans="1:4" x14ac:dyDescent="0.25">
      <c r="A97" s="24" t="s">
        <v>4007</v>
      </c>
      <c r="B97" s="24" t="s">
        <v>4024</v>
      </c>
      <c r="C97" s="48">
        <v>9.8249999999999993</v>
      </c>
      <c r="D97" s="25">
        <f xml:space="preserve"> C97 / (24 * 'VRP Solver Console'!C11)</f>
        <v>6.8229166666666664E-3</v>
      </c>
    </row>
    <row r="98" spans="1:4" x14ac:dyDescent="0.25">
      <c r="A98" s="24" t="s">
        <v>4007</v>
      </c>
      <c r="B98" s="24" t="s">
        <v>4003</v>
      </c>
      <c r="C98" s="50">
        <v>11.817</v>
      </c>
      <c r="D98" s="27">
        <f xml:space="preserve"> C98 / (24 * 'VRP Solver Console'!C11)</f>
        <v>8.20625E-3</v>
      </c>
    </row>
    <row r="99" spans="1:4" x14ac:dyDescent="0.25">
      <c r="A99" s="24" t="s">
        <v>4007</v>
      </c>
      <c r="B99" s="24" t="s">
        <v>4004</v>
      </c>
      <c r="C99" s="48">
        <v>10.645</v>
      </c>
      <c r="D99" s="25">
        <f xml:space="preserve"> C99 / (24 * 'VRP Solver Console'!C11)</f>
        <v>7.3923611111111108E-3</v>
      </c>
    </row>
    <row r="100" spans="1:4" x14ac:dyDescent="0.25">
      <c r="A100" s="24" t="s">
        <v>4007</v>
      </c>
      <c r="B100" s="24" t="s">
        <v>4005</v>
      </c>
      <c r="C100" s="50">
        <v>9.843</v>
      </c>
      <c r="D100" s="27">
        <f xml:space="preserve"> C100 / (24 * 'VRP Solver Console'!C11)</f>
        <v>6.8354166666666667E-3</v>
      </c>
    </row>
    <row r="101" spans="1:4" x14ac:dyDescent="0.25">
      <c r="A101" s="24" t="s">
        <v>4007</v>
      </c>
      <c r="B101" s="24" t="s">
        <v>4006</v>
      </c>
      <c r="C101" s="48">
        <v>10.711</v>
      </c>
      <c r="D101" s="25">
        <f xml:space="preserve"> C101 / (24 * 'VRP Solver Console'!C11)</f>
        <v>7.4381944444444443E-3</v>
      </c>
    </row>
    <row r="102" spans="1:4" x14ac:dyDescent="0.25">
      <c r="A102" s="24" t="s">
        <v>4007</v>
      </c>
      <c r="B102" s="24" t="s">
        <v>4007</v>
      </c>
      <c r="C102" s="50">
        <v>0</v>
      </c>
      <c r="D102" s="27">
        <v>0</v>
      </c>
    </row>
    <row r="103" spans="1:4" x14ac:dyDescent="0.25">
      <c r="A103" s="24" t="s">
        <v>4007</v>
      </c>
      <c r="B103" s="24" t="s">
        <v>4008</v>
      </c>
      <c r="C103" s="48">
        <v>2.77</v>
      </c>
      <c r="D103" s="25">
        <f xml:space="preserve"> C103 / (24 * 'VRP Solver Console'!C11)</f>
        <v>1.9236111111111112E-3</v>
      </c>
    </row>
    <row r="104" spans="1:4" x14ac:dyDescent="0.25">
      <c r="A104" s="24" t="s">
        <v>4007</v>
      </c>
      <c r="B104" s="24" t="s">
        <v>4009</v>
      </c>
      <c r="C104" s="50">
        <v>6.7119999999999997</v>
      </c>
      <c r="D104" s="27">
        <f xml:space="preserve"> C104 / (24 * 'VRP Solver Console'!C11)</f>
        <v>4.6611111111111107E-3</v>
      </c>
    </row>
    <row r="105" spans="1:4" x14ac:dyDescent="0.25">
      <c r="A105" s="24" t="s">
        <v>4007</v>
      </c>
      <c r="B105" s="24" t="s">
        <v>4010</v>
      </c>
      <c r="C105" s="48">
        <v>11.823</v>
      </c>
      <c r="D105" s="25">
        <f xml:space="preserve"> C105 / (24 * 'VRP Solver Console'!C11)</f>
        <v>8.2104166666666662E-3</v>
      </c>
    </row>
    <row r="106" spans="1:4" x14ac:dyDescent="0.25">
      <c r="A106" s="24" t="s">
        <v>4007</v>
      </c>
      <c r="B106" s="24" t="s">
        <v>4011</v>
      </c>
      <c r="C106" s="50">
        <v>11.58</v>
      </c>
      <c r="D106" s="27">
        <f xml:space="preserve"> C106 / (24 * 'VRP Solver Console'!C11)</f>
        <v>8.0416666666666674E-3</v>
      </c>
    </row>
    <row r="107" spans="1:4" x14ac:dyDescent="0.25">
      <c r="A107" s="24" t="s">
        <v>4007</v>
      </c>
      <c r="B107" s="24" t="s">
        <v>4012</v>
      </c>
      <c r="C107" s="48">
        <v>12.71</v>
      </c>
      <c r="D107" s="25">
        <f xml:space="preserve"> C107 / (24 * 'VRP Solver Console'!C11)</f>
        <v>8.8263888888888888E-3</v>
      </c>
    </row>
    <row r="108" spans="1:4" x14ac:dyDescent="0.25">
      <c r="A108" s="24" t="s">
        <v>4007</v>
      </c>
      <c r="B108" s="24" t="s">
        <v>4013</v>
      </c>
      <c r="C108" s="50">
        <v>13.736000000000001</v>
      </c>
      <c r="D108" s="27">
        <f xml:space="preserve"> C108 / (24 * 'VRP Solver Console'!C11)</f>
        <v>9.5388888888888902E-3</v>
      </c>
    </row>
    <row r="109" spans="1:4" x14ac:dyDescent="0.25">
      <c r="A109" s="24" t="s">
        <v>4007</v>
      </c>
      <c r="B109" s="24" t="s">
        <v>4014</v>
      </c>
      <c r="C109" s="48">
        <v>12.928000000000001</v>
      </c>
      <c r="D109" s="25">
        <f xml:space="preserve"> C109 / (24 * 'VRP Solver Console'!C11)</f>
        <v>8.977777777777779E-3</v>
      </c>
    </row>
    <row r="110" spans="1:4" x14ac:dyDescent="0.25">
      <c r="A110" s="24" t="s">
        <v>4007</v>
      </c>
      <c r="B110" s="24" t="s">
        <v>4015</v>
      </c>
      <c r="C110" s="50">
        <v>11.221</v>
      </c>
      <c r="D110" s="27">
        <f xml:space="preserve"> C110 / (24 * 'VRP Solver Console'!C11)</f>
        <v>7.792361111111111E-3</v>
      </c>
    </row>
    <row r="111" spans="1:4" x14ac:dyDescent="0.25">
      <c r="A111" s="24" t="s">
        <v>4007</v>
      </c>
      <c r="B111" s="24" t="s">
        <v>4016</v>
      </c>
      <c r="C111" s="48">
        <v>13.834</v>
      </c>
      <c r="D111" s="25">
        <f xml:space="preserve"> C111 / (24 * 'VRP Solver Console'!C11)</f>
        <v>9.606944444444444E-3</v>
      </c>
    </row>
    <row r="112" spans="1:4" x14ac:dyDescent="0.25">
      <c r="A112" s="24" t="s">
        <v>4007</v>
      </c>
      <c r="B112" s="24" t="s">
        <v>4017</v>
      </c>
      <c r="C112" s="50">
        <v>9.23</v>
      </c>
      <c r="D112" s="27">
        <f xml:space="preserve"> C112 / (24 * 'VRP Solver Console'!C11)</f>
        <v>6.4097222222222229E-3</v>
      </c>
    </row>
    <row r="113" spans="1:4" x14ac:dyDescent="0.25">
      <c r="A113" s="24" t="s">
        <v>4007</v>
      </c>
      <c r="B113" s="24" t="s">
        <v>4018</v>
      </c>
      <c r="C113" s="48">
        <v>10.994999999999999</v>
      </c>
      <c r="D113" s="25">
        <f xml:space="preserve"> C113 / (24 * 'VRP Solver Console'!C11)</f>
        <v>7.6354166666666662E-3</v>
      </c>
    </row>
    <row r="114" spans="1:4" x14ac:dyDescent="0.25">
      <c r="A114" s="24" t="s">
        <v>4007</v>
      </c>
      <c r="B114" s="24" t="s">
        <v>4019</v>
      </c>
      <c r="C114" s="50">
        <v>4.8209999999999997</v>
      </c>
      <c r="D114" s="27">
        <f xml:space="preserve"> C114 / (24 * 'VRP Solver Console'!C11)</f>
        <v>3.3479166666666666E-3</v>
      </c>
    </row>
    <row r="115" spans="1:4" x14ac:dyDescent="0.25">
      <c r="A115" s="24" t="s">
        <v>4007</v>
      </c>
      <c r="B115" s="24" t="s">
        <v>4020</v>
      </c>
      <c r="C115" s="48">
        <v>6.49</v>
      </c>
      <c r="D115" s="25">
        <f xml:space="preserve"> C115 / (24 * 'VRP Solver Console'!C11)</f>
        <v>4.5069444444444445E-3</v>
      </c>
    </row>
    <row r="116" spans="1:4" x14ac:dyDescent="0.25">
      <c r="A116" s="24" t="s">
        <v>4008</v>
      </c>
      <c r="B116" s="24" t="s">
        <v>4024</v>
      </c>
      <c r="C116" s="50">
        <v>7.3680000000000003</v>
      </c>
      <c r="D116" s="27">
        <f xml:space="preserve"> C116 / (24 * 'VRP Solver Console'!C11)</f>
        <v>5.1166666666666669E-3</v>
      </c>
    </row>
    <row r="117" spans="1:4" x14ac:dyDescent="0.25">
      <c r="A117" s="24" t="s">
        <v>4008</v>
      </c>
      <c r="B117" s="24" t="s">
        <v>4003</v>
      </c>
      <c r="C117" s="48">
        <v>9.36</v>
      </c>
      <c r="D117" s="25">
        <f xml:space="preserve"> C117 / (24 * 'VRP Solver Console'!C11)</f>
        <v>6.4999999999999997E-3</v>
      </c>
    </row>
    <row r="118" spans="1:4" x14ac:dyDescent="0.25">
      <c r="A118" s="24" t="s">
        <v>4008</v>
      </c>
      <c r="B118" s="24" t="s">
        <v>4004</v>
      </c>
      <c r="C118" s="50">
        <v>8.1880000000000006</v>
      </c>
      <c r="D118" s="27">
        <f xml:space="preserve"> C118 / (24 * 'VRP Solver Console'!C11)</f>
        <v>5.6861111111111114E-3</v>
      </c>
    </row>
    <row r="119" spans="1:4" x14ac:dyDescent="0.25">
      <c r="A119" s="24" t="s">
        <v>4008</v>
      </c>
      <c r="B119" s="24" t="s">
        <v>4005</v>
      </c>
      <c r="C119" s="48">
        <v>7.3860000000000001</v>
      </c>
      <c r="D119" s="25">
        <f xml:space="preserve"> C119 / (24 * 'VRP Solver Console'!C11)</f>
        <v>5.1291666666666664E-3</v>
      </c>
    </row>
    <row r="120" spans="1:4" x14ac:dyDescent="0.25">
      <c r="A120" s="24" t="s">
        <v>4008</v>
      </c>
      <c r="B120" s="24" t="s">
        <v>4006</v>
      </c>
      <c r="C120" s="50">
        <v>8.2539999999999996</v>
      </c>
      <c r="D120" s="27">
        <f xml:space="preserve"> C120 / (24 * 'VRP Solver Console'!C11)</f>
        <v>5.731944444444444E-3</v>
      </c>
    </row>
    <row r="121" spans="1:4" x14ac:dyDescent="0.25">
      <c r="A121" s="24" t="s">
        <v>4008</v>
      </c>
      <c r="B121" s="24" t="s">
        <v>4007</v>
      </c>
      <c r="C121" s="48">
        <v>2.77</v>
      </c>
      <c r="D121" s="25">
        <f xml:space="preserve"> C121 / (24 * 'VRP Solver Console'!C11)</f>
        <v>1.9236111111111112E-3</v>
      </c>
    </row>
    <row r="122" spans="1:4" x14ac:dyDescent="0.25">
      <c r="A122" s="24" t="s">
        <v>4008</v>
      </c>
      <c r="B122" s="24" t="s">
        <v>4008</v>
      </c>
      <c r="C122" s="50">
        <v>0</v>
      </c>
      <c r="D122" s="27">
        <v>0</v>
      </c>
    </row>
    <row r="123" spans="1:4" x14ac:dyDescent="0.25">
      <c r="A123" s="24" t="s">
        <v>4008</v>
      </c>
      <c r="B123" s="24" t="s">
        <v>4009</v>
      </c>
      <c r="C123" s="48">
        <v>3.9409999999999998</v>
      </c>
      <c r="D123" s="25">
        <f xml:space="preserve"> C123 / (24 * 'VRP Solver Console'!C11)</f>
        <v>2.7368055555555553E-3</v>
      </c>
    </row>
    <row r="124" spans="1:4" x14ac:dyDescent="0.25">
      <c r="A124" s="24" t="s">
        <v>4008</v>
      </c>
      <c r="B124" s="24" t="s">
        <v>4010</v>
      </c>
      <c r="C124" s="50">
        <v>9.3659999999999997</v>
      </c>
      <c r="D124" s="27">
        <f xml:space="preserve"> C124 / (24 * 'VRP Solver Console'!C11)</f>
        <v>6.5041666666666668E-3</v>
      </c>
    </row>
    <row r="125" spans="1:4" x14ac:dyDescent="0.25">
      <c r="A125" s="24" t="s">
        <v>4008</v>
      </c>
      <c r="B125" s="24" t="s">
        <v>4011</v>
      </c>
      <c r="C125" s="48">
        <v>9.1229999999999993</v>
      </c>
      <c r="D125" s="25">
        <f xml:space="preserve"> C125 / (24 * 'VRP Solver Console'!C11)</f>
        <v>6.3354166666666663E-3</v>
      </c>
    </row>
    <row r="126" spans="1:4" x14ac:dyDescent="0.25">
      <c r="A126" s="24" t="s">
        <v>4008</v>
      </c>
      <c r="B126" s="24" t="s">
        <v>4012</v>
      </c>
      <c r="C126" s="50">
        <v>10.253</v>
      </c>
      <c r="D126" s="27">
        <f xml:space="preserve"> C126 / (24 * 'VRP Solver Console'!C11)</f>
        <v>7.1201388888888894E-3</v>
      </c>
    </row>
    <row r="127" spans="1:4" x14ac:dyDescent="0.25">
      <c r="A127" s="24" t="s">
        <v>4008</v>
      </c>
      <c r="B127" s="24" t="s">
        <v>4013</v>
      </c>
      <c r="C127" s="48">
        <v>11.279</v>
      </c>
      <c r="D127" s="25">
        <f xml:space="preserve"> C127 / (24 * 'VRP Solver Console'!C11)</f>
        <v>7.832638888888889E-3</v>
      </c>
    </row>
    <row r="128" spans="1:4" x14ac:dyDescent="0.25">
      <c r="A128" s="24" t="s">
        <v>4008</v>
      </c>
      <c r="B128" s="24" t="s">
        <v>4014</v>
      </c>
      <c r="C128" s="50">
        <v>10.471</v>
      </c>
      <c r="D128" s="27">
        <f xml:space="preserve"> C128 / (24 * 'VRP Solver Console'!C11)</f>
        <v>7.2715277777777778E-3</v>
      </c>
    </row>
    <row r="129" spans="1:4" x14ac:dyDescent="0.25">
      <c r="A129" s="24" t="s">
        <v>4008</v>
      </c>
      <c r="B129" s="24" t="s">
        <v>4015</v>
      </c>
      <c r="C129" s="48">
        <v>8.7639999999999993</v>
      </c>
      <c r="D129" s="25">
        <f xml:space="preserve"> C129 / (24 * 'VRP Solver Console'!C11)</f>
        <v>6.0861111111111107E-3</v>
      </c>
    </row>
    <row r="130" spans="1:4" x14ac:dyDescent="0.25">
      <c r="A130" s="24" t="s">
        <v>4008</v>
      </c>
      <c r="B130" s="24" t="s">
        <v>4016</v>
      </c>
      <c r="C130" s="50">
        <v>11.377000000000001</v>
      </c>
      <c r="D130" s="27">
        <f xml:space="preserve"> C130 / (24 * 'VRP Solver Console'!C11)</f>
        <v>7.9006944444444446E-3</v>
      </c>
    </row>
    <row r="131" spans="1:4" x14ac:dyDescent="0.25">
      <c r="A131" s="24" t="s">
        <v>4008</v>
      </c>
      <c r="B131" s="24" t="s">
        <v>4017</v>
      </c>
      <c r="C131" s="48">
        <v>6.7729999999999997</v>
      </c>
      <c r="D131" s="25">
        <f xml:space="preserve"> C131 / (24 * 'VRP Solver Console'!C11)</f>
        <v>4.7034722222222217E-3</v>
      </c>
    </row>
    <row r="132" spans="1:4" x14ac:dyDescent="0.25">
      <c r="A132" s="24" t="s">
        <v>4008</v>
      </c>
      <c r="B132" s="24" t="s">
        <v>4018</v>
      </c>
      <c r="C132" s="50">
        <v>8.5380000000000003</v>
      </c>
      <c r="D132" s="27">
        <f xml:space="preserve"> C132 / (24 * 'VRP Solver Console'!C11)</f>
        <v>5.9291666666666668E-3</v>
      </c>
    </row>
    <row r="133" spans="1:4" x14ac:dyDescent="0.25">
      <c r="A133" s="24" t="s">
        <v>4008</v>
      </c>
      <c r="B133" s="24" t="s">
        <v>4019</v>
      </c>
      <c r="C133" s="48">
        <v>2.0499999999999998</v>
      </c>
      <c r="D133" s="25">
        <f xml:space="preserve"> C133 / (24 * 'VRP Solver Console'!C11)</f>
        <v>1.423611111111111E-3</v>
      </c>
    </row>
    <row r="134" spans="1:4" x14ac:dyDescent="0.25">
      <c r="A134" s="24" t="s">
        <v>4008</v>
      </c>
      <c r="B134" s="24" t="s">
        <v>4020</v>
      </c>
      <c r="C134" s="50">
        <v>4.0330000000000004</v>
      </c>
      <c r="D134" s="27">
        <f xml:space="preserve"> C134 / (24 * 'VRP Solver Console'!C11)</f>
        <v>2.8006944444444446E-3</v>
      </c>
    </row>
    <row r="135" spans="1:4" x14ac:dyDescent="0.25">
      <c r="A135" s="24" t="s">
        <v>4009</v>
      </c>
      <c r="B135" s="24" t="s">
        <v>4024</v>
      </c>
      <c r="C135" s="48">
        <v>10.994999999999999</v>
      </c>
      <c r="D135" s="25">
        <f xml:space="preserve"> C135 / (24 * 'VRP Solver Console'!C11)</f>
        <v>7.6354166666666662E-3</v>
      </c>
    </row>
    <row r="136" spans="1:4" x14ac:dyDescent="0.25">
      <c r="A136" s="24" t="s">
        <v>4009</v>
      </c>
      <c r="B136" s="24" t="s">
        <v>4003</v>
      </c>
      <c r="C136" s="50">
        <v>12.987</v>
      </c>
      <c r="D136" s="27">
        <f xml:space="preserve"> C136 / (24 * 'VRP Solver Console'!C11)</f>
        <v>9.0187500000000007E-3</v>
      </c>
    </row>
    <row r="137" spans="1:4" x14ac:dyDescent="0.25">
      <c r="A137" s="24" t="s">
        <v>4009</v>
      </c>
      <c r="B137" s="24" t="s">
        <v>4004</v>
      </c>
      <c r="C137" s="48">
        <v>11.815</v>
      </c>
      <c r="D137" s="25">
        <f xml:space="preserve"> C137 / (24 * 'VRP Solver Console'!C11)</f>
        <v>8.2048611111111107E-3</v>
      </c>
    </row>
    <row r="138" spans="1:4" x14ac:dyDescent="0.25">
      <c r="A138" s="24" t="s">
        <v>4009</v>
      </c>
      <c r="B138" s="24" t="s">
        <v>4005</v>
      </c>
      <c r="C138" s="50">
        <v>11.013</v>
      </c>
      <c r="D138" s="27">
        <f xml:space="preserve"> C138 / (24 * 'VRP Solver Console'!C11)</f>
        <v>7.6479166666666666E-3</v>
      </c>
    </row>
    <row r="139" spans="1:4" x14ac:dyDescent="0.25">
      <c r="A139" s="24" t="s">
        <v>4009</v>
      </c>
      <c r="B139" s="24" t="s">
        <v>4006</v>
      </c>
      <c r="C139" s="48">
        <v>11.881</v>
      </c>
      <c r="D139" s="25">
        <f xml:space="preserve"> C139 / (24 * 'VRP Solver Console'!C11)</f>
        <v>8.2506944444444442E-3</v>
      </c>
    </row>
    <row r="140" spans="1:4" x14ac:dyDescent="0.25">
      <c r="A140" s="24" t="s">
        <v>4009</v>
      </c>
      <c r="B140" s="24" t="s">
        <v>4007</v>
      </c>
      <c r="C140" s="50">
        <v>6.7119999999999997</v>
      </c>
      <c r="D140" s="27">
        <f xml:space="preserve"> C140 / (24 * 'VRP Solver Console'!C11)</f>
        <v>4.6611111111111107E-3</v>
      </c>
    </row>
    <row r="141" spans="1:4" x14ac:dyDescent="0.25">
      <c r="A141" s="24" t="s">
        <v>4009</v>
      </c>
      <c r="B141" s="24" t="s">
        <v>4008</v>
      </c>
      <c r="C141" s="48">
        <v>3.9409999999999998</v>
      </c>
      <c r="D141" s="25">
        <f xml:space="preserve"> C141 / (24 * 'VRP Solver Console'!C11)</f>
        <v>2.7368055555555553E-3</v>
      </c>
    </row>
    <row r="142" spans="1:4" x14ac:dyDescent="0.25">
      <c r="A142" s="24" t="s">
        <v>4009</v>
      </c>
      <c r="B142" s="24" t="s">
        <v>4009</v>
      </c>
      <c r="C142" s="50">
        <v>0</v>
      </c>
      <c r="D142" s="27">
        <v>0</v>
      </c>
    </row>
    <row r="143" spans="1:4" x14ac:dyDescent="0.25">
      <c r="A143" s="24" t="s">
        <v>4009</v>
      </c>
      <c r="B143" s="24" t="s">
        <v>4010</v>
      </c>
      <c r="C143" s="48">
        <v>12.993</v>
      </c>
      <c r="D143" s="25">
        <f xml:space="preserve"> C143 / (24 * 'VRP Solver Console'!C11)</f>
        <v>9.0229166666666669E-3</v>
      </c>
    </row>
    <row r="144" spans="1:4" x14ac:dyDescent="0.25">
      <c r="A144" s="24" t="s">
        <v>4009</v>
      </c>
      <c r="B144" s="24" t="s">
        <v>4011</v>
      </c>
      <c r="C144" s="50">
        <v>12.75</v>
      </c>
      <c r="D144" s="27">
        <f xml:space="preserve"> C144 / (24 * 'VRP Solver Console'!C11)</f>
        <v>8.8541666666666664E-3</v>
      </c>
    </row>
    <row r="145" spans="1:4" x14ac:dyDescent="0.25">
      <c r="A145" s="24" t="s">
        <v>4009</v>
      </c>
      <c r="B145" s="24" t="s">
        <v>4012</v>
      </c>
      <c r="C145" s="48">
        <v>13.88</v>
      </c>
      <c r="D145" s="25">
        <f xml:space="preserve"> C145 / (24 * 'VRP Solver Console'!C11)</f>
        <v>9.6388888888888895E-3</v>
      </c>
    </row>
    <row r="146" spans="1:4" x14ac:dyDescent="0.25">
      <c r="A146" s="24" t="s">
        <v>4009</v>
      </c>
      <c r="B146" s="24" t="s">
        <v>4013</v>
      </c>
      <c r="C146" s="50">
        <v>14.906000000000001</v>
      </c>
      <c r="D146" s="27">
        <f xml:space="preserve"> C146 / (24 * 'VRP Solver Console'!C11)</f>
        <v>1.0351388888888889E-2</v>
      </c>
    </row>
    <row r="147" spans="1:4" x14ac:dyDescent="0.25">
      <c r="A147" s="24" t="s">
        <v>4009</v>
      </c>
      <c r="B147" s="24" t="s">
        <v>4014</v>
      </c>
      <c r="C147" s="48">
        <v>14.098000000000001</v>
      </c>
      <c r="D147" s="25">
        <f xml:space="preserve"> C147 / (24 * 'VRP Solver Console'!C11)</f>
        <v>9.790277777777778E-3</v>
      </c>
    </row>
    <row r="148" spans="1:4" x14ac:dyDescent="0.25">
      <c r="A148" s="24" t="s">
        <v>4009</v>
      </c>
      <c r="B148" s="24" t="s">
        <v>4015</v>
      </c>
      <c r="C148" s="50">
        <v>12.391</v>
      </c>
      <c r="D148" s="27">
        <f xml:space="preserve"> C148 / (24 * 'VRP Solver Console'!C11)</f>
        <v>8.6048611111111117E-3</v>
      </c>
    </row>
    <row r="149" spans="1:4" x14ac:dyDescent="0.25">
      <c r="A149" s="24" t="s">
        <v>4009</v>
      </c>
      <c r="B149" s="24" t="s">
        <v>4016</v>
      </c>
      <c r="C149" s="48">
        <v>15.004</v>
      </c>
      <c r="D149" s="25">
        <f xml:space="preserve"> C149 / (24 * 'VRP Solver Console'!C11)</f>
        <v>1.0419444444444445E-2</v>
      </c>
    </row>
    <row r="150" spans="1:4" x14ac:dyDescent="0.25">
      <c r="A150" s="24" t="s">
        <v>4009</v>
      </c>
      <c r="B150" s="24" t="s">
        <v>4017</v>
      </c>
      <c r="C150" s="50">
        <v>10.4</v>
      </c>
      <c r="D150" s="27">
        <f xml:space="preserve"> C150 / (24 * 'VRP Solver Console'!C11)</f>
        <v>7.2222222222222228E-3</v>
      </c>
    </row>
    <row r="151" spans="1:4" x14ac:dyDescent="0.25">
      <c r="A151" s="24" t="s">
        <v>4009</v>
      </c>
      <c r="B151" s="24" t="s">
        <v>4018</v>
      </c>
      <c r="C151" s="48">
        <v>12.164999999999999</v>
      </c>
      <c r="D151" s="25">
        <f xml:space="preserve"> C151 / (24 * 'VRP Solver Console'!C11)</f>
        <v>8.4479166666666661E-3</v>
      </c>
    </row>
    <row r="152" spans="1:4" x14ac:dyDescent="0.25">
      <c r="A152" s="24" t="s">
        <v>4009</v>
      </c>
      <c r="B152" s="24" t="s">
        <v>4019</v>
      </c>
      <c r="C152" s="50">
        <v>1.89</v>
      </c>
      <c r="D152" s="27">
        <f xml:space="preserve"> C152 / (24 * 'VRP Solver Console'!C11)</f>
        <v>1.3124999999999999E-3</v>
      </c>
    </row>
    <row r="153" spans="1:4" x14ac:dyDescent="0.25">
      <c r="A153" s="24" t="s">
        <v>4009</v>
      </c>
      <c r="B153" s="24" t="s">
        <v>4020</v>
      </c>
      <c r="C153" s="48">
        <v>7.66</v>
      </c>
      <c r="D153" s="25">
        <f xml:space="preserve"> C153 / (24 * 'VRP Solver Console'!C11)</f>
        <v>5.3194444444444444E-3</v>
      </c>
    </row>
    <row r="154" spans="1:4" x14ac:dyDescent="0.25">
      <c r="A154" s="24" t="s">
        <v>4010</v>
      </c>
      <c r="B154" s="24" t="s">
        <v>4024</v>
      </c>
      <c r="C154" s="50">
        <v>4.1580000000000004</v>
      </c>
      <c r="D154" s="27">
        <f xml:space="preserve"> C154 / (24 * 'VRP Solver Console'!C11)</f>
        <v>2.8875000000000003E-3</v>
      </c>
    </row>
    <row r="155" spans="1:4" x14ac:dyDescent="0.25">
      <c r="A155" s="24" t="s">
        <v>4010</v>
      </c>
      <c r="B155" s="24" t="s">
        <v>4003</v>
      </c>
      <c r="C155" s="48">
        <v>0.94699999999999995</v>
      </c>
      <c r="D155" s="25">
        <f xml:space="preserve"> C155 / (24 * 'VRP Solver Console'!C11)</f>
        <v>6.5763888888888881E-4</v>
      </c>
    </row>
    <row r="156" spans="1:4" x14ac:dyDescent="0.25">
      <c r="A156" s="24" t="s">
        <v>4010</v>
      </c>
      <c r="B156" s="24" t="s">
        <v>4004</v>
      </c>
      <c r="C156" s="50">
        <v>2.3140000000000001</v>
      </c>
      <c r="D156" s="27">
        <f xml:space="preserve"> C156 / (24 * 'VRP Solver Console'!C11)</f>
        <v>1.6069444444444445E-3</v>
      </c>
    </row>
    <row r="157" spans="1:4" x14ac:dyDescent="0.25">
      <c r="A157" s="24" t="s">
        <v>4010</v>
      </c>
      <c r="B157" s="24" t="s">
        <v>4005</v>
      </c>
      <c r="C157" s="48">
        <v>3.7450000000000001</v>
      </c>
      <c r="D157" s="25">
        <f xml:space="preserve"> C157 / (24 * 'VRP Solver Console'!C11)</f>
        <v>2.6006944444444445E-3</v>
      </c>
    </row>
    <row r="158" spans="1:4" x14ac:dyDescent="0.25">
      <c r="A158" s="24" t="s">
        <v>4010</v>
      </c>
      <c r="B158" s="24" t="s">
        <v>4006</v>
      </c>
      <c r="C158" s="50">
        <v>2.1890000000000001</v>
      </c>
      <c r="D158" s="27">
        <f xml:space="preserve"> C158 / (24 * 'VRP Solver Console'!C11)</f>
        <v>1.520138888888889E-3</v>
      </c>
    </row>
    <row r="159" spans="1:4" x14ac:dyDescent="0.25">
      <c r="A159" s="24" t="s">
        <v>4010</v>
      </c>
      <c r="B159" s="24" t="s">
        <v>4007</v>
      </c>
      <c r="C159" s="48">
        <v>12.37</v>
      </c>
      <c r="D159" s="25">
        <f xml:space="preserve"> C159 / (24 * 'VRP Solver Console'!C11)</f>
        <v>8.5902777777777765E-3</v>
      </c>
    </row>
    <row r="160" spans="1:4" x14ac:dyDescent="0.25">
      <c r="A160" s="24" t="s">
        <v>4010</v>
      </c>
      <c r="B160" s="24" t="s">
        <v>4008</v>
      </c>
      <c r="C160" s="50">
        <v>9.9130000000000003</v>
      </c>
      <c r="D160" s="27">
        <f xml:space="preserve"> C160 / (24 * 'VRP Solver Console'!C11)</f>
        <v>6.884027777777778E-3</v>
      </c>
    </row>
    <row r="161" spans="1:4" x14ac:dyDescent="0.25">
      <c r="A161" s="24" t="s">
        <v>4010</v>
      </c>
      <c r="B161" s="24" t="s">
        <v>4009</v>
      </c>
      <c r="C161" s="48">
        <v>13.54</v>
      </c>
      <c r="D161" s="25">
        <f xml:space="preserve"> C161 / (24 * 'VRP Solver Console'!C11)</f>
        <v>9.4027777777777773E-3</v>
      </c>
    </row>
    <row r="162" spans="1:4" x14ac:dyDescent="0.25">
      <c r="A162" s="24" t="s">
        <v>4010</v>
      </c>
      <c r="B162" s="24" t="s">
        <v>4010</v>
      </c>
      <c r="C162" s="50">
        <v>0</v>
      </c>
      <c r="D162" s="27">
        <v>0</v>
      </c>
    </row>
    <row r="163" spans="1:4" x14ac:dyDescent="0.25">
      <c r="A163" s="24" t="s">
        <v>4010</v>
      </c>
      <c r="B163" s="24" t="s">
        <v>4011</v>
      </c>
      <c r="C163" s="48">
        <v>1.367</v>
      </c>
      <c r="D163" s="25">
        <f xml:space="preserve"> C163 / (24 * 'VRP Solver Console'!C11)</f>
        <v>9.4930555555555556E-4</v>
      </c>
    </row>
    <row r="164" spans="1:4" x14ac:dyDescent="0.25">
      <c r="A164" s="24" t="s">
        <v>4010</v>
      </c>
      <c r="B164" s="24" t="s">
        <v>4012</v>
      </c>
      <c r="C164" s="50">
        <v>2.9380000000000002</v>
      </c>
      <c r="D164" s="27">
        <f xml:space="preserve"> C164 / (24 * 'VRP Solver Console'!C11)</f>
        <v>2.040277777777778E-3</v>
      </c>
    </row>
    <row r="165" spans="1:4" x14ac:dyDescent="0.25">
      <c r="A165" s="24" t="s">
        <v>4010</v>
      </c>
      <c r="B165" s="24" t="s">
        <v>4013</v>
      </c>
      <c r="C165" s="48">
        <v>4.3890000000000002</v>
      </c>
      <c r="D165" s="25">
        <f xml:space="preserve"> C165 / (24 * 'VRP Solver Console'!C11)</f>
        <v>3.0479166666666667E-3</v>
      </c>
    </row>
    <row r="166" spans="1:4" x14ac:dyDescent="0.25">
      <c r="A166" s="24" t="s">
        <v>4010</v>
      </c>
      <c r="B166" s="24" t="s">
        <v>4014</v>
      </c>
      <c r="C166" s="50">
        <v>3.581</v>
      </c>
      <c r="D166" s="27">
        <f xml:space="preserve"> C166 / (24 * 'VRP Solver Console'!C11)</f>
        <v>2.4868055555555555E-3</v>
      </c>
    </row>
    <row r="167" spans="1:4" x14ac:dyDescent="0.25">
      <c r="A167" s="24" t="s">
        <v>4010</v>
      </c>
      <c r="B167" s="24" t="s">
        <v>4015</v>
      </c>
      <c r="C167" s="48">
        <v>3.11</v>
      </c>
      <c r="D167" s="25">
        <f xml:space="preserve"> C167 / (24 * 'VRP Solver Console'!C11)</f>
        <v>2.1597222222222222E-3</v>
      </c>
    </row>
    <row r="168" spans="1:4" x14ac:dyDescent="0.25">
      <c r="A168" s="24" t="s">
        <v>4010</v>
      </c>
      <c r="B168" s="24" t="s">
        <v>4016</v>
      </c>
      <c r="C168" s="50">
        <v>4.4870000000000001</v>
      </c>
      <c r="D168" s="27">
        <f xml:space="preserve"> C168 / (24 * 'VRP Solver Console'!C11)</f>
        <v>3.1159722222222222E-3</v>
      </c>
    </row>
    <row r="169" spans="1:4" x14ac:dyDescent="0.25">
      <c r="A169" s="24" t="s">
        <v>4010</v>
      </c>
      <c r="B169" s="24" t="s">
        <v>4017</v>
      </c>
      <c r="C169" s="48">
        <v>3.3410000000000002</v>
      </c>
      <c r="D169" s="25">
        <f xml:space="preserve"> C169 / (24 * 'VRP Solver Console'!C11)</f>
        <v>2.3201388888888889E-3</v>
      </c>
    </row>
    <row r="170" spans="1:4" x14ac:dyDescent="0.25">
      <c r="A170" s="24" t="s">
        <v>4010</v>
      </c>
      <c r="B170" s="24" t="s">
        <v>4018</v>
      </c>
      <c r="C170" s="50">
        <v>2.48</v>
      </c>
      <c r="D170" s="27">
        <f xml:space="preserve"> C170 / (24 * 'VRP Solver Console'!C11)</f>
        <v>1.7222222222222222E-3</v>
      </c>
    </row>
    <row r="171" spans="1:4" x14ac:dyDescent="0.25">
      <c r="A171" s="24" t="s">
        <v>4010</v>
      </c>
      <c r="B171" s="24" t="s">
        <v>4019</v>
      </c>
      <c r="C171" s="48">
        <v>11.648999999999999</v>
      </c>
      <c r="D171" s="25">
        <f xml:space="preserve"> C171 / (24 * 'VRP Solver Console'!C11)</f>
        <v>8.0895833333333323E-3</v>
      </c>
    </row>
    <row r="172" spans="1:4" x14ac:dyDescent="0.25">
      <c r="A172" s="24" t="s">
        <v>4010</v>
      </c>
      <c r="B172" s="24" t="s">
        <v>4020</v>
      </c>
      <c r="C172" s="50">
        <v>5.8789999999999996</v>
      </c>
      <c r="D172" s="27">
        <f xml:space="preserve"> C172 / (24 * 'VRP Solver Console'!C11)</f>
        <v>4.0826388888888883E-3</v>
      </c>
    </row>
    <row r="173" spans="1:4" x14ac:dyDescent="0.25">
      <c r="A173" s="24" t="s">
        <v>4011</v>
      </c>
      <c r="B173" s="24" t="s">
        <v>4024</v>
      </c>
      <c r="C173" s="48">
        <v>3.56</v>
      </c>
      <c r="D173" s="25">
        <f xml:space="preserve"> C173 / (24 * 'VRP Solver Console'!C11)</f>
        <v>2.4722222222222224E-3</v>
      </c>
    </row>
    <row r="174" spans="1:4" x14ac:dyDescent="0.25">
      <c r="A174" s="24" t="s">
        <v>4011</v>
      </c>
      <c r="B174" s="24" t="s">
        <v>4003</v>
      </c>
      <c r="C174" s="50">
        <v>2.4780000000000002</v>
      </c>
      <c r="D174" s="27">
        <f xml:space="preserve"> C174 / (24 * 'VRP Solver Console'!C11)</f>
        <v>1.7208333333333335E-3</v>
      </c>
    </row>
    <row r="175" spans="1:4" x14ac:dyDescent="0.25">
      <c r="A175" s="24" t="s">
        <v>4011</v>
      </c>
      <c r="B175" s="24" t="s">
        <v>4004</v>
      </c>
      <c r="C175" s="48">
        <v>3.069</v>
      </c>
      <c r="D175" s="25">
        <f xml:space="preserve"> C175 / (24 * 'VRP Solver Console'!C11)</f>
        <v>2.1312499999999999E-3</v>
      </c>
    </row>
    <row r="176" spans="1:4" x14ac:dyDescent="0.25">
      <c r="A176" s="24" t="s">
        <v>4011</v>
      </c>
      <c r="B176" s="24" t="s">
        <v>4005</v>
      </c>
      <c r="C176" s="50">
        <v>3.7229999999999999</v>
      </c>
      <c r="D176" s="27">
        <f xml:space="preserve"> C176 / (24 * 'VRP Solver Console'!C11)</f>
        <v>2.5854166666666664E-3</v>
      </c>
    </row>
    <row r="177" spans="1:4" x14ac:dyDescent="0.25">
      <c r="A177" s="24" t="s">
        <v>4011</v>
      </c>
      <c r="B177" s="24" t="s">
        <v>4006</v>
      </c>
      <c r="C177" s="48">
        <v>3.0510000000000002</v>
      </c>
      <c r="D177" s="25">
        <f xml:space="preserve"> C177 / (24 * 'VRP Solver Console'!C11)</f>
        <v>2.11875E-3</v>
      </c>
    </row>
    <row r="178" spans="1:4" x14ac:dyDescent="0.25">
      <c r="A178" s="24" t="s">
        <v>4011</v>
      </c>
      <c r="B178" s="24" t="s">
        <v>4007</v>
      </c>
      <c r="C178" s="50">
        <v>14.114000000000001</v>
      </c>
      <c r="D178" s="27">
        <f xml:space="preserve"> C178 / (24 * 'VRP Solver Console'!C11)</f>
        <v>9.801388888888889E-3</v>
      </c>
    </row>
    <row r="179" spans="1:4" x14ac:dyDescent="0.25">
      <c r="A179" s="24" t="s">
        <v>4011</v>
      </c>
      <c r="B179" s="24" t="s">
        <v>4008</v>
      </c>
      <c r="C179" s="48">
        <v>11.657</v>
      </c>
      <c r="D179" s="25">
        <f xml:space="preserve"> C179 / (24 * 'VRP Solver Console'!C11)</f>
        <v>8.0951388888888896E-3</v>
      </c>
    </row>
    <row r="180" spans="1:4" x14ac:dyDescent="0.25">
      <c r="A180" s="24" t="s">
        <v>4011</v>
      </c>
      <c r="B180" s="24" t="s">
        <v>4009</v>
      </c>
      <c r="C180" s="50">
        <v>15.284000000000001</v>
      </c>
      <c r="D180" s="27">
        <f xml:space="preserve"> C180 / (24 * 'VRP Solver Console'!C11)</f>
        <v>1.061388888888889E-2</v>
      </c>
    </row>
    <row r="181" spans="1:4" x14ac:dyDescent="0.25">
      <c r="A181" s="24" t="s">
        <v>4011</v>
      </c>
      <c r="B181" s="24" t="s">
        <v>4010</v>
      </c>
      <c r="C181" s="48">
        <v>1.5309999999999999</v>
      </c>
      <c r="D181" s="25">
        <f xml:space="preserve"> C181 / (24 * 'VRP Solver Console'!C11)</f>
        <v>1.0631944444444443E-3</v>
      </c>
    </row>
    <row r="182" spans="1:4" x14ac:dyDescent="0.25">
      <c r="A182" s="24" t="s">
        <v>4011</v>
      </c>
      <c r="B182" s="24" t="s">
        <v>4011</v>
      </c>
      <c r="C182" s="50">
        <v>0</v>
      </c>
      <c r="D182" s="27">
        <v>0</v>
      </c>
    </row>
    <row r="183" spans="1:4" x14ac:dyDescent="0.25">
      <c r="A183" s="24" t="s">
        <v>4011</v>
      </c>
      <c r="B183" s="24" t="s">
        <v>4012</v>
      </c>
      <c r="C183" s="48">
        <v>1.829</v>
      </c>
      <c r="D183" s="25">
        <f xml:space="preserve"> C183 / (24 * 'VRP Solver Console'!C11)</f>
        <v>1.2701388888888888E-3</v>
      </c>
    </row>
    <row r="184" spans="1:4" x14ac:dyDescent="0.25">
      <c r="A184" s="24" t="s">
        <v>4011</v>
      </c>
      <c r="B184" s="24" t="s">
        <v>4013</v>
      </c>
      <c r="C184" s="50">
        <v>3.4820000000000002</v>
      </c>
      <c r="D184" s="27">
        <f xml:space="preserve"> C184 / (24 * 'VRP Solver Console'!C11)</f>
        <v>2.4180555555555557E-3</v>
      </c>
    </row>
    <row r="185" spans="1:4" x14ac:dyDescent="0.25">
      <c r="A185" s="24" t="s">
        <v>4011</v>
      </c>
      <c r="B185" s="24" t="s">
        <v>4014</v>
      </c>
      <c r="C185" s="48">
        <v>2.6739999999999999</v>
      </c>
      <c r="D185" s="25">
        <f xml:space="preserve"> C185 / (24 * 'VRP Solver Console'!C11)</f>
        <v>1.8569444444444445E-3</v>
      </c>
    </row>
    <row r="186" spans="1:4" x14ac:dyDescent="0.25">
      <c r="A186" s="24" t="s">
        <v>4011</v>
      </c>
      <c r="B186" s="24" t="s">
        <v>4015</v>
      </c>
      <c r="C186" s="50">
        <v>2.2029999999999998</v>
      </c>
      <c r="D186" s="27">
        <f xml:space="preserve"> C186 / (24 * 'VRP Solver Console'!C11)</f>
        <v>1.529861111111111E-3</v>
      </c>
    </row>
    <row r="187" spans="1:4" x14ac:dyDescent="0.25">
      <c r="A187" s="24" t="s">
        <v>4011</v>
      </c>
      <c r="B187" s="24" t="s">
        <v>4016</v>
      </c>
      <c r="C187" s="48">
        <v>3.6669999999999998</v>
      </c>
      <c r="D187" s="25">
        <f xml:space="preserve"> C187 / (24 * 'VRP Solver Console'!C11)</f>
        <v>2.5465277777777778E-3</v>
      </c>
    </row>
    <row r="188" spans="1:4" x14ac:dyDescent="0.25">
      <c r="A188" s="24" t="s">
        <v>4011</v>
      </c>
      <c r="B188" s="24" t="s">
        <v>4017</v>
      </c>
      <c r="C188" s="50">
        <v>3.319</v>
      </c>
      <c r="D188" s="27">
        <f xml:space="preserve"> C188 / (24 * 'VRP Solver Console'!C11)</f>
        <v>2.3048611111111113E-3</v>
      </c>
    </row>
    <row r="189" spans="1:4" x14ac:dyDescent="0.25">
      <c r="A189" s="24" t="s">
        <v>4011</v>
      </c>
      <c r="B189" s="24" t="s">
        <v>4018</v>
      </c>
      <c r="C189" s="48">
        <v>4.0110000000000001</v>
      </c>
      <c r="D189" s="25">
        <f xml:space="preserve"> C189 / (24 * 'VRP Solver Console'!C11)</f>
        <v>2.7854166666666669E-3</v>
      </c>
    </row>
    <row r="190" spans="1:4" x14ac:dyDescent="0.25">
      <c r="A190" s="24" t="s">
        <v>4011</v>
      </c>
      <c r="B190" s="24" t="s">
        <v>4019</v>
      </c>
      <c r="C190" s="50">
        <v>13.393000000000001</v>
      </c>
      <c r="D190" s="27">
        <f xml:space="preserve"> C190 / (24 * 'VRP Solver Console'!C11)</f>
        <v>9.3006944444444448E-3</v>
      </c>
    </row>
    <row r="191" spans="1:4" x14ac:dyDescent="0.25">
      <c r="A191" s="24" t="s">
        <v>4011</v>
      </c>
      <c r="B191" s="24" t="s">
        <v>4020</v>
      </c>
      <c r="C191" s="48">
        <v>7.6230000000000002</v>
      </c>
      <c r="D191" s="25">
        <f xml:space="preserve"> C191 / (24 * 'VRP Solver Console'!C11)</f>
        <v>5.2937499999999998E-3</v>
      </c>
    </row>
    <row r="192" spans="1:4" x14ac:dyDescent="0.25">
      <c r="A192" s="24" t="s">
        <v>4012</v>
      </c>
      <c r="B192" s="24" t="s">
        <v>4024</v>
      </c>
      <c r="C192" s="50">
        <v>5.1449999999999996</v>
      </c>
      <c r="D192" s="27">
        <f xml:space="preserve"> C192 / (24 * 'VRP Solver Console'!C11)</f>
        <v>3.5729166666666665E-3</v>
      </c>
    </row>
    <row r="193" spans="1:4" x14ac:dyDescent="0.25">
      <c r="A193" s="24" t="s">
        <v>4012</v>
      </c>
      <c r="B193" s="24" t="s">
        <v>4003</v>
      </c>
      <c r="C193" s="48">
        <v>3.339</v>
      </c>
      <c r="D193" s="25">
        <f xml:space="preserve"> C193 / (24 * 'VRP Solver Console'!C11)</f>
        <v>2.3187500000000001E-3</v>
      </c>
    </row>
    <row r="194" spans="1:4" x14ac:dyDescent="0.25">
      <c r="A194" s="24" t="s">
        <v>4012</v>
      </c>
      <c r="B194" s="24" t="s">
        <v>4004</v>
      </c>
      <c r="C194" s="50">
        <v>3.93</v>
      </c>
      <c r="D194" s="27">
        <f xml:space="preserve"> C194 / (24 * 'VRP Solver Console'!C11)</f>
        <v>2.7291666666666666E-3</v>
      </c>
    </row>
    <row r="195" spans="1:4" x14ac:dyDescent="0.25">
      <c r="A195" s="24" t="s">
        <v>4012</v>
      </c>
      <c r="B195" s="24" t="s">
        <v>4005</v>
      </c>
      <c r="C195" s="48">
        <v>4.7320000000000002</v>
      </c>
      <c r="D195" s="25">
        <f xml:space="preserve"> C195 / (24 * 'VRP Solver Console'!C11)</f>
        <v>3.2861111111111112E-3</v>
      </c>
    </row>
    <row r="196" spans="1:4" x14ac:dyDescent="0.25">
      <c r="A196" s="24" t="s">
        <v>4012</v>
      </c>
      <c r="B196" s="24" t="s">
        <v>4006</v>
      </c>
      <c r="C196" s="50">
        <v>3.9119999999999999</v>
      </c>
      <c r="D196" s="27">
        <f xml:space="preserve"> C196 / (24 * 'VRP Solver Console'!C11)</f>
        <v>2.7166666666666667E-3</v>
      </c>
    </row>
    <row r="197" spans="1:4" x14ac:dyDescent="0.25">
      <c r="A197" s="24" t="s">
        <v>4012</v>
      </c>
      <c r="B197" s="24" t="s">
        <v>4007</v>
      </c>
      <c r="C197" s="48">
        <v>15.122999999999999</v>
      </c>
      <c r="D197" s="25">
        <f xml:space="preserve"> C197 / (24 * 'VRP Solver Console'!C11)</f>
        <v>1.0502083333333332E-2</v>
      </c>
    </row>
    <row r="198" spans="1:4" x14ac:dyDescent="0.25">
      <c r="A198" s="24" t="s">
        <v>4012</v>
      </c>
      <c r="B198" s="24" t="s">
        <v>4008</v>
      </c>
      <c r="C198" s="50">
        <v>12.666</v>
      </c>
      <c r="D198" s="27">
        <f xml:space="preserve"> C198 / (24 * 'VRP Solver Console'!C11)</f>
        <v>8.7958333333333343E-3</v>
      </c>
    </row>
    <row r="199" spans="1:4" x14ac:dyDescent="0.25">
      <c r="A199" s="24" t="s">
        <v>4012</v>
      </c>
      <c r="B199" s="24" t="s">
        <v>4009</v>
      </c>
      <c r="C199" s="48">
        <v>16.292999999999999</v>
      </c>
      <c r="D199" s="25">
        <f xml:space="preserve"> C199 / (24 * 'VRP Solver Console'!C11)</f>
        <v>1.1314583333333333E-2</v>
      </c>
    </row>
    <row r="200" spans="1:4" x14ac:dyDescent="0.25">
      <c r="A200" s="24" t="s">
        <v>4012</v>
      </c>
      <c r="B200" s="24" t="s">
        <v>4010</v>
      </c>
      <c r="C200" s="50">
        <v>2.3919999999999999</v>
      </c>
      <c r="D200" s="27">
        <f xml:space="preserve"> C200 / (24 * 'VRP Solver Console'!C11)</f>
        <v>1.661111111111111E-3</v>
      </c>
    </row>
    <row r="201" spans="1:4" x14ac:dyDescent="0.25">
      <c r="A201" s="24" t="s">
        <v>4012</v>
      </c>
      <c r="B201" s="24" t="s">
        <v>4011</v>
      </c>
      <c r="C201" s="48">
        <v>2.3540000000000001</v>
      </c>
      <c r="D201" s="25">
        <f xml:space="preserve"> C201 / (24 * 'VRP Solver Console'!C11)</f>
        <v>1.6347222222222223E-3</v>
      </c>
    </row>
    <row r="202" spans="1:4" x14ac:dyDescent="0.25">
      <c r="A202" s="24" t="s">
        <v>4012</v>
      </c>
      <c r="B202" s="24" t="s">
        <v>4012</v>
      </c>
      <c r="C202" s="50">
        <v>0</v>
      </c>
      <c r="D202" s="27">
        <v>0</v>
      </c>
    </row>
    <row r="203" spans="1:4" x14ac:dyDescent="0.25">
      <c r="A203" s="24" t="s">
        <v>4012</v>
      </c>
      <c r="B203" s="24" t="s">
        <v>4013</v>
      </c>
      <c r="C203" s="48">
        <v>2.7549999999999999</v>
      </c>
      <c r="D203" s="25">
        <f xml:space="preserve"> C203 / (24 * 'VRP Solver Console'!C11)</f>
        <v>1.9131944444444444E-3</v>
      </c>
    </row>
    <row r="204" spans="1:4" x14ac:dyDescent="0.25">
      <c r="A204" s="24" t="s">
        <v>4012</v>
      </c>
      <c r="B204" s="24" t="s">
        <v>4014</v>
      </c>
      <c r="C204" s="50">
        <v>1.9470000000000001</v>
      </c>
      <c r="D204" s="27">
        <f xml:space="preserve"> C204 / (24 * 'VRP Solver Console'!C11)</f>
        <v>1.3520833333333334E-3</v>
      </c>
    </row>
    <row r="205" spans="1:4" x14ac:dyDescent="0.25">
      <c r="A205" s="24" t="s">
        <v>4012</v>
      </c>
      <c r="B205" s="24" t="s">
        <v>4015</v>
      </c>
      <c r="C205" s="48">
        <v>3.0209999999999999</v>
      </c>
      <c r="D205" s="25">
        <f xml:space="preserve"> C205 / (24 * 'VRP Solver Console'!C11)</f>
        <v>2.0979166666666668E-3</v>
      </c>
    </row>
    <row r="206" spans="1:4" x14ac:dyDescent="0.25">
      <c r="A206" s="24" t="s">
        <v>4012</v>
      </c>
      <c r="B206" s="24" t="s">
        <v>4016</v>
      </c>
      <c r="C206" s="50">
        <v>2.891</v>
      </c>
      <c r="D206" s="27">
        <f xml:space="preserve"> C206 / (24 * 'VRP Solver Console'!C11)</f>
        <v>2.0076388888888891E-3</v>
      </c>
    </row>
    <row r="207" spans="1:4" x14ac:dyDescent="0.25">
      <c r="A207" s="24" t="s">
        <v>4012</v>
      </c>
      <c r="B207" s="24" t="s">
        <v>4017</v>
      </c>
      <c r="C207" s="48">
        <v>4.3280000000000003</v>
      </c>
      <c r="D207" s="25">
        <f xml:space="preserve"> C207 / (24 * 'VRP Solver Console'!C11)</f>
        <v>3.0055555555555556E-3</v>
      </c>
    </row>
    <row r="208" spans="1:4" x14ac:dyDescent="0.25">
      <c r="A208" s="24" t="s">
        <v>4012</v>
      </c>
      <c r="B208" s="24" t="s">
        <v>4018</v>
      </c>
      <c r="C208" s="50">
        <v>5.2610000000000001</v>
      </c>
      <c r="D208" s="27">
        <f xml:space="preserve"> C208 / (24 * 'VRP Solver Console'!C11)</f>
        <v>3.6534722222222225E-3</v>
      </c>
    </row>
    <row r="209" spans="1:4" x14ac:dyDescent="0.25">
      <c r="A209" s="24" t="s">
        <v>4012</v>
      </c>
      <c r="B209" s="24" t="s">
        <v>4019</v>
      </c>
      <c r="C209" s="48">
        <v>14.401999999999999</v>
      </c>
      <c r="D209" s="25">
        <f xml:space="preserve"> C209 / (24 * 'VRP Solver Console'!C11)</f>
        <v>1.0001388888888888E-2</v>
      </c>
    </row>
    <row r="210" spans="1:4" x14ac:dyDescent="0.25">
      <c r="A210" s="24" t="s">
        <v>4012</v>
      </c>
      <c r="B210" s="24" t="s">
        <v>4020</v>
      </c>
      <c r="C210" s="50">
        <v>8.6319999999999997</v>
      </c>
      <c r="D210" s="27">
        <f xml:space="preserve"> C210 / (24 * 'VRP Solver Console'!C11)</f>
        <v>5.9944444444444446E-3</v>
      </c>
    </row>
    <row r="211" spans="1:4" x14ac:dyDescent="0.25">
      <c r="A211" s="24" t="s">
        <v>4013</v>
      </c>
      <c r="B211" s="24" t="s">
        <v>4024</v>
      </c>
      <c r="C211" s="48">
        <v>2.5979999999999999</v>
      </c>
      <c r="D211" s="25">
        <f xml:space="preserve"> C211 / (24 * 'VRP Solver Console'!C11)</f>
        <v>1.8041666666666666E-3</v>
      </c>
    </row>
    <row r="212" spans="1:4" x14ac:dyDescent="0.25">
      <c r="A212" s="24" t="s">
        <v>4013</v>
      </c>
      <c r="B212" s="24" t="s">
        <v>4003</v>
      </c>
      <c r="C212" s="50">
        <v>4.41</v>
      </c>
      <c r="D212" s="27">
        <f xml:space="preserve"> C212 / (24 * 'VRP Solver Console'!C11)</f>
        <v>3.0625000000000001E-3</v>
      </c>
    </row>
    <row r="213" spans="1:4" x14ac:dyDescent="0.25">
      <c r="A213" s="24" t="s">
        <v>4013</v>
      </c>
      <c r="B213" s="24" t="s">
        <v>4004</v>
      </c>
      <c r="C213" s="48">
        <v>4.8529999999999998</v>
      </c>
      <c r="D213" s="25">
        <f xml:space="preserve"> C213 / (24 * 'VRP Solver Console'!C11)</f>
        <v>3.3701388888888887E-3</v>
      </c>
    </row>
    <row r="214" spans="1:4" x14ac:dyDescent="0.25">
      <c r="A214" s="24" t="s">
        <v>4013</v>
      </c>
      <c r="B214" s="24" t="s">
        <v>4005</v>
      </c>
      <c r="C214" s="50">
        <v>2.593</v>
      </c>
      <c r="D214" s="27">
        <f xml:space="preserve"> C214 / (24 * 'VRP Solver Console'!C11)</f>
        <v>1.8006944444444444E-3</v>
      </c>
    </row>
    <row r="215" spans="1:4" x14ac:dyDescent="0.25">
      <c r="A215" s="24" t="s">
        <v>4013</v>
      </c>
      <c r="B215" s="24" t="s">
        <v>4006</v>
      </c>
      <c r="C215" s="48">
        <v>4.835</v>
      </c>
      <c r="D215" s="25">
        <f xml:space="preserve"> C215 / (24 * 'VRP Solver Console'!C11)</f>
        <v>3.3576388888888887E-3</v>
      </c>
    </row>
    <row r="216" spans="1:4" x14ac:dyDescent="0.25">
      <c r="A216" s="24" t="s">
        <v>4013</v>
      </c>
      <c r="B216" s="24" t="s">
        <v>4007</v>
      </c>
      <c r="C216" s="50">
        <v>12.423999999999999</v>
      </c>
      <c r="D216" s="27">
        <f xml:space="preserve"> C216 / (24 * 'VRP Solver Console'!C11)</f>
        <v>8.6277777777777776E-3</v>
      </c>
    </row>
    <row r="217" spans="1:4" x14ac:dyDescent="0.25">
      <c r="A217" s="24" t="s">
        <v>4013</v>
      </c>
      <c r="B217" s="24" t="s">
        <v>4008</v>
      </c>
      <c r="C217" s="48">
        <v>9.9670000000000005</v>
      </c>
      <c r="D217" s="25">
        <f xml:space="preserve"> C217 / (24 * 'VRP Solver Console'!C11)</f>
        <v>6.9215277777777782E-3</v>
      </c>
    </row>
    <row r="218" spans="1:4" x14ac:dyDescent="0.25">
      <c r="A218" s="24" t="s">
        <v>4013</v>
      </c>
      <c r="B218" s="24" t="s">
        <v>4009</v>
      </c>
      <c r="C218" s="50">
        <v>13.593999999999999</v>
      </c>
      <c r="D218" s="27">
        <f xml:space="preserve"> C218 / (24 * 'VRP Solver Console'!C11)</f>
        <v>9.4402777777777766E-3</v>
      </c>
    </row>
    <row r="219" spans="1:4" x14ac:dyDescent="0.25">
      <c r="A219" s="24" t="s">
        <v>4013</v>
      </c>
      <c r="B219" s="24" t="s">
        <v>4010</v>
      </c>
      <c r="C219" s="48">
        <v>3.4630000000000001</v>
      </c>
      <c r="D219" s="25">
        <f xml:space="preserve"> C219 / (24 * 'VRP Solver Console'!C11)</f>
        <v>2.4048611111111111E-3</v>
      </c>
    </row>
    <row r="220" spans="1:4" x14ac:dyDescent="0.25">
      <c r="A220" s="24" t="s">
        <v>4013</v>
      </c>
      <c r="B220" s="24" t="s">
        <v>4011</v>
      </c>
      <c r="C220" s="50">
        <v>3.22</v>
      </c>
      <c r="D220" s="27">
        <f xml:space="preserve"> C220 / (24 * 'VRP Solver Console'!C11)</f>
        <v>2.2361111111111115E-3</v>
      </c>
    </row>
    <row r="221" spans="1:4" x14ac:dyDescent="0.25">
      <c r="A221" s="24" t="s">
        <v>4013</v>
      </c>
      <c r="B221" s="24" t="s">
        <v>4012</v>
      </c>
      <c r="C221" s="48">
        <v>1.8620000000000001</v>
      </c>
      <c r="D221" s="25">
        <f xml:space="preserve"> C221 / (24 * 'VRP Solver Console'!C11)</f>
        <v>1.2930555555555555E-3</v>
      </c>
    </row>
    <row r="222" spans="1:4" x14ac:dyDescent="0.25">
      <c r="A222" s="24" t="s">
        <v>4013</v>
      </c>
      <c r="B222" s="24" t="s">
        <v>4013</v>
      </c>
      <c r="C222" s="50">
        <v>0</v>
      </c>
      <c r="D222" s="27">
        <v>0</v>
      </c>
    </row>
    <row r="223" spans="1:4" x14ac:dyDescent="0.25">
      <c r="A223" s="24" t="s">
        <v>4013</v>
      </c>
      <c r="B223" s="24" t="s">
        <v>4014</v>
      </c>
      <c r="C223" s="48">
        <v>0.84799999999999998</v>
      </c>
      <c r="D223" s="25">
        <f xml:space="preserve"> C223 / (24 * 'VRP Solver Console'!C11)</f>
        <v>5.888888888888889E-4</v>
      </c>
    </row>
    <row r="224" spans="1:4" x14ac:dyDescent="0.25">
      <c r="A224" s="24" t="s">
        <v>4013</v>
      </c>
      <c r="B224" s="24" t="s">
        <v>4015</v>
      </c>
      <c r="C224" s="50">
        <v>1.2410000000000001</v>
      </c>
      <c r="D224" s="27">
        <f xml:space="preserve"> C224 / (24 * 'VRP Solver Console'!C11)</f>
        <v>8.6180555555555565E-4</v>
      </c>
    </row>
    <row r="225" spans="1:4" x14ac:dyDescent="0.25">
      <c r="A225" s="24" t="s">
        <v>4013</v>
      </c>
      <c r="B225" s="24" t="s">
        <v>4016</v>
      </c>
      <c r="C225" s="48">
        <v>1.103</v>
      </c>
      <c r="D225" s="25">
        <f xml:space="preserve"> C225 / (24 * 'VRP Solver Console'!C11)</f>
        <v>7.6597222222222225E-4</v>
      </c>
    </row>
    <row r="226" spans="1:4" x14ac:dyDescent="0.25">
      <c r="A226" s="24" t="s">
        <v>4013</v>
      </c>
      <c r="B226" s="24" t="s">
        <v>4017</v>
      </c>
      <c r="C226" s="50">
        <v>4.5490000000000004</v>
      </c>
      <c r="D226" s="27">
        <f xml:space="preserve"> C226 / (24 * 'VRP Solver Console'!C11)</f>
        <v>3.159027777777778E-3</v>
      </c>
    </row>
    <row r="227" spans="1:4" x14ac:dyDescent="0.25">
      <c r="A227" s="24" t="s">
        <v>4013</v>
      </c>
      <c r="B227" s="24" t="s">
        <v>4018</v>
      </c>
      <c r="C227" s="48">
        <v>5.7119999999999997</v>
      </c>
      <c r="D227" s="25">
        <f xml:space="preserve"> C227 / (24 * 'VRP Solver Console'!C11)</f>
        <v>3.9666666666666661E-3</v>
      </c>
    </row>
    <row r="228" spans="1:4" x14ac:dyDescent="0.25">
      <c r="A228" s="24" t="s">
        <v>4013</v>
      </c>
      <c r="B228" s="24" t="s">
        <v>4019</v>
      </c>
      <c r="C228" s="50">
        <v>11.702999999999999</v>
      </c>
      <c r="D228" s="27">
        <f xml:space="preserve"> C228 / (24 * 'VRP Solver Console'!C11)</f>
        <v>8.1270833333333334E-3</v>
      </c>
    </row>
    <row r="229" spans="1:4" x14ac:dyDescent="0.25">
      <c r="A229" s="24" t="s">
        <v>4013</v>
      </c>
      <c r="B229" s="24" t="s">
        <v>4020</v>
      </c>
      <c r="C229" s="48">
        <v>8.8529999999999998</v>
      </c>
      <c r="D229" s="25">
        <f xml:space="preserve"> C229 / (24 * 'VRP Solver Console'!C11)</f>
        <v>6.1479166666666661E-3</v>
      </c>
    </row>
    <row r="230" spans="1:4" x14ac:dyDescent="0.25">
      <c r="A230" s="24" t="s">
        <v>4014</v>
      </c>
      <c r="B230" s="24" t="s">
        <v>4024</v>
      </c>
      <c r="C230" s="50">
        <v>3.94</v>
      </c>
      <c r="D230" s="27">
        <f xml:space="preserve"> C230 / (24 * 'VRP Solver Console'!C11)</f>
        <v>2.736111111111111E-3</v>
      </c>
    </row>
    <row r="231" spans="1:4" x14ac:dyDescent="0.25">
      <c r="A231" s="24" t="s">
        <v>4014</v>
      </c>
      <c r="B231" s="24" t="s">
        <v>4003</v>
      </c>
      <c r="C231" s="48">
        <v>3.56</v>
      </c>
      <c r="D231" s="25">
        <f xml:space="preserve"> C231 / (24 * 'VRP Solver Console'!C11)</f>
        <v>2.4722222222222224E-3</v>
      </c>
    </row>
    <row r="232" spans="1:4" x14ac:dyDescent="0.25">
      <c r="A232" s="24" t="s">
        <v>4014</v>
      </c>
      <c r="B232" s="24" t="s">
        <v>4004</v>
      </c>
      <c r="C232" s="50">
        <v>4.0030000000000001</v>
      </c>
      <c r="D232" s="27">
        <f xml:space="preserve"> C232 / (24 * 'VRP Solver Console'!C11)</f>
        <v>2.779861111111111E-3</v>
      </c>
    </row>
    <row r="233" spans="1:4" x14ac:dyDescent="0.25">
      <c r="A233" s="24" t="s">
        <v>4014</v>
      </c>
      <c r="B233" s="24" t="s">
        <v>4005</v>
      </c>
      <c r="C233" s="48">
        <v>4.1029999999999998</v>
      </c>
      <c r="D233" s="25">
        <f xml:space="preserve"> C233 / (24 * 'VRP Solver Console'!C11)</f>
        <v>2.8493055555555554E-3</v>
      </c>
    </row>
    <row r="234" spans="1:4" x14ac:dyDescent="0.25">
      <c r="A234" s="24" t="s">
        <v>4014</v>
      </c>
      <c r="B234" s="24" t="s">
        <v>4006</v>
      </c>
      <c r="C234" s="50">
        <v>3.9849999999999999</v>
      </c>
      <c r="D234" s="27">
        <f xml:space="preserve"> C234 / (24 * 'VRP Solver Console'!C11)</f>
        <v>2.7673611111111111E-3</v>
      </c>
    </row>
    <row r="235" spans="1:4" x14ac:dyDescent="0.25">
      <c r="A235" s="24" t="s">
        <v>4014</v>
      </c>
      <c r="B235" s="24" t="s">
        <v>4007</v>
      </c>
      <c r="C235" s="48">
        <v>14.494</v>
      </c>
      <c r="D235" s="25">
        <f xml:space="preserve"> C235 / (24 * 'VRP Solver Console'!C11)</f>
        <v>1.0065277777777777E-2</v>
      </c>
    </row>
    <row r="236" spans="1:4" x14ac:dyDescent="0.25">
      <c r="A236" s="24" t="s">
        <v>4014</v>
      </c>
      <c r="B236" s="24" t="s">
        <v>4008</v>
      </c>
      <c r="C236" s="50">
        <v>12.037000000000001</v>
      </c>
      <c r="D236" s="27">
        <f xml:space="preserve"> C236 / (24 * 'VRP Solver Console'!C11)</f>
        <v>8.3590277777777777E-3</v>
      </c>
    </row>
    <row r="237" spans="1:4" x14ac:dyDescent="0.25">
      <c r="A237" s="24" t="s">
        <v>4014</v>
      </c>
      <c r="B237" s="24" t="s">
        <v>4009</v>
      </c>
      <c r="C237" s="48">
        <v>15.664</v>
      </c>
      <c r="D237" s="25">
        <f xml:space="preserve"> C237 / (24 * 'VRP Solver Console'!C11)</f>
        <v>1.0877777777777778E-2</v>
      </c>
    </row>
    <row r="238" spans="1:4" x14ac:dyDescent="0.25">
      <c r="A238" s="24" t="s">
        <v>4014</v>
      </c>
      <c r="B238" s="24" t="s">
        <v>4010</v>
      </c>
      <c r="C238" s="50">
        <v>2.613</v>
      </c>
      <c r="D238" s="27">
        <f xml:space="preserve"> C238 / (24 * 'VRP Solver Console'!C11)</f>
        <v>1.8145833333333334E-3</v>
      </c>
    </row>
    <row r="239" spans="1:4" x14ac:dyDescent="0.25">
      <c r="A239" s="24" t="s">
        <v>4014</v>
      </c>
      <c r="B239" s="24" t="s">
        <v>4011</v>
      </c>
      <c r="C239" s="48">
        <v>2.37</v>
      </c>
      <c r="D239" s="25">
        <f xml:space="preserve"> C239 / (24 * 'VRP Solver Console'!C11)</f>
        <v>1.6458333333333333E-3</v>
      </c>
    </row>
    <row r="240" spans="1:4" x14ac:dyDescent="0.25">
      <c r="A240" s="24" t="s">
        <v>4014</v>
      </c>
      <c r="B240" s="24" t="s">
        <v>4012</v>
      </c>
      <c r="C240" s="50">
        <v>1.0129999999999999</v>
      </c>
      <c r="D240" s="27">
        <f xml:space="preserve"> C240 / (24 * 'VRP Solver Console'!C11)</f>
        <v>7.0347222222222219E-4</v>
      </c>
    </row>
    <row r="241" spans="1:4" x14ac:dyDescent="0.25">
      <c r="A241" s="24" t="s">
        <v>4014</v>
      </c>
      <c r="B241" s="24" t="s">
        <v>4013</v>
      </c>
      <c r="C241" s="48">
        <v>2.3170000000000002</v>
      </c>
      <c r="D241" s="25">
        <f xml:space="preserve"> C241 / (24 * 'VRP Solver Console'!C11)</f>
        <v>1.6090277777777778E-3</v>
      </c>
    </row>
    <row r="242" spans="1:4" x14ac:dyDescent="0.25">
      <c r="A242" s="24" t="s">
        <v>4014</v>
      </c>
      <c r="B242" s="24" t="s">
        <v>4014</v>
      </c>
      <c r="C242" s="50">
        <v>0</v>
      </c>
      <c r="D242" s="27">
        <v>0</v>
      </c>
    </row>
    <row r="243" spans="1:4" x14ac:dyDescent="0.25">
      <c r="A243" s="24" t="s">
        <v>4014</v>
      </c>
      <c r="B243" s="24" t="s">
        <v>4015</v>
      </c>
      <c r="C243" s="48">
        <v>2.5830000000000002</v>
      </c>
      <c r="D243" s="25">
        <f xml:space="preserve"> C243 / (24 * 'VRP Solver Console'!C11)</f>
        <v>1.7937500000000002E-3</v>
      </c>
    </row>
    <row r="244" spans="1:4" x14ac:dyDescent="0.25">
      <c r="A244" s="24" t="s">
        <v>4014</v>
      </c>
      <c r="B244" s="24" t="s">
        <v>4016</v>
      </c>
      <c r="C244" s="50">
        <v>2.4529999999999998</v>
      </c>
      <c r="D244" s="27">
        <f xml:space="preserve"> C244 / (24 * 'VRP Solver Console'!C11)</f>
        <v>1.7034722222222221E-3</v>
      </c>
    </row>
    <row r="245" spans="1:4" x14ac:dyDescent="0.25">
      <c r="A245" s="24" t="s">
        <v>4014</v>
      </c>
      <c r="B245" s="24" t="s">
        <v>4017</v>
      </c>
      <c r="C245" s="48">
        <v>3.6989999999999998</v>
      </c>
      <c r="D245" s="25">
        <f xml:space="preserve"> C245 / (24 * 'VRP Solver Console'!C11)</f>
        <v>2.5687499999999999E-3</v>
      </c>
    </row>
    <row r="246" spans="1:4" x14ac:dyDescent="0.25">
      <c r="A246" s="24" t="s">
        <v>4014</v>
      </c>
      <c r="B246" s="24" t="s">
        <v>4018</v>
      </c>
      <c r="C246" s="50">
        <v>4.8620000000000001</v>
      </c>
      <c r="D246" s="27">
        <f xml:space="preserve"> C246 / (24 * 'VRP Solver Console'!C11)</f>
        <v>3.3763888888888888E-3</v>
      </c>
    </row>
    <row r="247" spans="1:4" x14ac:dyDescent="0.25">
      <c r="A247" s="24" t="s">
        <v>4014</v>
      </c>
      <c r="B247" s="24" t="s">
        <v>4019</v>
      </c>
      <c r="C247" s="48">
        <v>13.773</v>
      </c>
      <c r="D247" s="25">
        <f xml:space="preserve"> C247 / (24 * 'VRP Solver Console'!C11)</f>
        <v>9.5645833333333329E-3</v>
      </c>
    </row>
    <row r="248" spans="1:4" x14ac:dyDescent="0.25">
      <c r="A248" s="24" t="s">
        <v>4014</v>
      </c>
      <c r="B248" s="24" t="s">
        <v>4020</v>
      </c>
      <c r="C248" s="50">
        <v>8.0030000000000001</v>
      </c>
      <c r="D248" s="27">
        <f xml:space="preserve"> C248 / (24 * 'VRP Solver Console'!C11)</f>
        <v>5.5576388888888889E-3</v>
      </c>
    </row>
    <row r="249" spans="1:4" x14ac:dyDescent="0.25">
      <c r="A249" s="24" t="s">
        <v>4015</v>
      </c>
      <c r="B249" s="24" t="s">
        <v>4024</v>
      </c>
      <c r="C249" s="48">
        <v>1.3560000000000001</v>
      </c>
      <c r="D249" s="25">
        <f xml:space="preserve"> C249 / (24 * 'VRP Solver Console'!C11)</f>
        <v>9.4166666666666672E-4</v>
      </c>
    </row>
    <row r="250" spans="1:4" x14ac:dyDescent="0.25">
      <c r="A250" s="24" t="s">
        <v>4015</v>
      </c>
      <c r="B250" s="24" t="s">
        <v>4003</v>
      </c>
      <c r="C250" s="50">
        <v>3.738</v>
      </c>
      <c r="D250" s="27">
        <f xml:space="preserve"> C250 / (24 * 'VRP Solver Console'!C11)</f>
        <v>2.5958333333333332E-3</v>
      </c>
    </row>
    <row r="251" spans="1:4" x14ac:dyDescent="0.25">
      <c r="A251" s="24" t="s">
        <v>4015</v>
      </c>
      <c r="B251" s="24" t="s">
        <v>4004</v>
      </c>
      <c r="C251" s="48">
        <v>3.149</v>
      </c>
      <c r="D251" s="25">
        <f xml:space="preserve"> C251 / (24 * 'VRP Solver Console'!C11)</f>
        <v>2.1868055555555556E-3</v>
      </c>
    </row>
    <row r="252" spans="1:4" x14ac:dyDescent="0.25">
      <c r="A252" s="24" t="s">
        <v>4015</v>
      </c>
      <c r="B252" s="24" t="s">
        <v>4005</v>
      </c>
      <c r="C252" s="50">
        <v>1.351</v>
      </c>
      <c r="D252" s="27">
        <f xml:space="preserve"> C252 / (24 * 'VRP Solver Console'!C11)</f>
        <v>9.3819444444444441E-4</v>
      </c>
    </row>
    <row r="253" spans="1:4" x14ac:dyDescent="0.25">
      <c r="A253" s="24" t="s">
        <v>4015</v>
      </c>
      <c r="B253" s="24" t="s">
        <v>4006</v>
      </c>
      <c r="C253" s="48">
        <v>3.1309999999999998</v>
      </c>
      <c r="D253" s="25">
        <f xml:space="preserve"> C253 / (24 * 'VRP Solver Console'!C11)</f>
        <v>2.1743055555555552E-3</v>
      </c>
    </row>
    <row r="254" spans="1:4" x14ac:dyDescent="0.25">
      <c r="A254" s="24" t="s">
        <v>4015</v>
      </c>
      <c r="B254" s="24" t="s">
        <v>4007</v>
      </c>
      <c r="C254" s="50">
        <v>11.182</v>
      </c>
      <c r="D254" s="27">
        <f xml:space="preserve"> C254 / (24 * 'VRP Solver Console'!C11)</f>
        <v>7.7652777777777781E-3</v>
      </c>
    </row>
    <row r="255" spans="1:4" x14ac:dyDescent="0.25">
      <c r="A255" s="24" t="s">
        <v>4015</v>
      </c>
      <c r="B255" s="24" t="s">
        <v>4008</v>
      </c>
      <c r="C255" s="48">
        <v>8.7249999999999996</v>
      </c>
      <c r="D255" s="25">
        <f xml:space="preserve"> C255 / (24 * 'VRP Solver Console'!C11)</f>
        <v>6.0590277777777778E-3</v>
      </c>
    </row>
    <row r="256" spans="1:4" x14ac:dyDescent="0.25">
      <c r="A256" s="24" t="s">
        <v>4015</v>
      </c>
      <c r="B256" s="24" t="s">
        <v>4009</v>
      </c>
      <c r="C256" s="50">
        <v>12.352</v>
      </c>
      <c r="D256" s="27">
        <f xml:space="preserve"> C256 / (24 * 'VRP Solver Console'!C11)</f>
        <v>8.5777777777777779E-3</v>
      </c>
    </row>
    <row r="257" spans="1:4" x14ac:dyDescent="0.25">
      <c r="A257" s="24" t="s">
        <v>4015</v>
      </c>
      <c r="B257" s="24" t="s">
        <v>4010</v>
      </c>
      <c r="C257" s="48">
        <v>2.7909999999999999</v>
      </c>
      <c r="D257" s="25">
        <f xml:space="preserve"> C257 / (24 * 'VRP Solver Console'!C11)</f>
        <v>1.9381944444444444E-3</v>
      </c>
    </row>
    <row r="258" spans="1:4" x14ac:dyDescent="0.25">
      <c r="A258" s="24" t="s">
        <v>4015</v>
      </c>
      <c r="B258" s="24" t="s">
        <v>4011</v>
      </c>
      <c r="C258" s="50">
        <v>2.548</v>
      </c>
      <c r="D258" s="27">
        <f xml:space="preserve"> C258 / (24 * 'VRP Solver Console'!C11)</f>
        <v>1.7694444444444446E-3</v>
      </c>
    </row>
    <row r="259" spans="1:4" x14ac:dyDescent="0.25">
      <c r="A259" s="24" t="s">
        <v>4015</v>
      </c>
      <c r="B259" s="24" t="s">
        <v>4012</v>
      </c>
      <c r="C259" s="48">
        <v>2.8530000000000002</v>
      </c>
      <c r="D259" s="25">
        <f xml:space="preserve"> C259 / (24 * 'VRP Solver Console'!C11)</f>
        <v>1.9812499999999999E-3</v>
      </c>
    </row>
    <row r="260" spans="1:4" x14ac:dyDescent="0.25">
      <c r="A260" s="24" t="s">
        <v>4015</v>
      </c>
      <c r="B260" s="24" t="s">
        <v>4013</v>
      </c>
      <c r="C260" s="50">
        <v>1.6719999999999999</v>
      </c>
      <c r="D260" s="27">
        <f xml:space="preserve"> C260 / (24 * 'VRP Solver Console'!C11)</f>
        <v>1.161111111111111E-3</v>
      </c>
    </row>
    <row r="261" spans="1:4" x14ac:dyDescent="0.25">
      <c r="A261" s="24" t="s">
        <v>4015</v>
      </c>
      <c r="B261" s="24" t="s">
        <v>4014</v>
      </c>
      <c r="C261" s="48">
        <v>1.839</v>
      </c>
      <c r="D261" s="25">
        <f xml:space="preserve"> C261 / (24 * 'VRP Solver Console'!C11)</f>
        <v>1.2770833333333334E-3</v>
      </c>
    </row>
    <row r="262" spans="1:4" x14ac:dyDescent="0.25">
      <c r="A262" s="24" t="s">
        <v>4015</v>
      </c>
      <c r="B262" s="24" t="s">
        <v>4015</v>
      </c>
      <c r="C262" s="50">
        <v>0</v>
      </c>
      <c r="D262" s="27">
        <v>0</v>
      </c>
    </row>
    <row r="263" spans="1:4" x14ac:dyDescent="0.25">
      <c r="A263" s="24" t="s">
        <v>4015</v>
      </c>
      <c r="B263" s="24" t="s">
        <v>4016</v>
      </c>
      <c r="C263" s="48">
        <v>1.925</v>
      </c>
      <c r="D263" s="25">
        <f xml:space="preserve"> C263 / (24 * 'VRP Solver Console'!C11)</f>
        <v>1.3368055555555555E-3</v>
      </c>
    </row>
    <row r="264" spans="1:4" x14ac:dyDescent="0.25">
      <c r="A264" s="24" t="s">
        <v>4015</v>
      </c>
      <c r="B264" s="24" t="s">
        <v>4017</v>
      </c>
      <c r="C264" s="50">
        <v>2.8450000000000002</v>
      </c>
      <c r="D264" s="27">
        <f xml:space="preserve"> C264 / (24 * 'VRP Solver Console'!C11)</f>
        <v>1.9756944444444444E-3</v>
      </c>
    </row>
    <row r="265" spans="1:4" x14ac:dyDescent="0.25">
      <c r="A265" s="24" t="s">
        <v>4015</v>
      </c>
      <c r="B265" s="24" t="s">
        <v>4018</v>
      </c>
      <c r="C265" s="48">
        <v>4.008</v>
      </c>
      <c r="D265" s="25">
        <f xml:space="preserve"> C265 / (24 * 'VRP Solver Console'!C11)</f>
        <v>2.7833333333333334E-3</v>
      </c>
    </row>
    <row r="266" spans="1:4" x14ac:dyDescent="0.25">
      <c r="A266" s="24" t="s">
        <v>4015</v>
      </c>
      <c r="B266" s="24" t="s">
        <v>4019</v>
      </c>
      <c r="C266" s="50">
        <v>10.461</v>
      </c>
      <c r="D266" s="27">
        <f xml:space="preserve"> C266 / (24 * 'VRP Solver Console'!C11)</f>
        <v>7.2645833333333338E-3</v>
      </c>
    </row>
    <row r="267" spans="1:4" x14ac:dyDescent="0.25">
      <c r="A267" s="24" t="s">
        <v>4015</v>
      </c>
      <c r="B267" s="24" t="s">
        <v>4020</v>
      </c>
      <c r="C267" s="48">
        <v>4.8360000000000003</v>
      </c>
      <c r="D267" s="25">
        <f xml:space="preserve"> C267 / (24 * 'VRP Solver Console'!C11)</f>
        <v>3.3583333333333334E-3</v>
      </c>
    </row>
    <row r="268" spans="1:4" x14ac:dyDescent="0.25">
      <c r="A268" s="24" t="s">
        <v>4016</v>
      </c>
      <c r="B268" s="24" t="s">
        <v>4024</v>
      </c>
      <c r="C268" s="50">
        <v>3.133</v>
      </c>
      <c r="D268" s="27">
        <f xml:space="preserve"> C268 / (24 * 'VRP Solver Console'!C11)</f>
        <v>2.1756944444444445E-3</v>
      </c>
    </row>
    <row r="269" spans="1:4" x14ac:dyDescent="0.25">
      <c r="A269" s="24" t="s">
        <v>4016</v>
      </c>
      <c r="B269" s="24" t="s">
        <v>4003</v>
      </c>
      <c r="C269" s="48">
        <v>5.27</v>
      </c>
      <c r="D269" s="25">
        <f xml:space="preserve"> C269 / (24 * 'VRP Solver Console'!C11)</f>
        <v>3.6597222222222218E-3</v>
      </c>
    </row>
    <row r="270" spans="1:4" x14ac:dyDescent="0.25">
      <c r="A270" s="24" t="s">
        <v>4016</v>
      </c>
      <c r="B270" s="24" t="s">
        <v>4004</v>
      </c>
      <c r="C270" s="50">
        <v>5.7130000000000001</v>
      </c>
      <c r="D270" s="27">
        <f xml:space="preserve"> C270 / (24 * 'VRP Solver Console'!C11)</f>
        <v>3.9673611111111107E-3</v>
      </c>
    </row>
    <row r="271" spans="1:4" x14ac:dyDescent="0.25">
      <c r="A271" s="24" t="s">
        <v>4016</v>
      </c>
      <c r="B271" s="24" t="s">
        <v>4005</v>
      </c>
      <c r="C271" s="48">
        <v>3.1280000000000001</v>
      </c>
      <c r="D271" s="25">
        <f xml:space="preserve"> C271 / (24 * 'VRP Solver Console'!C11)</f>
        <v>2.1722222222222221E-3</v>
      </c>
    </row>
    <row r="272" spans="1:4" x14ac:dyDescent="0.25">
      <c r="A272" s="24" t="s">
        <v>4016</v>
      </c>
      <c r="B272" s="24" t="s">
        <v>4006</v>
      </c>
      <c r="C272" s="50">
        <v>5.6950000000000003</v>
      </c>
      <c r="D272" s="27">
        <f xml:space="preserve"> C272 / (24 * 'VRP Solver Console'!C11)</f>
        <v>3.9548611111111113E-3</v>
      </c>
    </row>
    <row r="273" spans="1:4" x14ac:dyDescent="0.25">
      <c r="A273" s="24" t="s">
        <v>4016</v>
      </c>
      <c r="B273" s="24" t="s">
        <v>4007</v>
      </c>
      <c r="C273" s="48">
        <v>12.959</v>
      </c>
      <c r="D273" s="25">
        <f xml:space="preserve"> C273 / (24 * 'VRP Solver Console'!C11)</f>
        <v>8.9993055555555555E-3</v>
      </c>
    </row>
    <row r="274" spans="1:4" x14ac:dyDescent="0.25">
      <c r="A274" s="24" t="s">
        <v>4016</v>
      </c>
      <c r="B274" s="24" t="s">
        <v>4008</v>
      </c>
      <c r="C274" s="50">
        <v>10.502000000000001</v>
      </c>
      <c r="D274" s="27">
        <f xml:space="preserve"> C274 / (24 * 'VRP Solver Console'!C11)</f>
        <v>7.2930555555555561E-3</v>
      </c>
    </row>
    <row r="275" spans="1:4" x14ac:dyDescent="0.25">
      <c r="A275" s="24" t="s">
        <v>4016</v>
      </c>
      <c r="B275" s="24" t="s">
        <v>4009</v>
      </c>
      <c r="C275" s="48">
        <v>14.129</v>
      </c>
      <c r="D275" s="25">
        <f xml:space="preserve"> C275 / (24 * 'VRP Solver Console'!C11)</f>
        <v>9.8118055555555545E-3</v>
      </c>
    </row>
    <row r="276" spans="1:4" x14ac:dyDescent="0.25">
      <c r="A276" s="24" t="s">
        <v>4016</v>
      </c>
      <c r="B276" s="24" t="s">
        <v>4010</v>
      </c>
      <c r="C276" s="50">
        <v>4.3230000000000004</v>
      </c>
      <c r="D276" s="27">
        <f xml:space="preserve"> C276 / (24 * 'VRP Solver Console'!C11)</f>
        <v>3.0020833333333336E-3</v>
      </c>
    </row>
    <row r="277" spans="1:4" x14ac:dyDescent="0.25">
      <c r="A277" s="24" t="s">
        <v>4016</v>
      </c>
      <c r="B277" s="24" t="s">
        <v>4011</v>
      </c>
      <c r="C277" s="48">
        <v>4.08</v>
      </c>
      <c r="D277" s="25">
        <f xml:space="preserve"> C277 / (24 * 'VRP Solver Console'!C11)</f>
        <v>2.8333333333333335E-3</v>
      </c>
    </row>
    <row r="278" spans="1:4" x14ac:dyDescent="0.25">
      <c r="A278" s="24" t="s">
        <v>4016</v>
      </c>
      <c r="B278" s="24" t="s">
        <v>4012</v>
      </c>
      <c r="C278" s="50">
        <v>2.3879999999999999</v>
      </c>
      <c r="D278" s="27">
        <f xml:space="preserve"> C278 / (24 * 'VRP Solver Console'!C11)</f>
        <v>1.6583333333333333E-3</v>
      </c>
    </row>
    <row r="279" spans="1:4" x14ac:dyDescent="0.25">
      <c r="A279" s="24" t="s">
        <v>4016</v>
      </c>
      <c r="B279" s="24" t="s">
        <v>4013</v>
      </c>
      <c r="C279" s="48">
        <v>0.61699999999999999</v>
      </c>
      <c r="D279" s="25">
        <f xml:space="preserve"> C279 / (24 * 'VRP Solver Console'!C11)</f>
        <v>4.2847222222222223E-4</v>
      </c>
    </row>
    <row r="280" spans="1:4" x14ac:dyDescent="0.25">
      <c r="A280" s="24" t="s">
        <v>4016</v>
      </c>
      <c r="B280" s="24" t="s">
        <v>4014</v>
      </c>
      <c r="C280" s="50">
        <v>1.3740000000000001</v>
      </c>
      <c r="D280" s="27">
        <f xml:space="preserve"> C280 / (24 * 'VRP Solver Console'!C11)</f>
        <v>9.5416666666666675E-4</v>
      </c>
    </row>
    <row r="281" spans="1:4" x14ac:dyDescent="0.25">
      <c r="A281" s="24" t="s">
        <v>4016</v>
      </c>
      <c r="B281" s="24" t="s">
        <v>4015</v>
      </c>
      <c r="C281" s="48">
        <v>2.1720000000000002</v>
      </c>
      <c r="D281" s="25">
        <f xml:space="preserve"> C281 / (24 * 'VRP Solver Console'!C11)</f>
        <v>1.5083333333333335E-3</v>
      </c>
    </row>
    <row r="282" spans="1:4" x14ac:dyDescent="0.25">
      <c r="A282" s="24" t="s">
        <v>4016</v>
      </c>
      <c r="B282" s="24" t="s">
        <v>4016</v>
      </c>
      <c r="C282" s="50">
        <v>0</v>
      </c>
      <c r="D282" s="27">
        <v>0</v>
      </c>
    </row>
    <row r="283" spans="1:4" x14ac:dyDescent="0.25">
      <c r="A283" s="24" t="s">
        <v>4016</v>
      </c>
      <c r="B283" s="24" t="s">
        <v>4017</v>
      </c>
      <c r="C283" s="48">
        <v>5.4089999999999998</v>
      </c>
      <c r="D283" s="25">
        <f xml:space="preserve"> C283 / (24 * 'VRP Solver Console'!C11)</f>
        <v>3.75625E-3</v>
      </c>
    </row>
    <row r="284" spans="1:4" x14ac:dyDescent="0.25">
      <c r="A284" s="24" t="s">
        <v>4016</v>
      </c>
      <c r="B284" s="24" t="s">
        <v>4018</v>
      </c>
      <c r="C284" s="50">
        <v>6.5720000000000001</v>
      </c>
      <c r="D284" s="27">
        <f xml:space="preserve"> C284 / (24 * 'VRP Solver Console'!C11)</f>
        <v>4.563888888888889E-3</v>
      </c>
    </row>
    <row r="285" spans="1:4" x14ac:dyDescent="0.25">
      <c r="A285" s="24" t="s">
        <v>4016</v>
      </c>
      <c r="B285" s="24" t="s">
        <v>4019</v>
      </c>
      <c r="C285" s="48">
        <v>12.238</v>
      </c>
      <c r="D285" s="25">
        <f xml:space="preserve"> C285 / (24 * 'VRP Solver Console'!C11)</f>
        <v>8.4986111111111113E-3</v>
      </c>
    </row>
    <row r="286" spans="1:4" x14ac:dyDescent="0.25">
      <c r="A286" s="24" t="s">
        <v>4016</v>
      </c>
      <c r="B286" s="24" t="s">
        <v>4020</v>
      </c>
      <c r="C286" s="50">
        <v>6.6130000000000004</v>
      </c>
      <c r="D286" s="27">
        <f xml:space="preserve"> C286 / (24 * 'VRP Solver Console'!C11)</f>
        <v>4.5923611111111113E-3</v>
      </c>
    </row>
    <row r="287" spans="1:4" x14ac:dyDescent="0.25">
      <c r="A287" s="24" t="s">
        <v>4017</v>
      </c>
      <c r="B287" s="24" t="s">
        <v>4024</v>
      </c>
      <c r="C287" s="48">
        <v>1.296</v>
      </c>
      <c r="D287" s="25">
        <f xml:space="preserve"> C287 / (24 * 'VRP Solver Console'!C11)</f>
        <v>8.9999999999999998E-4</v>
      </c>
    </row>
    <row r="288" spans="1:4" x14ac:dyDescent="0.25">
      <c r="A288" s="24" t="s">
        <v>4017</v>
      </c>
      <c r="B288" s="24" t="s">
        <v>4003</v>
      </c>
      <c r="C288" s="50">
        <v>2.621</v>
      </c>
      <c r="D288" s="27">
        <f xml:space="preserve"> C288 / (24 * 'VRP Solver Console'!C11)</f>
        <v>1.8201388888888889E-3</v>
      </c>
    </row>
    <row r="289" spans="1:4" x14ac:dyDescent="0.25">
      <c r="A289" s="24" t="s">
        <v>4017</v>
      </c>
      <c r="B289" s="24" t="s">
        <v>4004</v>
      </c>
      <c r="C289" s="48">
        <v>1.3919999999999999</v>
      </c>
      <c r="D289" s="25">
        <f xml:space="preserve"> C289 / (24 * 'VRP Solver Console'!C11)</f>
        <v>9.6666666666666656E-4</v>
      </c>
    </row>
    <row r="290" spans="1:4" x14ac:dyDescent="0.25">
      <c r="A290" s="24" t="s">
        <v>4017</v>
      </c>
      <c r="B290" s="24" t="s">
        <v>4005</v>
      </c>
      <c r="C290" s="50">
        <v>1.3140000000000001</v>
      </c>
      <c r="D290" s="27">
        <f xml:space="preserve"> C290 / (24 * 'VRP Solver Console'!C11)</f>
        <v>9.1250000000000001E-4</v>
      </c>
    </row>
    <row r="291" spans="1:4" x14ac:dyDescent="0.25">
      <c r="A291" s="24" t="s">
        <v>4017</v>
      </c>
      <c r="B291" s="24" t="s">
        <v>4006</v>
      </c>
      <c r="C291" s="48">
        <v>1.306</v>
      </c>
      <c r="D291" s="25">
        <f xml:space="preserve"> C291 / (24 * 'VRP Solver Console'!C11)</f>
        <v>9.0694444444444449E-4</v>
      </c>
    </row>
    <row r="292" spans="1:4" x14ac:dyDescent="0.25">
      <c r="A292" s="24" t="s">
        <v>4017</v>
      </c>
      <c r="B292" s="24" t="s">
        <v>4007</v>
      </c>
      <c r="C292" s="50">
        <v>10.874000000000001</v>
      </c>
      <c r="D292" s="27">
        <f xml:space="preserve"> C292 / (24 * 'VRP Solver Console'!C11)</f>
        <v>7.5513888888888896E-3</v>
      </c>
    </row>
    <row r="293" spans="1:4" x14ac:dyDescent="0.25">
      <c r="A293" s="24" t="s">
        <v>4017</v>
      </c>
      <c r="B293" s="24" t="s">
        <v>4008</v>
      </c>
      <c r="C293" s="48">
        <v>8.4169999999999998</v>
      </c>
      <c r="D293" s="25">
        <f xml:space="preserve"> C293 / (24 * 'VRP Solver Console'!C11)</f>
        <v>5.8451388888888884E-3</v>
      </c>
    </row>
    <row r="294" spans="1:4" x14ac:dyDescent="0.25">
      <c r="A294" s="24" t="s">
        <v>4017</v>
      </c>
      <c r="B294" s="24" t="s">
        <v>4009</v>
      </c>
      <c r="C294" s="50">
        <v>12.044</v>
      </c>
      <c r="D294" s="27">
        <f xml:space="preserve"> C294 / (24 * 'VRP Solver Console'!C11)</f>
        <v>8.3638888888888895E-3</v>
      </c>
    </row>
    <row r="295" spans="1:4" x14ac:dyDescent="0.25">
      <c r="A295" s="24" t="s">
        <v>4017</v>
      </c>
      <c r="B295" s="24" t="s">
        <v>4010</v>
      </c>
      <c r="C295" s="48">
        <v>2.508</v>
      </c>
      <c r="D295" s="25">
        <f xml:space="preserve"> C295 / (24 * 'VRP Solver Console'!C11)</f>
        <v>1.7416666666666668E-3</v>
      </c>
    </row>
    <row r="296" spans="1:4" x14ac:dyDescent="0.25">
      <c r="A296" s="24" t="s">
        <v>4017</v>
      </c>
      <c r="B296" s="24" t="s">
        <v>4011</v>
      </c>
      <c r="C296" s="50">
        <v>2.9929999999999999</v>
      </c>
      <c r="D296" s="27">
        <f xml:space="preserve"> C296 / (24 * 'VRP Solver Console'!C11)</f>
        <v>2.078472222222222E-3</v>
      </c>
    </row>
    <row r="297" spans="1:4" x14ac:dyDescent="0.25">
      <c r="A297" s="24" t="s">
        <v>4017</v>
      </c>
      <c r="B297" s="24" t="s">
        <v>4012</v>
      </c>
      <c r="C297" s="48">
        <v>4.181</v>
      </c>
      <c r="D297" s="25">
        <f xml:space="preserve"> C297 / (24 * 'VRP Solver Console'!C11)</f>
        <v>2.9034722222222222E-3</v>
      </c>
    </row>
    <row r="298" spans="1:4" x14ac:dyDescent="0.25">
      <c r="A298" s="24" t="s">
        <v>4017</v>
      </c>
      <c r="B298" s="24" t="s">
        <v>4013</v>
      </c>
      <c r="C298" s="50">
        <v>5.2069999999999999</v>
      </c>
      <c r="D298" s="27">
        <f xml:space="preserve"> C298 / (24 * 'VRP Solver Console'!C11)</f>
        <v>3.6159722222222222E-3</v>
      </c>
    </row>
    <row r="299" spans="1:4" x14ac:dyDescent="0.25">
      <c r="A299" s="24" t="s">
        <v>4017</v>
      </c>
      <c r="B299" s="24" t="s">
        <v>4014</v>
      </c>
      <c r="C299" s="48">
        <v>4.399</v>
      </c>
      <c r="D299" s="25">
        <f xml:space="preserve"> C299 / (24 * 'VRP Solver Console'!C11)</f>
        <v>3.0548611111111111E-3</v>
      </c>
    </row>
    <row r="300" spans="1:4" x14ac:dyDescent="0.25">
      <c r="A300" s="24" t="s">
        <v>4017</v>
      </c>
      <c r="B300" s="24" t="s">
        <v>4015</v>
      </c>
      <c r="C300" s="50">
        <v>2.6920000000000002</v>
      </c>
      <c r="D300" s="27">
        <f xml:space="preserve"> C300 / (24 * 'VRP Solver Console'!C11)</f>
        <v>1.8694444444444446E-3</v>
      </c>
    </row>
    <row r="301" spans="1:4" x14ac:dyDescent="0.25">
      <c r="A301" s="24" t="s">
        <v>4017</v>
      </c>
      <c r="B301" s="24" t="s">
        <v>4016</v>
      </c>
      <c r="C301" s="48">
        <v>5.3049999999999997</v>
      </c>
      <c r="D301" s="25">
        <f xml:space="preserve"> C301 / (24 * 'VRP Solver Console'!C11)</f>
        <v>3.6840277777777774E-3</v>
      </c>
    </row>
    <row r="302" spans="1:4" x14ac:dyDescent="0.25">
      <c r="A302" s="24" t="s">
        <v>4017</v>
      </c>
      <c r="B302" s="24" t="s">
        <v>4017</v>
      </c>
      <c r="C302" s="50">
        <v>0</v>
      </c>
      <c r="D302" s="27">
        <v>0</v>
      </c>
    </row>
    <row r="303" spans="1:4" x14ac:dyDescent="0.25">
      <c r="A303" s="24" t="s">
        <v>4017</v>
      </c>
      <c r="B303" s="24" t="s">
        <v>4018</v>
      </c>
      <c r="C303" s="48">
        <v>2.4289999999999998</v>
      </c>
      <c r="D303" s="25">
        <f xml:space="preserve"> C303 / (24 * 'VRP Solver Console'!C11)</f>
        <v>1.6868055555555555E-3</v>
      </c>
    </row>
    <row r="304" spans="1:4" x14ac:dyDescent="0.25">
      <c r="A304" s="24" t="s">
        <v>4017</v>
      </c>
      <c r="B304" s="24" t="s">
        <v>4019</v>
      </c>
      <c r="C304" s="50">
        <v>10.153</v>
      </c>
      <c r="D304" s="27">
        <f xml:space="preserve"> C304 / (24 * 'VRP Solver Console'!C11)</f>
        <v>7.0506944444444445E-3</v>
      </c>
    </row>
    <row r="305" spans="1:4" x14ac:dyDescent="0.25">
      <c r="A305" s="24" t="s">
        <v>4017</v>
      </c>
      <c r="B305" s="24" t="s">
        <v>4020</v>
      </c>
      <c r="C305" s="48">
        <v>4.383</v>
      </c>
      <c r="D305" s="25">
        <f xml:space="preserve"> C305 / (24 * 'VRP Solver Console'!C11)</f>
        <v>3.04375E-3</v>
      </c>
    </row>
    <row r="306" spans="1:4" x14ac:dyDescent="0.25">
      <c r="A306" s="24" t="s">
        <v>4018</v>
      </c>
      <c r="B306" s="24" t="s">
        <v>4024</v>
      </c>
      <c r="C306" s="50">
        <v>2.65</v>
      </c>
      <c r="D306" s="27">
        <f xml:space="preserve"> C306 / (24 * 'VRP Solver Console'!C11)</f>
        <v>1.8402777777777777E-3</v>
      </c>
    </row>
    <row r="307" spans="1:4" x14ac:dyDescent="0.25">
      <c r="A307" s="24" t="s">
        <v>4018</v>
      </c>
      <c r="B307" s="24" t="s">
        <v>4003</v>
      </c>
      <c r="C307" s="48">
        <v>2.5529999999999999</v>
      </c>
      <c r="D307" s="25">
        <f xml:space="preserve"> C307 / (24 * 'VRP Solver Console'!C11)</f>
        <v>1.7729166666666666E-3</v>
      </c>
    </row>
    <row r="308" spans="1:4" x14ac:dyDescent="0.25">
      <c r="A308" s="24" t="s">
        <v>4018</v>
      </c>
      <c r="B308" s="24" t="s">
        <v>4004</v>
      </c>
      <c r="C308" s="50">
        <v>1.381</v>
      </c>
      <c r="D308" s="27">
        <f xml:space="preserve"> C308 / (24 * 'VRP Solver Console'!C11)</f>
        <v>9.5902777777777783E-4</v>
      </c>
    </row>
    <row r="309" spans="1:4" x14ac:dyDescent="0.25">
      <c r="A309" s="24" t="s">
        <v>4018</v>
      </c>
      <c r="B309" s="24" t="s">
        <v>4005</v>
      </c>
      <c r="C309" s="48">
        <v>2.6680000000000001</v>
      </c>
      <c r="D309" s="25">
        <f xml:space="preserve"> C309 / (24 * 'VRP Solver Console'!C11)</f>
        <v>1.8527777777777778E-3</v>
      </c>
    </row>
    <row r="310" spans="1:4" x14ac:dyDescent="0.25">
      <c r="A310" s="24" t="s">
        <v>4018</v>
      </c>
      <c r="B310" s="24" t="s">
        <v>4006</v>
      </c>
      <c r="C310" s="50">
        <v>1.4470000000000001</v>
      </c>
      <c r="D310" s="27">
        <f xml:space="preserve"> C310 / (24 * 'VRP Solver Console'!C11)</f>
        <v>1.0048611111111111E-3</v>
      </c>
    </row>
    <row r="311" spans="1:4" x14ac:dyDescent="0.25">
      <c r="A311" s="24" t="s">
        <v>4018</v>
      </c>
      <c r="B311" s="24" t="s">
        <v>4007</v>
      </c>
      <c r="C311" s="48">
        <v>9.9540000000000006</v>
      </c>
      <c r="D311" s="25">
        <f xml:space="preserve"> C311 / (24 * 'VRP Solver Console'!C11)</f>
        <v>6.9125000000000002E-3</v>
      </c>
    </row>
    <row r="312" spans="1:4" x14ac:dyDescent="0.25">
      <c r="A312" s="24" t="s">
        <v>4018</v>
      </c>
      <c r="B312" s="24" t="s">
        <v>4008</v>
      </c>
      <c r="C312" s="50">
        <v>7.4969999999999999</v>
      </c>
      <c r="D312" s="27">
        <f xml:space="preserve"> C312 / (24 * 'VRP Solver Console'!C11)</f>
        <v>5.2062499999999999E-3</v>
      </c>
    </row>
    <row r="313" spans="1:4" x14ac:dyDescent="0.25">
      <c r="A313" s="24" t="s">
        <v>4018</v>
      </c>
      <c r="B313" s="24" t="s">
        <v>4009</v>
      </c>
      <c r="C313" s="48">
        <v>11.124000000000001</v>
      </c>
      <c r="D313" s="25">
        <f xml:space="preserve"> C313 / (24 * 'VRP Solver Console'!C11)</f>
        <v>7.7250000000000001E-3</v>
      </c>
    </row>
    <row r="314" spans="1:4" x14ac:dyDescent="0.25">
      <c r="A314" s="24" t="s">
        <v>4018</v>
      </c>
      <c r="B314" s="24" t="s">
        <v>4010</v>
      </c>
      <c r="C314" s="50">
        <v>3.2890000000000001</v>
      </c>
      <c r="D314" s="27">
        <f xml:space="preserve"> C314 / (24 * 'VRP Solver Console'!C11)</f>
        <v>2.2840277777777781E-3</v>
      </c>
    </row>
    <row r="315" spans="1:4" x14ac:dyDescent="0.25">
      <c r="A315" s="24" t="s">
        <v>4018</v>
      </c>
      <c r="B315" s="24" t="s">
        <v>4011</v>
      </c>
      <c r="C315" s="48">
        <v>3.9470000000000001</v>
      </c>
      <c r="D315" s="25">
        <f xml:space="preserve"> C315 / (24 * 'VRP Solver Console'!C11)</f>
        <v>2.7409722222222223E-3</v>
      </c>
    </row>
    <row r="316" spans="1:4" x14ac:dyDescent="0.25">
      <c r="A316" s="24" t="s">
        <v>4018</v>
      </c>
      <c r="B316" s="24" t="s">
        <v>4012</v>
      </c>
      <c r="C316" s="50">
        <v>5.5350000000000001</v>
      </c>
      <c r="D316" s="27">
        <f xml:space="preserve"> C316 / (24 * 'VRP Solver Console'!C11)</f>
        <v>3.8437499999999999E-3</v>
      </c>
    </row>
    <row r="317" spans="1:4" x14ac:dyDescent="0.25">
      <c r="A317" s="24" t="s">
        <v>4018</v>
      </c>
      <c r="B317" s="24" t="s">
        <v>4013</v>
      </c>
      <c r="C317" s="48">
        <v>6.5609999999999999</v>
      </c>
      <c r="D317" s="25">
        <f xml:space="preserve"> C317 / (24 * 'VRP Solver Console'!C11)</f>
        <v>4.5562499999999995E-3</v>
      </c>
    </row>
    <row r="318" spans="1:4" x14ac:dyDescent="0.25">
      <c r="A318" s="24" t="s">
        <v>4018</v>
      </c>
      <c r="B318" s="24" t="s">
        <v>4014</v>
      </c>
      <c r="C318" s="50">
        <v>5.7530000000000001</v>
      </c>
      <c r="D318" s="27">
        <f xml:space="preserve"> C318 / (24 * 'VRP Solver Console'!C11)</f>
        <v>3.9951388888888892E-3</v>
      </c>
    </row>
    <row r="319" spans="1:4" x14ac:dyDescent="0.25">
      <c r="A319" s="24" t="s">
        <v>4018</v>
      </c>
      <c r="B319" s="24" t="s">
        <v>4015</v>
      </c>
      <c r="C319" s="48">
        <v>4.0460000000000003</v>
      </c>
      <c r="D319" s="25">
        <f xml:space="preserve"> C319 / (24 * 'VRP Solver Console'!C11)</f>
        <v>2.8097222222222226E-3</v>
      </c>
    </row>
    <row r="320" spans="1:4" x14ac:dyDescent="0.25">
      <c r="A320" s="24" t="s">
        <v>4018</v>
      </c>
      <c r="B320" s="24" t="s">
        <v>4016</v>
      </c>
      <c r="C320" s="50">
        <v>6.6589999999999998</v>
      </c>
      <c r="D320" s="27">
        <f xml:space="preserve"> C320 / (24 * 'VRP Solver Console'!C11)</f>
        <v>4.6243055555555551E-3</v>
      </c>
    </row>
    <row r="321" spans="1:4" x14ac:dyDescent="0.25">
      <c r="A321" s="24" t="s">
        <v>4018</v>
      </c>
      <c r="B321" s="24" t="s">
        <v>4017</v>
      </c>
      <c r="C321" s="48">
        <v>1.492</v>
      </c>
      <c r="D321" s="25">
        <f xml:space="preserve"> C321 / (24 * 'VRP Solver Console'!C11)</f>
        <v>1.0361111111111111E-3</v>
      </c>
    </row>
    <row r="322" spans="1:4" x14ac:dyDescent="0.25">
      <c r="A322" s="24" t="s">
        <v>4018</v>
      </c>
      <c r="B322" s="24" t="s">
        <v>4018</v>
      </c>
      <c r="C322" s="50">
        <v>0</v>
      </c>
      <c r="D322" s="27">
        <v>0</v>
      </c>
    </row>
    <row r="323" spans="1:4" x14ac:dyDescent="0.25">
      <c r="A323" s="24" t="s">
        <v>4018</v>
      </c>
      <c r="B323" s="24" t="s">
        <v>4019</v>
      </c>
      <c r="C323" s="48">
        <v>9.2330000000000005</v>
      </c>
      <c r="D323" s="25">
        <f xml:space="preserve"> C323 / (24 * 'VRP Solver Console'!C11)</f>
        <v>6.411805555555556E-3</v>
      </c>
    </row>
    <row r="324" spans="1:4" x14ac:dyDescent="0.25">
      <c r="A324" s="24" t="s">
        <v>4018</v>
      </c>
      <c r="B324" s="24" t="s">
        <v>4020</v>
      </c>
      <c r="C324" s="50">
        <v>3.4630000000000001</v>
      </c>
      <c r="D324" s="27">
        <f xml:space="preserve"> C324 / (24 * 'VRP Solver Console'!C11)</f>
        <v>2.4048611111111111E-3</v>
      </c>
    </row>
    <row r="325" spans="1:4" x14ac:dyDescent="0.25">
      <c r="A325" s="24" t="s">
        <v>4019</v>
      </c>
      <c r="B325" s="24" t="s">
        <v>4024</v>
      </c>
      <c r="C325" s="48">
        <v>9.1039999999999992</v>
      </c>
      <c r="D325" s="25">
        <f xml:space="preserve"> C325 / (24 * 'VRP Solver Console'!C11)</f>
        <v>6.3222222222222213E-3</v>
      </c>
    </row>
    <row r="326" spans="1:4" x14ac:dyDescent="0.25">
      <c r="A326" s="24" t="s">
        <v>4019</v>
      </c>
      <c r="B326" s="24" t="s">
        <v>4003</v>
      </c>
      <c r="C326" s="50">
        <v>11.096</v>
      </c>
      <c r="D326" s="27">
        <f xml:space="preserve"> C326 / (24 * 'VRP Solver Console'!C11)</f>
        <v>7.7055555555555558E-3</v>
      </c>
    </row>
    <row r="327" spans="1:4" x14ac:dyDescent="0.25">
      <c r="A327" s="24" t="s">
        <v>4019</v>
      </c>
      <c r="B327" s="24" t="s">
        <v>4004</v>
      </c>
      <c r="C327" s="48">
        <v>9.9239999999999995</v>
      </c>
      <c r="D327" s="25">
        <f xml:space="preserve"> C327 / (24 * 'VRP Solver Console'!C11)</f>
        <v>6.8916666666666666E-3</v>
      </c>
    </row>
    <row r="328" spans="1:4" x14ac:dyDescent="0.25">
      <c r="A328" s="24" t="s">
        <v>4019</v>
      </c>
      <c r="B328" s="24" t="s">
        <v>4005</v>
      </c>
      <c r="C328" s="50">
        <v>9.1219999999999999</v>
      </c>
      <c r="D328" s="27">
        <f xml:space="preserve"> C328 / (24 * 'VRP Solver Console'!C11)</f>
        <v>6.3347222222222225E-3</v>
      </c>
    </row>
    <row r="329" spans="1:4" x14ac:dyDescent="0.25">
      <c r="A329" s="24" t="s">
        <v>4019</v>
      </c>
      <c r="B329" s="24" t="s">
        <v>4006</v>
      </c>
      <c r="C329" s="48">
        <v>9.99</v>
      </c>
      <c r="D329" s="25">
        <f xml:space="preserve"> C329 / (24 * 'VRP Solver Console'!C11)</f>
        <v>6.9375000000000001E-3</v>
      </c>
    </row>
    <row r="330" spans="1:4" x14ac:dyDescent="0.25">
      <c r="A330" s="24" t="s">
        <v>4019</v>
      </c>
      <c r="B330" s="24" t="s">
        <v>4007</v>
      </c>
      <c r="C330" s="50">
        <v>4.8209999999999997</v>
      </c>
      <c r="D330" s="27">
        <f xml:space="preserve"> C330 / (24 * 'VRP Solver Console'!C11)</f>
        <v>3.3479166666666666E-3</v>
      </c>
    </row>
    <row r="331" spans="1:4" x14ac:dyDescent="0.25">
      <c r="A331" s="24" t="s">
        <v>4019</v>
      </c>
      <c r="B331" s="24" t="s">
        <v>4008</v>
      </c>
      <c r="C331" s="48">
        <v>2.0499999999999998</v>
      </c>
      <c r="D331" s="25">
        <f xml:space="preserve"> C331 / (24 * 'VRP Solver Console'!C11)</f>
        <v>1.423611111111111E-3</v>
      </c>
    </row>
    <row r="332" spans="1:4" x14ac:dyDescent="0.25">
      <c r="A332" s="24" t="s">
        <v>4019</v>
      </c>
      <c r="B332" s="24" t="s">
        <v>4009</v>
      </c>
      <c r="C332" s="50">
        <v>1.89</v>
      </c>
      <c r="D332" s="27">
        <f xml:space="preserve"> C332 / (24 * 'VRP Solver Console'!C11)</f>
        <v>1.3124999999999999E-3</v>
      </c>
    </row>
    <row r="333" spans="1:4" x14ac:dyDescent="0.25">
      <c r="A333" s="24" t="s">
        <v>4019</v>
      </c>
      <c r="B333" s="24" t="s">
        <v>4010</v>
      </c>
      <c r="C333" s="48">
        <v>11.102</v>
      </c>
      <c r="D333" s="25">
        <f xml:space="preserve"> C333 / (24 * 'VRP Solver Console'!C11)</f>
        <v>7.7097222222222228E-3</v>
      </c>
    </row>
    <row r="334" spans="1:4" x14ac:dyDescent="0.25">
      <c r="A334" s="24" t="s">
        <v>4019</v>
      </c>
      <c r="B334" s="24" t="s">
        <v>4011</v>
      </c>
      <c r="C334" s="50">
        <v>10.859</v>
      </c>
      <c r="D334" s="27">
        <f xml:space="preserve"> C334 / (24 * 'VRP Solver Console'!C11)</f>
        <v>7.5409722222222223E-3</v>
      </c>
    </row>
    <row r="335" spans="1:4" x14ac:dyDescent="0.25">
      <c r="A335" s="24" t="s">
        <v>4019</v>
      </c>
      <c r="B335" s="24" t="s">
        <v>4012</v>
      </c>
      <c r="C335" s="48">
        <v>11.989000000000001</v>
      </c>
      <c r="D335" s="25">
        <f xml:space="preserve"> C335 / (24 * 'VRP Solver Console'!C11)</f>
        <v>8.3256944444444446E-3</v>
      </c>
    </row>
    <row r="336" spans="1:4" x14ac:dyDescent="0.25">
      <c r="A336" s="24" t="s">
        <v>4019</v>
      </c>
      <c r="B336" s="24" t="s">
        <v>4013</v>
      </c>
      <c r="C336" s="50">
        <v>13.015000000000001</v>
      </c>
      <c r="D336" s="27">
        <f xml:space="preserve"> C336 / (24 * 'VRP Solver Console'!C11)</f>
        <v>9.0381944444444442E-3</v>
      </c>
    </row>
    <row r="337" spans="1:4" x14ac:dyDescent="0.25">
      <c r="A337" s="24" t="s">
        <v>4019</v>
      </c>
      <c r="B337" s="24" t="s">
        <v>4014</v>
      </c>
      <c r="C337" s="48">
        <v>12.207000000000001</v>
      </c>
      <c r="D337" s="25">
        <f xml:space="preserve"> C337 / (24 * 'VRP Solver Console'!C11)</f>
        <v>8.477083333333333E-3</v>
      </c>
    </row>
    <row r="338" spans="1:4" x14ac:dyDescent="0.25">
      <c r="A338" s="24" t="s">
        <v>4019</v>
      </c>
      <c r="B338" s="24" t="s">
        <v>4015</v>
      </c>
      <c r="C338" s="50">
        <v>10.5</v>
      </c>
      <c r="D338" s="27">
        <f xml:space="preserve"> C338 / (24 * 'VRP Solver Console'!C11)</f>
        <v>7.2916666666666668E-3</v>
      </c>
    </row>
    <row r="339" spans="1:4" x14ac:dyDescent="0.25">
      <c r="A339" s="24" t="s">
        <v>4019</v>
      </c>
      <c r="B339" s="24" t="s">
        <v>4016</v>
      </c>
      <c r="C339" s="48">
        <v>13.113</v>
      </c>
      <c r="D339" s="25">
        <f xml:space="preserve"> C339 / (24 * 'VRP Solver Console'!C11)</f>
        <v>9.1062499999999998E-3</v>
      </c>
    </row>
    <row r="340" spans="1:4" x14ac:dyDescent="0.25">
      <c r="A340" s="24" t="s">
        <v>4019</v>
      </c>
      <c r="B340" s="24" t="s">
        <v>4017</v>
      </c>
      <c r="C340" s="50">
        <v>8.5090000000000003</v>
      </c>
      <c r="D340" s="27">
        <f xml:space="preserve"> C340 / (24 * 'VRP Solver Console'!C11)</f>
        <v>5.9090277777777778E-3</v>
      </c>
    </row>
    <row r="341" spans="1:4" x14ac:dyDescent="0.25">
      <c r="A341" s="24" t="s">
        <v>4019</v>
      </c>
      <c r="B341" s="24" t="s">
        <v>4018</v>
      </c>
      <c r="C341" s="48">
        <v>10.273999999999999</v>
      </c>
      <c r="D341" s="25">
        <f xml:space="preserve"> C341 / (24 * 'VRP Solver Console'!C11)</f>
        <v>7.134722222222222E-3</v>
      </c>
    </row>
    <row r="342" spans="1:4" x14ac:dyDescent="0.25">
      <c r="A342" s="24" t="s">
        <v>4019</v>
      </c>
      <c r="B342" s="24" t="s">
        <v>4019</v>
      </c>
      <c r="C342" s="50">
        <v>0</v>
      </c>
      <c r="D342" s="27">
        <v>0</v>
      </c>
    </row>
    <row r="343" spans="1:4" x14ac:dyDescent="0.25">
      <c r="A343" s="24" t="s">
        <v>4019</v>
      </c>
      <c r="B343" s="24" t="s">
        <v>4020</v>
      </c>
      <c r="C343" s="48">
        <v>5.7690000000000001</v>
      </c>
      <c r="D343" s="25">
        <f xml:space="preserve"> C343 / (24 * 'VRP Solver Console'!C11)</f>
        <v>4.0062500000000003E-3</v>
      </c>
    </row>
    <row r="344" spans="1:4" x14ac:dyDescent="0.25">
      <c r="A344" s="24" t="s">
        <v>4020</v>
      </c>
      <c r="B344" s="24" t="s">
        <v>4024</v>
      </c>
      <c r="C344" s="50">
        <v>3.3340000000000001</v>
      </c>
      <c r="D344" s="27">
        <f xml:space="preserve"> C344 / (24 * 'VRP Solver Console'!C11)</f>
        <v>2.3152777777777776E-3</v>
      </c>
    </row>
    <row r="345" spans="1:4" x14ac:dyDescent="0.25">
      <c r="A345" s="24" t="s">
        <v>4020</v>
      </c>
      <c r="B345" s="24" t="s">
        <v>4003</v>
      </c>
      <c r="C345" s="48">
        <v>5.3259999999999996</v>
      </c>
      <c r="D345" s="25">
        <f xml:space="preserve"> C345 / (24 * 'VRP Solver Console'!C11)</f>
        <v>3.6986111111111108E-3</v>
      </c>
    </row>
    <row r="346" spans="1:4" x14ac:dyDescent="0.25">
      <c r="A346" s="24" t="s">
        <v>4020</v>
      </c>
      <c r="B346" s="24" t="s">
        <v>4004</v>
      </c>
      <c r="C346" s="50">
        <v>4.1539999999999999</v>
      </c>
      <c r="D346" s="27">
        <f xml:space="preserve"> C346 / (24 * 'VRP Solver Console'!C11)</f>
        <v>2.8847222222222221E-3</v>
      </c>
    </row>
    <row r="347" spans="1:4" x14ac:dyDescent="0.25">
      <c r="A347" s="24" t="s">
        <v>4020</v>
      </c>
      <c r="B347" s="24" t="s">
        <v>4005</v>
      </c>
      <c r="C347" s="48">
        <v>3.3519999999999999</v>
      </c>
      <c r="D347" s="25">
        <f xml:space="preserve"> C347 / (24 * 'VRP Solver Console'!C11)</f>
        <v>2.3277777777777776E-3</v>
      </c>
    </row>
    <row r="348" spans="1:4" x14ac:dyDescent="0.25">
      <c r="A348" s="24" t="s">
        <v>4020</v>
      </c>
      <c r="B348" s="24" t="s">
        <v>4006</v>
      </c>
      <c r="C348" s="50">
        <v>4.22</v>
      </c>
      <c r="D348" s="27">
        <f xml:space="preserve"> C348 / (24 * 'VRP Solver Console'!C11)</f>
        <v>2.9305555555555552E-3</v>
      </c>
    </row>
    <row r="349" spans="1:4" x14ac:dyDescent="0.25">
      <c r="A349" s="24" t="s">
        <v>4020</v>
      </c>
      <c r="B349" s="24" t="s">
        <v>4007</v>
      </c>
      <c r="C349" s="48">
        <v>6.49</v>
      </c>
      <c r="D349" s="25">
        <f xml:space="preserve"> C349 / (24 * 'VRP Solver Console'!C11)</f>
        <v>4.5069444444444445E-3</v>
      </c>
    </row>
    <row r="350" spans="1:4" x14ac:dyDescent="0.25">
      <c r="A350" s="24" t="s">
        <v>4020</v>
      </c>
      <c r="B350" s="24" t="s">
        <v>4008</v>
      </c>
      <c r="C350" s="50">
        <v>4.0330000000000004</v>
      </c>
      <c r="D350" s="27">
        <f xml:space="preserve"> C350 / (24 * 'VRP Solver Console'!C11)</f>
        <v>2.8006944444444446E-3</v>
      </c>
    </row>
    <row r="351" spans="1:4" x14ac:dyDescent="0.25">
      <c r="A351" s="24" t="s">
        <v>4020</v>
      </c>
      <c r="B351" s="24" t="s">
        <v>4009</v>
      </c>
      <c r="C351" s="48">
        <v>7.66</v>
      </c>
      <c r="D351" s="25">
        <f xml:space="preserve"> C351 / (24 * 'VRP Solver Console'!C11)</f>
        <v>5.3194444444444444E-3</v>
      </c>
    </row>
    <row r="352" spans="1:4" x14ac:dyDescent="0.25">
      <c r="A352" s="24" t="s">
        <v>4020</v>
      </c>
      <c r="B352" s="24" t="s">
        <v>4010</v>
      </c>
      <c r="C352" s="50">
        <v>5.3319999999999999</v>
      </c>
      <c r="D352" s="27">
        <f xml:space="preserve"> C352 / (24 * 'VRP Solver Console'!C11)</f>
        <v>3.7027777777777775E-3</v>
      </c>
    </row>
    <row r="353" spans="1:4" x14ac:dyDescent="0.25">
      <c r="A353" s="24" t="s">
        <v>4020</v>
      </c>
      <c r="B353" s="24" t="s">
        <v>4011</v>
      </c>
      <c r="C353" s="48">
        <v>5.0890000000000004</v>
      </c>
      <c r="D353" s="25">
        <f xml:space="preserve"> C353 / (24 * 'VRP Solver Console'!C11)</f>
        <v>3.5340277777777779E-3</v>
      </c>
    </row>
    <row r="354" spans="1:4" x14ac:dyDescent="0.25">
      <c r="A354" s="24" t="s">
        <v>4020</v>
      </c>
      <c r="B354" s="24" t="s">
        <v>4012</v>
      </c>
      <c r="C354" s="50">
        <v>6.2190000000000003</v>
      </c>
      <c r="D354" s="27">
        <f xml:space="preserve"> C354 / (24 * 'VRP Solver Console'!C11)</f>
        <v>4.3187500000000005E-3</v>
      </c>
    </row>
    <row r="355" spans="1:4" x14ac:dyDescent="0.25">
      <c r="A355" s="24" t="s">
        <v>4020</v>
      </c>
      <c r="B355" s="24" t="s">
        <v>4013</v>
      </c>
      <c r="C355" s="48">
        <v>7.2450000000000001</v>
      </c>
      <c r="D355" s="25">
        <f xml:space="preserve"> C355 / (24 * 'VRP Solver Console'!C11)</f>
        <v>5.0312500000000001E-3</v>
      </c>
    </row>
    <row r="356" spans="1:4" x14ac:dyDescent="0.25">
      <c r="A356" s="24" t="s">
        <v>4020</v>
      </c>
      <c r="B356" s="24" t="s">
        <v>4014</v>
      </c>
      <c r="C356" s="50">
        <v>6.4370000000000003</v>
      </c>
      <c r="D356" s="27">
        <f xml:space="preserve"> C356 / (24 * 'VRP Solver Console'!C11)</f>
        <v>4.4701388888888889E-3</v>
      </c>
    </row>
    <row r="357" spans="1:4" x14ac:dyDescent="0.25">
      <c r="A357" s="24" t="s">
        <v>4020</v>
      </c>
      <c r="B357" s="24" t="s">
        <v>4015</v>
      </c>
      <c r="C357" s="48">
        <v>4.7300000000000004</v>
      </c>
      <c r="D357" s="25">
        <f xml:space="preserve"> C357 / (24 * 'VRP Solver Console'!C11)</f>
        <v>3.2847222222222227E-3</v>
      </c>
    </row>
    <row r="358" spans="1:4" x14ac:dyDescent="0.25">
      <c r="A358" s="24" t="s">
        <v>4020</v>
      </c>
      <c r="B358" s="24" t="s">
        <v>4016</v>
      </c>
      <c r="C358" s="50">
        <v>7.343</v>
      </c>
      <c r="D358" s="27">
        <f xml:space="preserve"> C358 / (24 * 'VRP Solver Console'!C11)</f>
        <v>5.0993055555555557E-3</v>
      </c>
    </row>
    <row r="359" spans="1:4" x14ac:dyDescent="0.25">
      <c r="A359" s="24" t="s">
        <v>4020</v>
      </c>
      <c r="B359" s="24" t="s">
        <v>4017</v>
      </c>
      <c r="C359" s="48">
        <v>2.7389999999999999</v>
      </c>
      <c r="D359" s="25">
        <f xml:space="preserve"> C359 / (24 * 'VRP Solver Console'!C11)</f>
        <v>1.9020833333333333E-3</v>
      </c>
    </row>
    <row r="360" spans="1:4" x14ac:dyDescent="0.25">
      <c r="A360" s="24" t="s">
        <v>4020</v>
      </c>
      <c r="B360" s="24" t="s">
        <v>4018</v>
      </c>
      <c r="C360" s="50">
        <v>4.5039999999999996</v>
      </c>
      <c r="D360" s="27">
        <f xml:space="preserve"> C360 / (24 * 'VRP Solver Console'!C11)</f>
        <v>3.1277777777777775E-3</v>
      </c>
    </row>
    <row r="361" spans="1:4" x14ac:dyDescent="0.25">
      <c r="A361" s="24" t="s">
        <v>4020</v>
      </c>
      <c r="B361" s="24" t="s">
        <v>4019</v>
      </c>
      <c r="C361" s="48">
        <v>5.7690000000000001</v>
      </c>
      <c r="D361" s="25">
        <f xml:space="preserve"> C361 / (24 * 'VRP Solver Console'!C11)</f>
        <v>4.0062500000000003E-3</v>
      </c>
    </row>
    <row r="362" spans="1:4" x14ac:dyDescent="0.25">
      <c r="A362" s="23" t="s">
        <v>4020</v>
      </c>
      <c r="B362" s="23" t="s">
        <v>4020</v>
      </c>
      <c r="C362" s="49">
        <v>0</v>
      </c>
      <c r="D362" s="26">
        <v>0</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FE6B5-7318-41EE-91ED-E66C1AE37A3A}">
  <dimension ref="A1:P26"/>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1">
        <f ca="1">+I3</f>
        <v>-492.44579999999996</v>
      </c>
    </row>
    <row r="2" spans="1:16" s="18" customFormat="1" x14ac:dyDescent="0.25">
      <c r="A2" s="74"/>
      <c r="B2" s="74"/>
      <c r="C2" s="74"/>
      <c r="D2" s="74"/>
      <c r="E2" s="74"/>
      <c r="F2" s="74"/>
      <c r="G2" s="74"/>
      <c r="H2" s="74"/>
      <c r="I2" s="74"/>
      <c r="J2" s="74"/>
      <c r="K2" s="74"/>
      <c r="L2" s="74"/>
      <c r="M2" s="74"/>
      <c r="N2" s="74"/>
      <c r="O2" s="74"/>
      <c r="P2" s="74"/>
    </row>
    <row r="3" spans="1:16" s="18" customFormat="1" x14ac:dyDescent="0.25">
      <c r="A3" s="18" t="s">
        <v>1647</v>
      </c>
      <c r="B3" s="18" t="s">
        <v>4023</v>
      </c>
      <c r="F3" s="18" t="s">
        <v>1630</v>
      </c>
      <c r="G3" s="72">
        <f>COUNTA(B6:B24)</f>
        <v>19</v>
      </c>
      <c r="H3" s="18" t="s">
        <v>1154</v>
      </c>
      <c r="I3" s="73">
        <f ca="1">INDEX(K5:K24,G3 + 1)-(INDEX(F5:$F$24,G3+ 1) * '3. Veículos'!E2)- IF(INDIRECT("G3") &gt; 1, INDIRECT("'3. Veículos'!D2"), 0)</f>
        <v>-492.44579999999996</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Escola6</v>
      </c>
      <c r="C5" s="21">
        <f ca="1">IFERROR(MATCH(INDIRECT("B5"),'1. Locais'!B2:B20, 0) - 1," ")</f>
        <v>0</v>
      </c>
      <c r="D5" s="56">
        <f ca="1">IFERROR(IF(ISNUMBER(C5),INDEX('1. Locais'!D2:D20,C5 + 1),NA()),NA())</f>
        <v>-10.1652536</v>
      </c>
      <c r="E5" s="56">
        <f ca="1">IFERROR(IF(ISNUMBER(C5),INDEX('1. Locais'!E2:E20,C5 + 1),NA()),NA())</f>
        <v>-48.308237499999997</v>
      </c>
      <c r="F5" s="57">
        <v>0</v>
      </c>
      <c r="G5" s="58">
        <v>0</v>
      </c>
      <c r="H5" s="59"/>
      <c r="I5" s="59">
        <f>'3. Veículos'!H2</f>
        <v>0.25</v>
      </c>
      <c r="J5" s="58">
        <v>0</v>
      </c>
      <c r="K5" s="56">
        <v>0</v>
      </c>
      <c r="L5" s="57">
        <v>0</v>
      </c>
      <c r="M5" s="57">
        <v>0</v>
      </c>
      <c r="N5" s="57">
        <v>0</v>
      </c>
      <c r="O5" s="57">
        <f ca="1">IFERROR(IF(ISNUMBER(C5),IF(B6 = B5, 0, IF(B6 = "", 0, O6 + M6))," ")," ")</f>
        <v>0</v>
      </c>
      <c r="P5" s="56">
        <f ca="1">IFERROR(IF(ISNUMBER(C5),N5 + O5," ")," ")</f>
        <v>0</v>
      </c>
    </row>
    <row r="6" spans="1:16" x14ac:dyDescent="0.25">
      <c r="A6" s="24">
        <v>1</v>
      </c>
      <c r="B6" s="65" t="s">
        <v>4009</v>
      </c>
      <c r="C6" s="66">
        <f ca="1">IFERROR(MATCH(INDIRECT("B6"),'1. Locais'!B2:B20, 0) - 1," ")</f>
        <v>7</v>
      </c>
      <c r="D6" s="66">
        <f ca="1">IFERROR(IF(ISNUMBER(C6),INDEX('1. Locais'!D2:D20,C6 + 1),NA()),NA())</f>
        <v>-10.2000595</v>
      </c>
      <c r="E6" s="66">
        <f ca="1">IFERROR(IF(ISNUMBER(C6),INDEX('1. Locais'!E2:E20,C6 + 1),NA()),NA())</f>
        <v>-48.244261100000003</v>
      </c>
      <c r="F6" s="67">
        <f ca="1">IFERROR(IF(ISNUMBER(C6),INDEX('2. Distâncias'!C2:C362,C5*19+C6+ 1) +F5," ")," ")</f>
        <v>10.972</v>
      </c>
      <c r="G6" s="68">
        <f ca="1">IFERROR(IF(ISNUMBER(C6),'3. Veículos'!F2 * INDEX('2. Distâncias'!D2:D362,C5*19+C6 + 1) +G5," ")," ")</f>
        <v>7.6194444444444443E-3</v>
      </c>
      <c r="H6" s="69">
        <f ca="1">IFERROR(IF(ISNUMBER(C6),'3. Veículos'!F2 * INDEX('2. Distâncias'!D2:D362,C5*19+C6 + 1) +I5," ")," ")</f>
        <v>0.25761944444444446</v>
      </c>
      <c r="I6" s="69">
        <f ca="1">IFERROR(IF(AND(C5&lt;&gt;C6,ISNUMBER(H6)),INDEX('1. Locais'!I2:I20,C6 + 1) + MAX(H6,INDEX('1. Locais'!F2:F20,C6 + 1))," ")," ")</f>
        <v>0.25761944444444446</v>
      </c>
      <c r="J6" s="68">
        <f ca="1">IFERROR(IF(AND(B6 = B5, B7 = ""), H6 - I5, I6 - I5)," ")</f>
        <v>7.6194444444444565E-3</v>
      </c>
      <c r="K6" s="66">
        <f ca="1">IFERROR(IF(ISNUMBER(C6),INDEX('1. Locais'!L2:L20,C6 + 1) + K5," ")," ")</f>
        <v>0</v>
      </c>
      <c r="L6" s="67">
        <f ca="1">IFERROR(IF(ISNUMBER(C6),INDEX('1. Locais'!J2:J20,C6 + 1)," ")," ")</f>
        <v>2</v>
      </c>
      <c r="M6" s="67">
        <f ca="1">IFERROR(IF(ISNUMBER(C6),INDEX('1. Locais'!K2:K20,C6 + 1)," ")," ")</f>
        <v>0</v>
      </c>
      <c r="N6" s="67">
        <f ca="1">IFERROR(IF(ISNUMBER(C6),IF(B6 = B5, 0, L6 + N5)," ")," ")</f>
        <v>2</v>
      </c>
      <c r="O6" s="67">
        <f ca="1">IFERROR(IF(ISNUMBER(C6),IF(B7 = B5, 0, IF(B7 = "", 0, O7 + M7))," ")," ")</f>
        <v>0</v>
      </c>
      <c r="P6" s="66">
        <f ca="1">IFERROR(IF(ISNUMBER(C6),N6 + O6," ")," ")</f>
        <v>2</v>
      </c>
    </row>
    <row r="7" spans="1:16" x14ac:dyDescent="0.25">
      <c r="A7" s="24">
        <v>2</v>
      </c>
      <c r="B7" s="70" t="s">
        <v>4019</v>
      </c>
      <c r="C7" s="66">
        <f ca="1">IFERROR(MATCH(INDIRECT("B7"),'1. Locais'!B2:B20, 0) - 1," ")</f>
        <v>17</v>
      </c>
      <c r="D7" s="66">
        <f ca="1">IFERROR(IF(ISNUMBER(C7),INDEX('1. Locais'!D2:D20,C7 + 1),NA()),NA())</f>
        <v>-10.193465399999999</v>
      </c>
      <c r="E7" s="66">
        <f ca="1">IFERROR(IF(ISNUMBER(C7),INDEX('1. Locais'!E2:E20,C7 + 1),NA()),NA())</f>
        <v>-48.254106100000001</v>
      </c>
      <c r="F7" s="67">
        <f ca="1">IFERROR(IF(ISNUMBER(C7),INDEX('2. Distâncias'!C2:C362,C6*19+C7+ 1) +F6," ")," ")</f>
        <v>12.862</v>
      </c>
      <c r="G7" s="68">
        <f ca="1">IFERROR(IF(ISNUMBER(C7),'3. Veículos'!F2 * INDEX('2. Distâncias'!D2:D362,C6*19+C7 + 1) +G6," ")," ")</f>
        <v>8.9319444444444437E-3</v>
      </c>
      <c r="H7" s="69">
        <f ca="1">IFERROR(IF(ISNUMBER(C7),'3. Veículos'!F2 * INDEX('2. Distâncias'!D2:D362,C6*19+C7 + 1) +I6," ")," ")</f>
        <v>0.25893194444444445</v>
      </c>
      <c r="I7" s="69">
        <f ca="1">IFERROR(IF(AND(C5&lt;&gt;C7,ISNUMBER(H7)),INDEX('1. Locais'!I2:I20,C7 + 1) + MAX(H7,INDEX('1. Locais'!F2:F20,C7 + 1))," ")," ")</f>
        <v>0.25893194444444445</v>
      </c>
      <c r="J7" s="68">
        <f ca="1">IFERROR(IF(AND(B7 = B5, B8 = ""), H7 - I5, I7 - I5)," ")</f>
        <v>8.9319444444444507E-3</v>
      </c>
      <c r="K7" s="66">
        <f ca="1">IFERROR(IF(ISNUMBER(C7),INDEX('1. Locais'!L2:L20,C7 + 1) + K6," ")," ")</f>
        <v>0</v>
      </c>
      <c r="L7" s="67">
        <f ca="1">IFERROR(IF(ISNUMBER(C7),INDEX('1. Locais'!J2:J20,C7 + 1)," ")," ")</f>
        <v>2</v>
      </c>
      <c r="M7" s="67">
        <f ca="1">IFERROR(IF(ISNUMBER(C7),INDEX('1. Locais'!K2:K20,C7 + 1)," ")," ")</f>
        <v>0</v>
      </c>
      <c r="N7" s="67">
        <f ca="1">IFERROR(IF(ISNUMBER(C7),IF(B7 = B5, 0, L7 + N6)," ")," ")</f>
        <v>4</v>
      </c>
      <c r="O7" s="67">
        <f ca="1">IFERROR(IF(ISNUMBER(C7),IF(B8 = B5, 0, IF(B8 = "", 0, O8 + M8))," ")," ")</f>
        <v>0</v>
      </c>
      <c r="P7" s="66">
        <f ca="1">IFERROR(IF(ISNUMBER(C7),N7 + O7," ")," ")</f>
        <v>4</v>
      </c>
    </row>
    <row r="8" spans="1:16" x14ac:dyDescent="0.25">
      <c r="A8" s="24">
        <v>3</v>
      </c>
      <c r="B8" s="65" t="s">
        <v>4008</v>
      </c>
      <c r="C8" s="66">
        <f ca="1">IFERROR(MATCH(INDIRECT("B8"),'1. Locais'!B2:B20, 0) - 1," ")</f>
        <v>6</v>
      </c>
      <c r="D8" s="66">
        <f ca="1">IFERROR(IF(ISNUMBER(C8),INDEX('1. Locais'!D2:D20,C8 + 1),NA()),NA())</f>
        <v>-10.179654599999999</v>
      </c>
      <c r="E8" s="66">
        <f ca="1">IFERROR(IF(ISNUMBER(C8),INDEX('1. Locais'!E2:E20,C8 + 1),NA()),NA())</f>
        <v>-48.261839299999998</v>
      </c>
      <c r="F8" s="67">
        <f ca="1">IFERROR(IF(ISNUMBER(C8),INDEX('2. Distâncias'!C2:C362,C7*19+C8+ 1) +F7," ")," ")</f>
        <v>14.911999999999999</v>
      </c>
      <c r="G8" s="68">
        <f ca="1">IFERROR(IF(ISNUMBER(C8),'3. Veículos'!F2 * INDEX('2. Distâncias'!D2:D362,C7*19+C8 + 1) +G7," ")," ")</f>
        <v>1.0355555555555555E-2</v>
      </c>
      <c r="H8" s="69">
        <f ca="1">IFERROR(IF(ISNUMBER(C8),'3. Veículos'!F2 * INDEX('2. Distâncias'!D2:D362,C7*19+C8 + 1) +I7," ")," ")</f>
        <v>0.26035555555555556</v>
      </c>
      <c r="I8" s="69">
        <f ca="1">IFERROR(IF(AND(C5&lt;&gt;C8,ISNUMBER(H8)),INDEX('1. Locais'!I2:I20,C8 + 1) + MAX(H8,INDEX('1. Locais'!F2:F20,C8 + 1))," ")," ")</f>
        <v>0.26035555555555556</v>
      </c>
      <c r="J8" s="68">
        <f ca="1">IFERROR(IF(AND(B8 = B5, B9 = ""), H8 - I5, I8 - I5)," ")</f>
        <v>1.0355555555555562E-2</v>
      </c>
      <c r="K8" s="66">
        <f ca="1">IFERROR(IF(ISNUMBER(C8),INDEX('1. Locais'!L2:L20,C8 + 1) + K7," ")," ")</f>
        <v>0</v>
      </c>
      <c r="L8" s="67">
        <f ca="1">IFERROR(IF(ISNUMBER(C8),INDEX('1. Locais'!J2:J20,C8 + 1)," ")," ")</f>
        <v>0</v>
      </c>
      <c r="M8" s="67">
        <f ca="1">IFERROR(IF(ISNUMBER(C8),INDEX('1. Locais'!K2:K20,C8 + 1)," ")," ")</f>
        <v>0</v>
      </c>
      <c r="N8" s="67">
        <f ca="1">IFERROR(IF(ISNUMBER(C8),IF(B8 = B5, 0, L8 + N7)," ")," ")</f>
        <v>4</v>
      </c>
      <c r="O8" s="67">
        <f ca="1">IFERROR(IF(ISNUMBER(C8),IF(B9 = B5, 0, IF(B9 = "", 0, O9 + M9))," ")," ")</f>
        <v>0</v>
      </c>
      <c r="P8" s="66">
        <f ca="1">IFERROR(IF(ISNUMBER(C8),N8 + O8," ")," ")</f>
        <v>4</v>
      </c>
    </row>
    <row r="9" spans="1:16" x14ac:dyDescent="0.25">
      <c r="A9" s="24">
        <v>4</v>
      </c>
      <c r="B9" s="70" t="s">
        <v>4007</v>
      </c>
      <c r="C9" s="66">
        <f ca="1">IFERROR(MATCH(INDIRECT("B9"),'1. Locais'!B2:B20, 0) - 1," ")</f>
        <v>5</v>
      </c>
      <c r="D9" s="66">
        <f ca="1">IFERROR(IF(ISNUMBER(C9),INDEX('1. Locais'!D2:D20,C9 + 1),NA()),NA())</f>
        <v>-10.163940999999999</v>
      </c>
      <c r="E9" s="66">
        <f ca="1">IFERROR(IF(ISNUMBER(C9),INDEX('1. Locais'!E2:E20,C9 + 1),NA()),NA())</f>
        <v>-48.253256299999997</v>
      </c>
      <c r="F9" s="67">
        <f ca="1">IFERROR(IF(ISNUMBER(C9),INDEX('2. Distâncias'!C2:C362,C8*19+C9+ 1) +F8," ")," ")</f>
        <v>17.681999999999999</v>
      </c>
      <c r="G9" s="68">
        <f ca="1">IFERROR(IF(ISNUMBER(C9),'3. Veículos'!F2 * INDEX('2. Distâncias'!D2:D362,C8*19+C9 + 1) +G8," ")," ")</f>
        <v>1.2279166666666667E-2</v>
      </c>
      <c r="H9" s="69">
        <f ca="1">IFERROR(IF(ISNUMBER(C9),'3. Veículos'!F2 * INDEX('2. Distâncias'!D2:D362,C8*19+C9 + 1) +I8," ")," ")</f>
        <v>0.26227916666666667</v>
      </c>
      <c r="I9" s="69">
        <f ca="1">IFERROR(IF(AND(C5&lt;&gt;C9,ISNUMBER(H9)),INDEX('1. Locais'!I2:I20,C9 + 1) + MAX(H9,INDEX('1. Locais'!F2:F20,C9 + 1))," ")," ")</f>
        <v>0.26227916666666667</v>
      </c>
      <c r="J9" s="68">
        <f ca="1">IFERROR(IF(AND(B9 = B5, B10 = ""), H9 - I5, I9 - I5)," ")</f>
        <v>1.2279166666666674E-2</v>
      </c>
      <c r="K9" s="66">
        <f ca="1">IFERROR(IF(ISNUMBER(C9),INDEX('1. Locais'!L2:L20,C9 + 1) + K8," ")," ")</f>
        <v>0</v>
      </c>
      <c r="L9" s="67">
        <f ca="1">IFERROR(IF(ISNUMBER(C9),INDEX('1. Locais'!J2:J20,C9 + 1)," ")," ")</f>
        <v>3</v>
      </c>
      <c r="M9" s="67">
        <f ca="1">IFERROR(IF(ISNUMBER(C9),INDEX('1. Locais'!K2:K20,C9 + 1)," ")," ")</f>
        <v>0</v>
      </c>
      <c r="N9" s="67">
        <f ca="1">IFERROR(IF(ISNUMBER(C9),IF(B9 = B5, 0, L9 + N8)," ")," ")</f>
        <v>7</v>
      </c>
      <c r="O9" s="67">
        <f ca="1">IFERROR(IF(ISNUMBER(C9),IF(B10 = B5, 0, IF(B10 = "", 0, O10 + M10))," ")," ")</f>
        <v>0</v>
      </c>
      <c r="P9" s="66">
        <f ca="1">IFERROR(IF(ISNUMBER(C9),N9 + O9," ")," ")</f>
        <v>7</v>
      </c>
    </row>
    <row r="10" spans="1:16" x14ac:dyDescent="0.25">
      <c r="A10" s="24">
        <v>5</v>
      </c>
      <c r="B10" s="65" t="s">
        <v>4020</v>
      </c>
      <c r="C10" s="66">
        <f ca="1">IFERROR(MATCH(INDIRECT("B10"),'1. Locais'!B2:B20, 0) - 1," ")</f>
        <v>18</v>
      </c>
      <c r="D10" s="66">
        <f ca="1">IFERROR(IF(ISNUMBER(C10),INDEX('1. Locais'!D2:D20,C10 + 1),NA()),NA())</f>
        <v>-10.177837</v>
      </c>
      <c r="E10" s="66">
        <f ca="1">IFERROR(IF(ISNUMBER(C10),INDEX('1. Locais'!E2:E20,C10 + 1),NA()),NA())</f>
        <v>-48.2921908</v>
      </c>
      <c r="F10" s="67">
        <f ca="1">IFERROR(IF(ISNUMBER(C10),INDEX('2. Distâncias'!C2:C362,C9*19+C10+ 1) +F9," ")," ")</f>
        <v>24.171999999999997</v>
      </c>
      <c r="G10" s="68">
        <f ca="1">IFERROR(IF(ISNUMBER(C10),'3. Veículos'!F2 * INDEX('2. Distâncias'!D2:D362,C9*19+C10 + 1) +G9," ")," ")</f>
        <v>1.6786111111111113E-2</v>
      </c>
      <c r="H10" s="69">
        <f ca="1">IFERROR(IF(ISNUMBER(C10),'3. Veículos'!F2 * INDEX('2. Distâncias'!D2:D362,C9*19+C10 + 1) +I9," ")," ")</f>
        <v>0.26678611111111111</v>
      </c>
      <c r="I10" s="69">
        <f ca="1">IFERROR(IF(AND(C5&lt;&gt;C10,ISNUMBER(H10)),INDEX('1. Locais'!I2:I20,C10 + 1) + MAX(H10,INDEX('1. Locais'!F2:F20,C10 + 1))," ")," ")</f>
        <v>0.26678611111111111</v>
      </c>
      <c r="J10" s="68">
        <f ca="1">IFERROR(IF(AND(B10 = B5, B11 = ""), H10 - I5, I10 - I5)," ")</f>
        <v>1.6786111111111113E-2</v>
      </c>
      <c r="K10" s="66">
        <f ca="1">IFERROR(IF(ISNUMBER(C10),INDEX('1. Locais'!L2:L20,C10 + 1) + K9," ")," ")</f>
        <v>0</v>
      </c>
      <c r="L10" s="67">
        <f ca="1">IFERROR(IF(ISNUMBER(C10),INDEX('1. Locais'!J2:J20,C10 + 1)," ")," ")</f>
        <v>5</v>
      </c>
      <c r="M10" s="67">
        <f ca="1">IFERROR(IF(ISNUMBER(C10),INDEX('1. Locais'!K2:K20,C10 + 1)," ")," ")</f>
        <v>0</v>
      </c>
      <c r="N10" s="67">
        <f ca="1">IFERROR(IF(ISNUMBER(C10),IF(B10 = B5, 0, L10 + N9)," ")," ")</f>
        <v>12</v>
      </c>
      <c r="O10" s="67">
        <f ca="1">IFERROR(IF(ISNUMBER(C10),IF(B11 = B5, 0, IF(B11 = "", 0, O11 + M11))," ")," ")</f>
        <v>0</v>
      </c>
      <c r="P10" s="66">
        <f ca="1">IFERROR(IF(ISNUMBER(C10),N10 + O10," ")," ")</f>
        <v>12</v>
      </c>
    </row>
    <row r="11" spans="1:16" x14ac:dyDescent="0.25">
      <c r="A11" s="24">
        <v>6</v>
      </c>
      <c r="B11" s="70" t="s">
        <v>4005</v>
      </c>
      <c r="C11" s="66">
        <f ca="1">IFERROR(MATCH(INDIRECT("B11"),'1. Locais'!B2:B20, 0) - 1," ")</f>
        <v>3</v>
      </c>
      <c r="D11" s="66">
        <f ca="1">IFERROR(IF(ISNUMBER(C11),INDEX('1. Locais'!D2:D20,C11 + 1),NA()),NA())</f>
        <v>-10.165786900000001</v>
      </c>
      <c r="E11" s="66">
        <f ca="1">IFERROR(IF(ISNUMBER(C11),INDEX('1. Locais'!E2:E20,C11 + 1),NA()),NA())</f>
        <v>-48.309047499999998</v>
      </c>
      <c r="F11" s="67">
        <f ca="1">IFERROR(IF(ISNUMBER(C11),INDEX('2. Distâncias'!C2:C362,C10*19+C11+ 1) +F10," ")," ")</f>
        <v>27.523999999999997</v>
      </c>
      <c r="G11" s="68">
        <f ca="1">IFERROR(IF(ISNUMBER(C11),'3. Veículos'!F2 * INDEX('2. Distâncias'!D2:D362,C10*19+C11 + 1) +G10," ")," ")</f>
        <v>1.9113888888888889E-2</v>
      </c>
      <c r="H11" s="69">
        <f ca="1">IFERROR(IF(ISNUMBER(C11),'3. Veículos'!F2 * INDEX('2. Distâncias'!D2:D362,C10*19+C11 + 1) +I10," ")," ")</f>
        <v>0.26911388888888887</v>
      </c>
      <c r="I11" s="69">
        <f ca="1">IFERROR(IF(AND(C5&lt;&gt;C11,ISNUMBER(H11)),INDEX('1. Locais'!I2:I20,C11 + 1) + MAX(H11,INDEX('1. Locais'!F2:F20,C11 + 1))," ")," ")</f>
        <v>0.26911388888888887</v>
      </c>
      <c r="J11" s="68">
        <f ca="1">IFERROR(IF(AND(B11 = B5, B12 = ""), H11 - I5, I11 - I5)," ")</f>
        <v>1.9113888888888875E-2</v>
      </c>
      <c r="K11" s="66">
        <f ca="1">IFERROR(IF(ISNUMBER(C11),INDEX('1. Locais'!L2:L20,C11 + 1) + K10," ")," ")</f>
        <v>0</v>
      </c>
      <c r="L11" s="67">
        <f ca="1">IFERROR(IF(ISNUMBER(C11),INDEX('1. Locais'!J2:J20,C11 + 1)," ")," ")</f>
        <v>1</v>
      </c>
      <c r="M11" s="67">
        <f ca="1">IFERROR(IF(ISNUMBER(C11),INDEX('1. Locais'!K2:K20,C11 + 1)," ")," ")</f>
        <v>0</v>
      </c>
      <c r="N11" s="67">
        <f ca="1">IFERROR(IF(ISNUMBER(C11),IF(B11 = B5, 0, L11 + N10)," ")," ")</f>
        <v>13</v>
      </c>
      <c r="O11" s="67">
        <f ca="1">IFERROR(IF(ISNUMBER(C11),IF(B12 = B5, 0, IF(B12 = "", 0, O12 + M12))," ")," ")</f>
        <v>0</v>
      </c>
      <c r="P11" s="66">
        <f ca="1">IFERROR(IF(ISNUMBER(C11),N11 + O11," ")," ")</f>
        <v>13</v>
      </c>
    </row>
    <row r="12" spans="1:16" x14ac:dyDescent="0.25">
      <c r="A12" s="24">
        <v>7</v>
      </c>
      <c r="B12" s="65" t="s">
        <v>4015</v>
      </c>
      <c r="C12" s="66">
        <f ca="1">IFERROR(MATCH(INDIRECT("B12"),'1. Locais'!B2:B20, 0) - 1," ")</f>
        <v>13</v>
      </c>
      <c r="D12" s="66">
        <f ca="1">IFERROR(IF(ISNUMBER(C12),INDEX('1. Locais'!D2:D20,C12 + 1),NA()),NA())</f>
        <v>-10.1625552</v>
      </c>
      <c r="E12" s="66">
        <f ca="1">IFERROR(IF(ISNUMBER(C12),INDEX('1. Locais'!E2:E20,C12 + 1),NA()),NA())</f>
        <v>-48.318269100000002</v>
      </c>
      <c r="F12" s="67">
        <f ca="1">IFERROR(IF(ISNUMBER(C12),INDEX('2. Distâncias'!C2:C362,C11*19+C12+ 1) +F11," ")," ")</f>
        <v>28.886999999999997</v>
      </c>
      <c r="G12" s="68">
        <f ca="1">IFERROR(IF(ISNUMBER(C12),'3. Veículos'!F2 * INDEX('2. Distâncias'!D2:D362,C11*19+C12 + 1) +G11," ")," ")</f>
        <v>2.0060416666666667E-2</v>
      </c>
      <c r="H12" s="69">
        <f ca="1">IFERROR(IF(ISNUMBER(C12),'3. Veículos'!F2 * INDEX('2. Distâncias'!D2:D362,C11*19+C12 + 1) +I11," ")," ")</f>
        <v>0.27006041666666664</v>
      </c>
      <c r="I12" s="69">
        <f ca="1">IFERROR(IF(AND(C5&lt;&gt;C12,ISNUMBER(H12)),INDEX('1. Locais'!I2:I20,C12 + 1) + MAX(H12,INDEX('1. Locais'!F2:F20,C12 + 1))," ")," ")</f>
        <v>0.27006041666666664</v>
      </c>
      <c r="J12" s="68">
        <f ca="1">IFERROR(IF(AND(B12 = B5, B13 = ""), H12 - I5, I12 - I5)," ")</f>
        <v>2.0060416666666636E-2</v>
      </c>
      <c r="K12" s="66">
        <f ca="1">IFERROR(IF(ISNUMBER(C12),INDEX('1. Locais'!L2:L20,C12 + 1) + K11," ")," ")</f>
        <v>0</v>
      </c>
      <c r="L12" s="67">
        <f ca="1">IFERROR(IF(ISNUMBER(C12),INDEX('1. Locais'!J2:J20,C12 + 1)," ")," ")</f>
        <v>0</v>
      </c>
      <c r="M12" s="67">
        <f ca="1">IFERROR(IF(ISNUMBER(C12),INDEX('1. Locais'!K2:K20,C12 + 1)," ")," ")</f>
        <v>0</v>
      </c>
      <c r="N12" s="67">
        <f ca="1">IFERROR(IF(ISNUMBER(C12),IF(B12 = B5, 0, L12 + N11)," ")," ")</f>
        <v>13</v>
      </c>
      <c r="O12" s="67">
        <f ca="1">IFERROR(IF(ISNUMBER(C12),IF(B13 = B5, 0, IF(B13 = "", 0, O13 + M13))," ")," ")</f>
        <v>0</v>
      </c>
      <c r="P12" s="66">
        <f ca="1">IFERROR(IF(ISNUMBER(C12),N12 + O12," ")," ")</f>
        <v>13</v>
      </c>
    </row>
    <row r="13" spans="1:16" x14ac:dyDescent="0.25">
      <c r="A13" s="24">
        <v>8</v>
      </c>
      <c r="B13" s="70" t="s">
        <v>4016</v>
      </c>
      <c r="C13" s="66">
        <f ca="1">IFERROR(MATCH(INDIRECT("B13"),'1. Locais'!B2:B20, 0) - 1," ")</f>
        <v>14</v>
      </c>
      <c r="D13" s="66">
        <f ca="1">IFERROR(IF(ISNUMBER(C13),INDEX('1. Locais'!D2:D20,C13 + 1),NA()),NA())</f>
        <v>-10.152712599999999</v>
      </c>
      <c r="E13" s="66">
        <f ca="1">IFERROR(IF(ISNUMBER(C13),INDEX('1. Locais'!E2:E20,C13 + 1),NA()),NA())</f>
        <v>-48.325392999999998</v>
      </c>
      <c r="F13" s="67">
        <f ca="1">IFERROR(IF(ISNUMBER(C13),INDEX('2. Distâncias'!C2:C362,C12*19+C13+ 1) +F12," ")," ")</f>
        <v>30.811999999999998</v>
      </c>
      <c r="G13" s="68">
        <f ca="1">IFERROR(IF(ISNUMBER(C13),'3. Veículos'!F2 * INDEX('2. Distâncias'!D2:D362,C12*19+C13 + 1) +G12," ")," ")</f>
        <v>2.1397222222222224E-2</v>
      </c>
      <c r="H13" s="69">
        <f ca="1">IFERROR(IF(ISNUMBER(C13),'3. Veículos'!F2 * INDEX('2. Distâncias'!D2:D362,C12*19+C13 + 1) +I12," ")," ")</f>
        <v>0.27139722222222218</v>
      </c>
      <c r="I13" s="69">
        <f ca="1">IFERROR(IF(AND(C5&lt;&gt;C13,ISNUMBER(H13)),INDEX('1. Locais'!I2:I20,C13 + 1) + MAX(H13,INDEX('1. Locais'!F2:F20,C13 + 1))," ")," ")</f>
        <v>0.27139722222222218</v>
      </c>
      <c r="J13" s="68">
        <f ca="1">IFERROR(IF(AND(B13 = B5, B14 = ""), H13 - I5, I13 - I5)," ")</f>
        <v>2.1397222222222179E-2</v>
      </c>
      <c r="K13" s="66">
        <f ca="1">IFERROR(IF(ISNUMBER(C13),INDEX('1. Locais'!L2:L20,C13 + 1) + K12," ")," ")</f>
        <v>0</v>
      </c>
      <c r="L13" s="67">
        <f ca="1">IFERROR(IF(ISNUMBER(C13),INDEX('1. Locais'!J2:J20,C13 + 1)," ")," ")</f>
        <v>3</v>
      </c>
      <c r="M13" s="67">
        <f ca="1">IFERROR(IF(ISNUMBER(C13),INDEX('1. Locais'!K2:K20,C13 + 1)," ")," ")</f>
        <v>0</v>
      </c>
      <c r="N13" s="67">
        <f ca="1">IFERROR(IF(ISNUMBER(C13),IF(B13 = B5, 0, L13 + N12)," ")," ")</f>
        <v>16</v>
      </c>
      <c r="O13" s="67">
        <f ca="1">IFERROR(IF(ISNUMBER(C13),IF(B14 = B5, 0, IF(B14 = "", 0, O14 + M14))," ")," ")</f>
        <v>0</v>
      </c>
      <c r="P13" s="66">
        <f ca="1">IFERROR(IF(ISNUMBER(C13),N13 + O13," ")," ")</f>
        <v>16</v>
      </c>
    </row>
    <row r="14" spans="1:16" x14ac:dyDescent="0.25">
      <c r="A14" s="24">
        <v>9</v>
      </c>
      <c r="B14" s="65" t="s">
        <v>4013</v>
      </c>
      <c r="C14" s="66">
        <f ca="1">IFERROR(MATCH(INDIRECT("B14"),'1. Locais'!B2:B20, 0) - 1," ")</f>
        <v>11</v>
      </c>
      <c r="D14" s="66">
        <f ca="1">IFERROR(IF(ISNUMBER(C14),INDEX('1. Locais'!D2:D20,C14 + 1),NA()),NA())</f>
        <v>-10.156007600000001</v>
      </c>
      <c r="E14" s="66">
        <f ca="1">IFERROR(IF(ISNUMBER(C14),INDEX('1. Locais'!E2:E20,C14 + 1),NA()),NA())</f>
        <v>-48.326465900000002</v>
      </c>
      <c r="F14" s="67">
        <f ca="1">IFERROR(IF(ISNUMBER(C14),INDEX('2. Distâncias'!C2:C362,C13*19+C14+ 1) +F13," ")," ")</f>
        <v>31.428999999999998</v>
      </c>
      <c r="G14" s="68">
        <f ca="1">IFERROR(IF(ISNUMBER(C14),'3. Veículos'!F2 * INDEX('2. Distâncias'!D2:D362,C13*19+C14 + 1) +G13," ")," ")</f>
        <v>2.1825694444444446E-2</v>
      </c>
      <c r="H14" s="69">
        <f ca="1">IFERROR(IF(ISNUMBER(C14),'3. Veículos'!F2 * INDEX('2. Distâncias'!D2:D362,C13*19+C14 + 1) +I13," ")," ")</f>
        <v>0.27182569444444438</v>
      </c>
      <c r="I14" s="69">
        <f ca="1">IFERROR(IF(AND(C5&lt;&gt;C14,ISNUMBER(H14)),INDEX('1. Locais'!I2:I20,C14 + 1) + MAX(H14,INDEX('1. Locais'!F2:F20,C14 + 1))," ")," ")</f>
        <v>0.27182569444444438</v>
      </c>
      <c r="J14" s="68">
        <f ca="1">IFERROR(IF(AND(B14 = B5, B15 = ""), H14 - I5, I14 - I5)," ")</f>
        <v>2.1825694444444377E-2</v>
      </c>
      <c r="K14" s="66">
        <f ca="1">IFERROR(IF(ISNUMBER(C14),INDEX('1. Locais'!L2:L20,C14 + 1) + K13," ")," ")</f>
        <v>0</v>
      </c>
      <c r="L14" s="67">
        <f ca="1">IFERROR(IF(ISNUMBER(C14),INDEX('1. Locais'!J2:J20,C14 + 1)," ")," ")</f>
        <v>0</v>
      </c>
      <c r="M14" s="67">
        <f ca="1">IFERROR(IF(ISNUMBER(C14),INDEX('1. Locais'!K2:K20,C14 + 1)," ")," ")</f>
        <v>0</v>
      </c>
      <c r="N14" s="67">
        <f ca="1">IFERROR(IF(ISNUMBER(C14),IF(B14 = B5, 0, L14 + N13)," ")," ")</f>
        <v>16</v>
      </c>
      <c r="O14" s="67">
        <f ca="1">IFERROR(IF(ISNUMBER(C14),IF(B15 = B5, 0, IF(B15 = "", 0, O15 + M15))," ")," ")</f>
        <v>0</v>
      </c>
      <c r="P14" s="66">
        <f ca="1">IFERROR(IF(ISNUMBER(C14),N14 + O14," ")," ")</f>
        <v>16</v>
      </c>
    </row>
    <row r="15" spans="1:16" x14ac:dyDescent="0.25">
      <c r="A15" s="24">
        <v>10</v>
      </c>
      <c r="B15" s="70" t="s">
        <v>4014</v>
      </c>
      <c r="C15" s="66">
        <f ca="1">IFERROR(MATCH(INDIRECT("B15"),'1. Locais'!B2:B20, 0) - 1," ")</f>
        <v>12</v>
      </c>
      <c r="D15" s="66">
        <f ca="1">IFERROR(IF(ISNUMBER(C15),INDEX('1. Locais'!D2:D20,C15 + 1),NA()),NA())</f>
        <v>-10.1614991</v>
      </c>
      <c r="E15" s="66">
        <f ca="1">IFERROR(IF(ISNUMBER(C15),INDEX('1. Locais'!E2:E20,C15 + 1),NA()),NA())</f>
        <v>-48.329684499999999</v>
      </c>
      <c r="F15" s="67">
        <f ca="1">IFERROR(IF(ISNUMBER(C15),INDEX('2. Distâncias'!C2:C362,C14*19+C15+ 1) +F14," ")," ")</f>
        <v>32.277000000000001</v>
      </c>
      <c r="G15" s="68">
        <f ca="1">IFERROR(IF(ISNUMBER(C15),'3. Veículos'!F2 * INDEX('2. Distâncias'!D2:D362,C14*19+C15 + 1) +G14," ")," ")</f>
        <v>2.2414583333333335E-2</v>
      </c>
      <c r="H15" s="69">
        <f ca="1">IFERROR(IF(ISNUMBER(C15),'3. Veículos'!F2 * INDEX('2. Distâncias'!D2:D362,C14*19+C15 + 1) +I14," ")," ")</f>
        <v>0.27241458333333329</v>
      </c>
      <c r="I15" s="69">
        <f ca="1">IFERROR(IF(AND(C5&lt;&gt;C15,ISNUMBER(H15)),INDEX('1. Locais'!I2:I20,C15 + 1) + MAX(H15,INDEX('1. Locais'!F2:F20,C15 + 1))," ")," ")</f>
        <v>0.27241458333333329</v>
      </c>
      <c r="J15" s="68">
        <f ca="1">IFERROR(IF(AND(B15 = B5, B16 = ""), H15 - I5, I15 - I5)," ")</f>
        <v>2.2414583333333293E-2</v>
      </c>
      <c r="K15" s="66">
        <f ca="1">IFERROR(IF(ISNUMBER(C15),INDEX('1. Locais'!L2:L20,C15 + 1) + K14," ")," ")</f>
        <v>0</v>
      </c>
      <c r="L15" s="67">
        <f ca="1">IFERROR(IF(ISNUMBER(C15),INDEX('1. Locais'!J2:J20,C15 + 1)," ")," ")</f>
        <v>2</v>
      </c>
      <c r="M15" s="67">
        <f ca="1">IFERROR(IF(ISNUMBER(C15),INDEX('1. Locais'!K2:K20,C15 + 1)," ")," ")</f>
        <v>0</v>
      </c>
      <c r="N15" s="67">
        <f ca="1">IFERROR(IF(ISNUMBER(C15),IF(B15 = B5, 0, L15 + N14)," ")," ")</f>
        <v>18</v>
      </c>
      <c r="O15" s="67">
        <f ca="1">IFERROR(IF(ISNUMBER(C15),IF(B16 = B5, 0, IF(B16 = "", 0, O16 + M16))," ")," ")</f>
        <v>0</v>
      </c>
      <c r="P15" s="66">
        <f ca="1">IFERROR(IF(ISNUMBER(C15),N15 + O15," ")," ")</f>
        <v>18</v>
      </c>
    </row>
    <row r="16" spans="1:16" x14ac:dyDescent="0.25">
      <c r="A16" s="24">
        <v>11</v>
      </c>
      <c r="B16" s="65" t="s">
        <v>4012</v>
      </c>
      <c r="C16" s="66">
        <f ca="1">IFERROR(MATCH(INDIRECT("B16"),'1. Locais'!B2:B20, 0) - 1," ")</f>
        <v>10</v>
      </c>
      <c r="D16" s="66">
        <f ca="1">IFERROR(IF(ISNUMBER(C16),INDEX('1. Locais'!D2:D20,C16 + 1),NA()),NA())</f>
        <v>-10.1679464</v>
      </c>
      <c r="E16" s="66">
        <f ca="1">IFERROR(IF(ISNUMBER(C16),INDEX('1. Locais'!E2:E20,C16 + 1),NA()),NA())</f>
        <v>-48.335384300000001</v>
      </c>
      <c r="F16" s="67">
        <f ca="1">IFERROR(IF(ISNUMBER(C16),INDEX('2. Distâncias'!C2:C362,C15*19+C16+ 1) +F15," ")," ")</f>
        <v>33.29</v>
      </c>
      <c r="G16" s="68">
        <f ca="1">IFERROR(IF(ISNUMBER(C16),'3. Veículos'!F2 * INDEX('2. Distâncias'!D2:D362,C15*19+C16 + 1) +G15," ")," ")</f>
        <v>2.3118055555555558E-2</v>
      </c>
      <c r="H16" s="69">
        <f ca="1">IFERROR(IF(ISNUMBER(C16),'3. Veículos'!F2 * INDEX('2. Distâncias'!D2:D362,C15*19+C16 + 1) +I15," ")," ")</f>
        <v>0.27311805555555552</v>
      </c>
      <c r="I16" s="69">
        <f ca="1">IFERROR(IF(AND(C5&lt;&gt;C16,ISNUMBER(H16)),INDEX('1. Locais'!I2:I20,C16 + 1) + MAX(H16,INDEX('1. Locais'!F2:F20,C16 + 1))," ")," ")</f>
        <v>0.27311805555555552</v>
      </c>
      <c r="J16" s="68">
        <f ca="1">IFERROR(IF(AND(B16 = B5, B17 = ""), H16 - I5, I16 - I5)," ")</f>
        <v>2.3118055555555517E-2</v>
      </c>
      <c r="K16" s="66">
        <f ca="1">IFERROR(IF(ISNUMBER(C16),INDEX('1. Locais'!L2:L20,C16 + 1) + K15," ")," ")</f>
        <v>0</v>
      </c>
      <c r="L16" s="67">
        <f ca="1">IFERROR(IF(ISNUMBER(C16),INDEX('1. Locais'!J2:J20,C16 + 1)," ")," ")</f>
        <v>4</v>
      </c>
      <c r="M16" s="67">
        <f ca="1">IFERROR(IF(ISNUMBER(C16),INDEX('1. Locais'!K2:K20,C16 + 1)," ")," ")</f>
        <v>0</v>
      </c>
      <c r="N16" s="67">
        <f ca="1">IFERROR(IF(ISNUMBER(C16),IF(B16 = B5, 0, L16 + N15)," ")," ")</f>
        <v>22</v>
      </c>
      <c r="O16" s="67">
        <f ca="1">IFERROR(IF(ISNUMBER(C16),IF(B17 = B5, 0, IF(B17 = "", 0, O17 + M17))," ")," ")</f>
        <v>0</v>
      </c>
      <c r="P16" s="66">
        <f ca="1">IFERROR(IF(ISNUMBER(C16),N16 + O16," ")," ")</f>
        <v>22</v>
      </c>
    </row>
    <row r="17" spans="1:16" x14ac:dyDescent="0.25">
      <c r="A17" s="24">
        <v>12</v>
      </c>
      <c r="B17" s="70" t="s">
        <v>4011</v>
      </c>
      <c r="C17" s="66">
        <f ca="1">IFERROR(MATCH(INDIRECT("B17"),'1. Locais'!B2:B20, 0) - 1," ")</f>
        <v>9</v>
      </c>
      <c r="D17" s="66">
        <f ca="1">IFERROR(IF(ISNUMBER(C17),INDEX('1. Locais'!D2:D20,C17 + 1),NA()),NA())</f>
        <v>-10.1736489</v>
      </c>
      <c r="E17" s="66">
        <f ca="1">IFERROR(IF(ISNUMBER(C17),INDEX('1. Locais'!E2:E20,C17 + 1),NA()),NA())</f>
        <v>-48.328217500000001</v>
      </c>
      <c r="F17" s="67">
        <f ca="1">IFERROR(IF(ISNUMBER(C17),INDEX('2. Distâncias'!C2:C362,C16*19+C17+ 1) +F16," ")," ")</f>
        <v>35.643999999999998</v>
      </c>
      <c r="G17" s="68">
        <f ca="1">IFERROR(IF(ISNUMBER(C17),'3. Veículos'!F2 * INDEX('2. Distâncias'!D2:D362,C16*19+C17 + 1) +G16," ")," ")</f>
        <v>2.475277777777778E-2</v>
      </c>
      <c r="H17" s="69">
        <f ca="1">IFERROR(IF(ISNUMBER(C17),'3. Veículos'!F2 * INDEX('2. Distâncias'!D2:D362,C16*19+C17 + 1) +I16," ")," ")</f>
        <v>0.27475277777777773</v>
      </c>
      <c r="I17" s="69">
        <f ca="1">IFERROR(IF(AND(C5&lt;&gt;C17,ISNUMBER(H17)),INDEX('1. Locais'!I2:I20,C17 + 1) + MAX(H17,INDEX('1. Locais'!F2:F20,C17 + 1))," ")," ")</f>
        <v>0.27475277777777773</v>
      </c>
      <c r="J17" s="68">
        <f ca="1">IFERROR(IF(AND(B17 = B5, B18 = ""), H17 - I5, I17 - I5)," ")</f>
        <v>2.4752777777777735E-2</v>
      </c>
      <c r="K17" s="66">
        <f ca="1">IFERROR(IF(ISNUMBER(C17),INDEX('1. Locais'!L2:L20,C17 + 1) + K16," ")," ")</f>
        <v>0</v>
      </c>
      <c r="L17" s="67">
        <f ca="1">IFERROR(IF(ISNUMBER(C17),INDEX('1. Locais'!J2:J20,C17 + 1)," ")," ")</f>
        <v>2</v>
      </c>
      <c r="M17" s="67">
        <f ca="1">IFERROR(IF(ISNUMBER(C17),INDEX('1. Locais'!K2:K20,C17 + 1)," ")," ")</f>
        <v>0</v>
      </c>
      <c r="N17" s="67">
        <f ca="1">IFERROR(IF(ISNUMBER(C17),IF(B17 = B5, 0, L17 + N16)," ")," ")</f>
        <v>24</v>
      </c>
      <c r="O17" s="67">
        <f ca="1">IFERROR(IF(ISNUMBER(C17),IF(B18 = B5, 0, IF(B18 = "", 0, O18 + M18))," ")," ")</f>
        <v>0</v>
      </c>
      <c r="P17" s="66">
        <f ca="1">IFERROR(IF(ISNUMBER(C17),N17 + O17," ")," ")</f>
        <v>24</v>
      </c>
    </row>
    <row r="18" spans="1:16" x14ac:dyDescent="0.25">
      <c r="A18" s="24">
        <v>13</v>
      </c>
      <c r="B18" s="65" t="s">
        <v>4010</v>
      </c>
      <c r="C18" s="66">
        <f ca="1">IFERROR(MATCH(INDIRECT("B18"),'1. Locais'!B2:B20, 0) - 1," ")</f>
        <v>8</v>
      </c>
      <c r="D18" s="66">
        <f ca="1">IFERROR(IF(ISNUMBER(C18),INDEX('1. Locais'!D2:D20,C18 + 1),NA()),NA())</f>
        <v>-10.1788875</v>
      </c>
      <c r="E18" s="66">
        <f ca="1">IFERROR(IF(ISNUMBER(C18),INDEX('1. Locais'!E2:E20,C18 + 1),NA()),NA())</f>
        <v>-48.324953000000001</v>
      </c>
      <c r="F18" s="67">
        <f ca="1">IFERROR(IF(ISNUMBER(C18),INDEX('2. Distâncias'!C2:C362,C17*19+C18+ 1) +F17," ")," ")</f>
        <v>37.174999999999997</v>
      </c>
      <c r="G18" s="68">
        <f ca="1">IFERROR(IF(ISNUMBER(C18),'3. Veículos'!F2 * INDEX('2. Distâncias'!D2:D362,C17*19+C18 + 1) +G17," ")," ")</f>
        <v>2.5815972222222223E-2</v>
      </c>
      <c r="H18" s="69">
        <f ca="1">IFERROR(IF(ISNUMBER(C18),'3. Veículos'!F2 * INDEX('2. Distâncias'!D2:D362,C17*19+C18 + 1) +I17," ")," ")</f>
        <v>0.27581597222222221</v>
      </c>
      <c r="I18" s="69">
        <f ca="1">IFERROR(IF(AND(C5&lt;&gt;C18,ISNUMBER(H18)),INDEX('1. Locais'!I2:I20,C18 + 1) + MAX(H18,INDEX('1. Locais'!F2:F20,C18 + 1))," ")," ")</f>
        <v>0.27581597222222221</v>
      </c>
      <c r="J18" s="68">
        <f ca="1">IFERROR(IF(AND(B18 = B5, B19 = ""), H18 - I5, I18 - I5)," ")</f>
        <v>2.5815972222222205E-2</v>
      </c>
      <c r="K18" s="66">
        <f ca="1">IFERROR(IF(ISNUMBER(C18),INDEX('1. Locais'!L2:L20,C18 + 1) + K17," ")," ")</f>
        <v>0</v>
      </c>
      <c r="L18" s="67">
        <f ca="1">IFERROR(IF(ISNUMBER(C18),INDEX('1. Locais'!J2:J20,C18 + 1)," ")," ")</f>
        <v>3</v>
      </c>
      <c r="M18" s="67">
        <f ca="1">IFERROR(IF(ISNUMBER(C18),INDEX('1. Locais'!K2:K20,C18 + 1)," ")," ")</f>
        <v>0</v>
      </c>
      <c r="N18" s="67">
        <f ca="1">IFERROR(IF(ISNUMBER(C18),IF(B18 = B5, 0, L18 + N17)," ")," ")</f>
        <v>27</v>
      </c>
      <c r="O18" s="67">
        <f ca="1">IFERROR(IF(ISNUMBER(C18),IF(B19 = B5, 0, IF(B19 = "", 0, O19 + M19))," ")," ")</f>
        <v>0</v>
      </c>
      <c r="P18" s="66">
        <f ca="1">IFERROR(IF(ISNUMBER(C18),N18 + O18," ")," ")</f>
        <v>27</v>
      </c>
    </row>
    <row r="19" spans="1:16" x14ac:dyDescent="0.25">
      <c r="A19" s="24">
        <v>14</v>
      </c>
      <c r="B19" s="70" t="s">
        <v>4003</v>
      </c>
      <c r="C19" s="66">
        <f ca="1">IFERROR(MATCH(INDIRECT("B19"),'1. Locais'!B2:B20, 0) - 1," ")</f>
        <v>1</v>
      </c>
      <c r="D19" s="66">
        <f ca="1">IFERROR(IF(ISNUMBER(C19),INDEX('1. Locais'!D2:D20,C19 + 1),NA()),NA())</f>
        <v>-10.1835659</v>
      </c>
      <c r="E19" s="66">
        <f ca="1">IFERROR(IF(ISNUMBER(C19),INDEX('1. Locais'!E2:E20,C19 + 1),NA()),NA())</f>
        <v>-48.321423299999999</v>
      </c>
      <c r="F19" s="67">
        <f ca="1">IFERROR(IF(ISNUMBER(C19),INDEX('2. Distâncias'!C2:C362,C18*19+C19+ 1) +F18," ")," ")</f>
        <v>38.122</v>
      </c>
      <c r="G19" s="68">
        <f ca="1">IFERROR(IF(ISNUMBER(C19),'3. Veículos'!F2 * INDEX('2. Distâncias'!D2:D362,C18*19+C19 + 1) +G18," ")," ")</f>
        <v>2.6473611111111111E-2</v>
      </c>
      <c r="H19" s="69">
        <f ca="1">IFERROR(IF(ISNUMBER(C19),'3. Veículos'!F2 * INDEX('2. Distâncias'!D2:D362,C18*19+C19 + 1) +I18," ")," ")</f>
        <v>0.27647361111111107</v>
      </c>
      <c r="I19" s="69">
        <f ca="1">IFERROR(IF(AND(C5&lt;&gt;C19,ISNUMBER(H19)),INDEX('1. Locais'!I2:I20,C19 + 1) + MAX(H19,INDEX('1. Locais'!F2:F20,C19 + 1))," ")," ")</f>
        <v>0.27647361111111107</v>
      </c>
      <c r="J19" s="68">
        <f ca="1">IFERROR(IF(AND(B19 = B5, B20 = ""), H19 - I5, I19 - I5)," ")</f>
        <v>2.6473611111111073E-2</v>
      </c>
      <c r="K19" s="66">
        <f ca="1">IFERROR(IF(ISNUMBER(C19),INDEX('1. Locais'!L2:L20,C19 + 1) + K18," ")," ")</f>
        <v>0</v>
      </c>
      <c r="L19" s="67">
        <f ca="1">IFERROR(IF(ISNUMBER(C19),INDEX('1. Locais'!J2:J20,C19 + 1)," ")," ")</f>
        <v>2</v>
      </c>
      <c r="M19" s="67">
        <f ca="1">IFERROR(IF(ISNUMBER(C19),INDEX('1. Locais'!K2:K20,C19 + 1)," ")," ")</f>
        <v>0</v>
      </c>
      <c r="N19" s="67">
        <f ca="1">IFERROR(IF(ISNUMBER(C19),IF(B19 = B5, 0, L19 + N18)," ")," ")</f>
        <v>29</v>
      </c>
      <c r="O19" s="67">
        <f ca="1">IFERROR(IF(ISNUMBER(C19),IF(B20 = B5, 0, IF(B20 = "", 0, O20 + M20))," ")," ")</f>
        <v>0</v>
      </c>
      <c r="P19" s="66">
        <f ca="1">IFERROR(IF(ISNUMBER(C19),N19 + O19," ")," ")</f>
        <v>29</v>
      </c>
    </row>
    <row r="20" spans="1:16" x14ac:dyDescent="0.25">
      <c r="A20" s="24">
        <v>15</v>
      </c>
      <c r="B20" s="65" t="s">
        <v>4018</v>
      </c>
      <c r="C20" s="66">
        <f ca="1">IFERROR(MATCH(INDIRECT("B20"),'1. Locais'!B2:B20, 0) - 1," ")</f>
        <v>16</v>
      </c>
      <c r="D20" s="66">
        <f ca="1">IFERROR(IF(ISNUMBER(C20),INDEX('1. Locais'!D2:D20,C20 + 1),NA()),NA())</f>
        <v>-10.1847134</v>
      </c>
      <c r="E20" s="66">
        <f ca="1">IFERROR(IF(ISNUMBER(C20),INDEX('1. Locais'!E2:E20,C20 + 1),NA()),NA())</f>
        <v>-48.309062900000001</v>
      </c>
      <c r="F20" s="67">
        <f ca="1">IFERROR(IF(ISNUMBER(C20),INDEX('2. Distâncias'!C2:C362,C19*19+C20+ 1) +F19," ")," ")</f>
        <v>39.686</v>
      </c>
      <c r="G20" s="68">
        <f ca="1">IFERROR(IF(ISNUMBER(C20),'3. Veículos'!F2 * INDEX('2. Distâncias'!D2:D362,C19*19+C20 + 1) +G19," ")," ")</f>
        <v>2.7559722222222222E-2</v>
      </c>
      <c r="H20" s="69">
        <f ca="1">IFERROR(IF(ISNUMBER(C20),'3. Veículos'!F2 * INDEX('2. Distâncias'!D2:D362,C19*19+C20 + 1) +I19," ")," ")</f>
        <v>0.27755972222222219</v>
      </c>
      <c r="I20" s="69">
        <f ca="1">IFERROR(IF(AND(C5&lt;&gt;C20,ISNUMBER(H20)),INDEX('1. Locais'!I2:I20,C20 + 1) + MAX(H20,INDEX('1. Locais'!F2:F20,C20 + 1))," ")," ")</f>
        <v>0.27755972222222219</v>
      </c>
      <c r="J20" s="68">
        <f ca="1">IFERROR(IF(AND(B20 = B5, B21 = ""), H20 - I5, I20 - I5)," ")</f>
        <v>2.7559722222222194E-2</v>
      </c>
      <c r="K20" s="66">
        <f ca="1">IFERROR(IF(ISNUMBER(C20),INDEX('1. Locais'!L2:L20,C20 + 1) + K19," ")," ")</f>
        <v>0</v>
      </c>
      <c r="L20" s="67">
        <f ca="1">IFERROR(IF(ISNUMBER(C20),INDEX('1. Locais'!J2:J20,C20 + 1)," ")," ")</f>
        <v>1</v>
      </c>
      <c r="M20" s="67">
        <f ca="1">IFERROR(IF(ISNUMBER(C20),INDEX('1. Locais'!K2:K20,C20 + 1)," ")," ")</f>
        <v>0</v>
      </c>
      <c r="N20" s="67">
        <f ca="1">IFERROR(IF(ISNUMBER(C20),IF(B20 = B5, 0, L20 + N19)," ")," ")</f>
        <v>30</v>
      </c>
      <c r="O20" s="67">
        <f ca="1">IFERROR(IF(ISNUMBER(C20),IF(B21 = B5, 0, IF(B21 = "", 0, O21 + M21))," ")," ")</f>
        <v>0</v>
      </c>
      <c r="P20" s="66">
        <f ca="1">IFERROR(IF(ISNUMBER(C20),N20 + O20," ")," ")</f>
        <v>30</v>
      </c>
    </row>
    <row r="21" spans="1:16" x14ac:dyDescent="0.25">
      <c r="A21" s="24">
        <v>16</v>
      </c>
      <c r="B21" s="70" t="s">
        <v>4004</v>
      </c>
      <c r="C21" s="66">
        <f ca="1">IFERROR(MATCH(INDIRECT("B21"),'1. Locais'!B2:B20, 0) - 1," ")</f>
        <v>2</v>
      </c>
      <c r="D21" s="66">
        <f ca="1">IFERROR(IF(ISNUMBER(C21),INDEX('1. Locais'!D2:D20,C21 + 1),NA()),NA())</f>
        <v>-10.181644</v>
      </c>
      <c r="E21" s="66">
        <f ca="1">IFERROR(IF(ISNUMBER(C21),INDEX('1. Locais'!E2:E20,C21 + 1),NA()),NA())</f>
        <v>-48.313516499999999</v>
      </c>
      <c r="F21" s="67">
        <f ca="1">IFERROR(IF(ISNUMBER(C21),INDEX('2. Distâncias'!C2:C362,C20*19+C21+ 1) +F20," ")," ")</f>
        <v>41.067</v>
      </c>
      <c r="G21" s="68">
        <f ca="1">IFERROR(IF(ISNUMBER(C21),'3. Veículos'!F2 * INDEX('2. Distâncias'!D2:D362,C20*19+C21 + 1) +G20," ")," ")</f>
        <v>2.8518749999999999E-2</v>
      </c>
      <c r="H21" s="69">
        <f ca="1">IFERROR(IF(ISNUMBER(C21),'3. Veículos'!F2 * INDEX('2. Distâncias'!D2:D362,C20*19+C21 + 1) +I20," ")," ")</f>
        <v>0.27851874999999998</v>
      </c>
      <c r="I21" s="69">
        <f ca="1">IFERROR(IF(AND(C5&lt;&gt;C21,ISNUMBER(H21)),INDEX('1. Locais'!I2:I20,C21 + 1) + MAX(H21,INDEX('1. Locais'!F2:F20,C21 + 1))," ")," ")</f>
        <v>0.27851874999999998</v>
      </c>
      <c r="J21" s="68">
        <f ca="1">IFERROR(IF(AND(B21 = B5, B22 = ""), H21 - I5, I21 - I5)," ")</f>
        <v>2.8518749999999982E-2</v>
      </c>
      <c r="K21" s="66">
        <f ca="1">IFERROR(IF(ISNUMBER(C21),INDEX('1. Locais'!L2:L20,C21 + 1) + K20," ")," ")</f>
        <v>0</v>
      </c>
      <c r="L21" s="67">
        <f ca="1">IFERROR(IF(ISNUMBER(C21),INDEX('1. Locais'!J2:J20,C21 + 1)," ")," ")</f>
        <v>2</v>
      </c>
      <c r="M21" s="67">
        <f ca="1">IFERROR(IF(ISNUMBER(C21),INDEX('1. Locais'!K2:K20,C21 + 1)," ")," ")</f>
        <v>0</v>
      </c>
      <c r="N21" s="67">
        <f ca="1">IFERROR(IF(ISNUMBER(C21),IF(B21 = B5, 0, L21 + N20)," ")," ")</f>
        <v>32</v>
      </c>
      <c r="O21" s="67">
        <f ca="1">IFERROR(IF(ISNUMBER(C21),IF(B22 = B5, 0, IF(B22 = "", 0, O22 + M22))," ")," ")</f>
        <v>0</v>
      </c>
      <c r="P21" s="66">
        <f ca="1">IFERROR(IF(ISNUMBER(C21),N21 + O21," ")," ")</f>
        <v>32</v>
      </c>
    </row>
    <row r="22" spans="1:16" x14ac:dyDescent="0.25">
      <c r="A22" s="24">
        <v>17</v>
      </c>
      <c r="B22" s="65" t="s">
        <v>4006</v>
      </c>
      <c r="C22" s="66">
        <f ca="1">IFERROR(MATCH(INDIRECT("B22"),'1. Locais'!B2:B20, 0) - 1," ")</f>
        <v>4</v>
      </c>
      <c r="D22" s="66">
        <f ca="1">IFERROR(IF(ISNUMBER(C22),INDEX('1. Locais'!D2:D20,C22 + 1),NA()),NA())</f>
        <v>-10.178058500000001</v>
      </c>
      <c r="E22" s="66">
        <f ca="1">IFERROR(IF(ISNUMBER(C22),INDEX('1. Locais'!E2:E20,C22 + 1),NA()),NA())</f>
        <v>-48.310685599999999</v>
      </c>
      <c r="F22" s="67">
        <f ca="1">IFERROR(IF(ISNUMBER(C22),INDEX('2. Distâncias'!C2:C362,C21*19+C22+ 1) +F21," ")," ")</f>
        <v>41.811999999999998</v>
      </c>
      <c r="G22" s="68">
        <f ca="1">IFERROR(IF(ISNUMBER(C22),'3. Veículos'!F2 * INDEX('2. Distâncias'!D2:D362,C21*19+C22 + 1) +G21," ")," ")</f>
        <v>2.903611111111111E-2</v>
      </c>
      <c r="H22" s="69">
        <f ca="1">IFERROR(IF(ISNUMBER(C22),'3. Veículos'!F2 * INDEX('2. Distâncias'!D2:D362,C21*19+C22 + 1) +I21," ")," ")</f>
        <v>0.2790361111111111</v>
      </c>
      <c r="I22" s="69">
        <f ca="1">IFERROR(IF(AND(C5&lt;&gt;C22,ISNUMBER(H22)),INDEX('1. Locais'!I2:I20,C22 + 1) + MAX(H22,INDEX('1. Locais'!F2:F20,C22 + 1))," ")," ")</f>
        <v>0.2790361111111111</v>
      </c>
      <c r="J22" s="68">
        <f ca="1">IFERROR(IF(AND(B22 = B5, B23 = ""), H22 - I5, I22 - I5)," ")</f>
        <v>2.9036111111111096E-2</v>
      </c>
      <c r="K22" s="66">
        <f ca="1">IFERROR(IF(ISNUMBER(C22),INDEX('1. Locais'!L2:L20,C22 + 1) + K21," ")," ")</f>
        <v>0</v>
      </c>
      <c r="L22" s="67">
        <f ca="1">IFERROR(IF(ISNUMBER(C22),INDEX('1. Locais'!J2:J20,C22 + 1)," ")," ")</f>
        <v>2</v>
      </c>
      <c r="M22" s="67">
        <f ca="1">IFERROR(IF(ISNUMBER(C22),INDEX('1. Locais'!K2:K20,C22 + 1)," ")," ")</f>
        <v>0</v>
      </c>
      <c r="N22" s="67">
        <f ca="1">IFERROR(IF(ISNUMBER(C22),IF(B22 = B5, 0, L22 + N21)," ")," ")</f>
        <v>34</v>
      </c>
      <c r="O22" s="67">
        <f ca="1">IFERROR(IF(ISNUMBER(C22),IF(B23 = B5, 0, IF(B23 = "", 0, O23 + M23))," ")," ")</f>
        <v>0</v>
      </c>
      <c r="P22" s="66">
        <f ca="1">IFERROR(IF(ISNUMBER(C22),N22 + O22," ")," ")</f>
        <v>34</v>
      </c>
    </row>
    <row r="23" spans="1:16" x14ac:dyDescent="0.25">
      <c r="A23" s="24">
        <v>18</v>
      </c>
      <c r="B23" s="70" t="s">
        <v>4017</v>
      </c>
      <c r="C23" s="66">
        <f ca="1">IFERROR(MATCH(INDIRECT("B23"),'1. Locais'!B2:B20, 0) - 1," ")</f>
        <v>15</v>
      </c>
      <c r="D23" s="66">
        <f ca="1">IFERROR(IF(ISNUMBER(C23),INDEX('1. Locais'!D2:D20,C23 + 1),NA()),NA())</f>
        <v>-10.174674899999999</v>
      </c>
      <c r="E23" s="66">
        <f ca="1">IFERROR(IF(ISNUMBER(C23),INDEX('1. Locais'!E2:E20,C23 + 1),NA()),NA())</f>
        <v>-48.3076261</v>
      </c>
      <c r="F23" s="67">
        <f ca="1">IFERROR(IF(ISNUMBER(C23),INDEX('2. Distâncias'!C2:C362,C22*19+C23+ 1) +F22," ")," ")</f>
        <v>42.593999999999994</v>
      </c>
      <c r="G23" s="68">
        <f ca="1">IFERROR(IF(ISNUMBER(C23),'3. Veículos'!F2 * INDEX('2. Distâncias'!D2:D362,C22*19+C23 + 1) +G22," ")," ")</f>
        <v>2.9579166666666667E-2</v>
      </c>
      <c r="H23" s="69">
        <f ca="1">IFERROR(IF(ISNUMBER(C23),'3. Veículos'!F2 * INDEX('2. Distâncias'!D2:D362,C22*19+C23 + 1) +I22," ")," ")</f>
        <v>0.27957916666666666</v>
      </c>
      <c r="I23" s="69">
        <f ca="1">IFERROR(IF(AND(C5&lt;&gt;C23,ISNUMBER(H23)),INDEX('1. Locais'!I2:I20,C23 + 1) + MAX(H23,INDEX('1. Locais'!F2:F20,C23 + 1))," ")," ")</f>
        <v>0.27957916666666666</v>
      </c>
      <c r="J23" s="68">
        <f ca="1">IFERROR(IF(AND(B23 = B5, B24 = ""), H23 - I5, I23 - I5)," ")</f>
        <v>2.9579166666666656E-2</v>
      </c>
      <c r="K23" s="66">
        <f ca="1">IFERROR(IF(ISNUMBER(C23),INDEX('1. Locais'!L2:L20,C23 + 1) + K22," ")," ")</f>
        <v>0</v>
      </c>
      <c r="L23" s="67">
        <f ca="1">IFERROR(IF(ISNUMBER(C23),INDEX('1. Locais'!J2:J20,C23 + 1)," ")," ")</f>
        <v>4</v>
      </c>
      <c r="M23" s="67">
        <f ca="1">IFERROR(IF(ISNUMBER(C23),INDEX('1. Locais'!K2:K20,C23 + 1)," ")," ")</f>
        <v>0</v>
      </c>
      <c r="N23" s="67">
        <f ca="1">IFERROR(IF(ISNUMBER(C23),IF(B23 = B5, 0, L23 + N22)," ")," ")</f>
        <v>38</v>
      </c>
      <c r="O23" s="67">
        <f ca="1">IFERROR(IF(ISNUMBER(C23),IF(B24 = B5, 0, IF(B24 = "", 0, O24 + M24))," ")," ")</f>
        <v>0</v>
      </c>
      <c r="P23" s="66">
        <f ca="1">IFERROR(IF(ISNUMBER(C23),N23 + O23," ")," ")</f>
        <v>38</v>
      </c>
    </row>
    <row r="24" spans="1:16" x14ac:dyDescent="0.25">
      <c r="A24" s="23">
        <v>19</v>
      </c>
      <c r="B24" s="64" t="s">
        <v>4024</v>
      </c>
      <c r="C24" s="60">
        <f ca="1">IFERROR(MATCH(INDIRECT("B24"),'1. Locais'!B2:B20, 0) - 1," ")</f>
        <v>0</v>
      </c>
      <c r="D24" s="60">
        <f ca="1">IFERROR(IF(ISNUMBER(C24),INDEX('1. Locais'!D2:D20,C24 + 1),NA()),NA())</f>
        <v>-10.1652536</v>
      </c>
      <c r="E24" s="60">
        <f ca="1">IFERROR(IF(ISNUMBER(C24),INDEX('1. Locais'!E2:E20,C24 + 1),NA()),NA())</f>
        <v>-48.308237499999997</v>
      </c>
      <c r="F24" s="61">
        <f ca="1">IFERROR(IF(ISNUMBER(C24),INDEX('2. Distâncias'!C2:C362,C23*19+C24+ 1) +F23," ")," ")</f>
        <v>43.889999999999993</v>
      </c>
      <c r="G24" s="62">
        <f ca="1">IFERROR(IF(ISNUMBER(C24),'3. Veículos'!F2 * INDEX('2. Distâncias'!D2:D362,C23*19+C24 + 1) +G23," ")," ")</f>
        <v>3.0479166666666668E-2</v>
      </c>
      <c r="H24" s="63">
        <f ca="1">IFERROR(IF(ISNUMBER(C24),'3. Veículos'!F2 * INDEX('2. Distâncias'!D2:D362,C23*19+C24 + 1) +I23," ")," ")</f>
        <v>0.28047916666666667</v>
      </c>
      <c r="I24" s="63" t="str">
        <f ca="1">IFERROR(IF(AND(C5&lt;&gt;C24,ISNUMBER(H24)),INDEX('1. Locais'!I2:I20,C24 + 1) + MAX(H24,INDEX('1. Locais'!F2:F20,C24 + 1))," ")," ")</f>
        <v xml:space="preserve"> </v>
      </c>
      <c r="J24" s="62">
        <f ca="1">IFERROR(IF(AND(B24 = B5, B25 = ""), H24 - I5, I24 - I5)," ")</f>
        <v>3.0479166666666668E-2</v>
      </c>
      <c r="K24" s="60">
        <f ca="1">IFERROR(IF(ISNUMBER(C24),INDEX('1. Locais'!L2:L20,C24 + 1) + K23," ")," ")</f>
        <v>0</v>
      </c>
      <c r="L24" s="61">
        <f ca="1">IFERROR(IF(ISNUMBER(C24),INDEX('1. Locais'!J2:J20,C24 + 1)," ")," ")</f>
        <v>0</v>
      </c>
      <c r="M24" s="61">
        <f ca="1">IFERROR(IF(ISNUMBER(C24),INDEX('1. Locais'!K2:K20,C24 + 1)," ")," ")</f>
        <v>0</v>
      </c>
      <c r="N24" s="61">
        <f ca="1">IFERROR(IF(ISNUMBER(C24),IF(B24 = B5, 0, L24 + N23)," ")," ")</f>
        <v>0</v>
      </c>
      <c r="O24" s="61">
        <f ca="1">IFERROR(IF(ISNUMBER(C24),IF(B25 = B5, 0, IF(B25 = "", 0, O25 + M25))," ")," ")</f>
        <v>0</v>
      </c>
      <c r="P24" s="60">
        <f ca="1">IFERROR(IF(ISNUMBER(C24),N24 + O24," ")," ")</f>
        <v>0</v>
      </c>
    </row>
    <row r="26" spans="1:16" x14ac:dyDescent="0.25">
      <c r="A26" s="18" t="s">
        <v>1120</v>
      </c>
    </row>
  </sheetData>
  <conditionalFormatting sqref="F6:F24">
    <cfRule type="cellIs" dxfId="10" priority="4" stopIfTrue="1" operator="equal">
      <formula>" "</formula>
    </cfRule>
  </conditionalFormatting>
  <conditionalFormatting sqref="P6:P24">
    <cfRule type="cellIs" dxfId="8" priority="3" stopIfTrue="1" operator="equal">
      <formula>" "</formula>
    </cfRule>
  </conditionalFormatting>
  <conditionalFormatting sqref="P6:P24">
    <cfRule type="cellIs" dxfId="6" priority="66" stopIfTrue="1" operator="lessThan">
      <formula>0</formula>
    </cfRule>
  </conditionalFormatting>
  <conditionalFormatting sqref="G6:G24">
    <cfRule type="cellIs" dxfId="5" priority="2" stopIfTrue="1" operator="equal">
      <formula>" "</formula>
    </cfRule>
  </conditionalFormatting>
  <conditionalFormatting sqref="J6:J24">
    <cfRule type="cellIs" dxfId="3" priority="1" stopIfTrue="1" operator="equal">
      <formula>" "</formula>
    </cfRule>
  </conditionalFormatting>
  <conditionalFormatting sqref="I3">
    <cfRule type="expression" dxfId="1" priority="69" stopIfTrue="1">
      <formula>ISERROR(I3)</formula>
    </cfRule>
  </conditionalFormatting>
  <conditionalFormatting sqref="B1">
    <cfRule type="expression" dxfId="0" priority="70"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90BFD95F-6CC7-4643-BD4A-FBB2EFA1FB3E}">
            <xm:f>(60 * HOUR(H5) + MINUTE(H5)) &gt;(60 * HOUR(INDEX('1. Locais'!G2:G20,C5 + 1)) +MINUTE(INDEX('1. Locais'!G2:G20,C5 + 1)))</xm:f>
            <x14:dxf>
              <fill>
                <patternFill>
                  <bgColor indexed="10"/>
                </patternFill>
              </fill>
            </x14:dxf>
          </x14:cfRule>
          <xm:sqref>H5</xm:sqref>
        </x14:conditionalFormatting>
        <x14:conditionalFormatting xmlns:xm="http://schemas.microsoft.com/office/excel/2006/main">
          <x14:cfRule type="expression" priority="6" stopIfTrue="1" id="{6E5A1FA3-D3E6-4395-BB6F-BA01ECC9E457}">
            <xm:f>(60 * HOUR(I5) + MINUTE(I5)) &gt;(60 * HOUR(INDEX('1. Locais'!G2:G20,C5 + 1)) +MINUTE(INDEX('1. Locais'!G2:G20,C5 + 1)))</xm:f>
            <x14:dxf>
              <fill>
                <patternFill>
                  <bgColor indexed="10"/>
                </patternFill>
              </fill>
            </x14:dxf>
          </x14:cfRule>
          <xm:sqref>I5</xm:sqref>
        </x14:conditionalFormatting>
        <x14:conditionalFormatting xmlns:xm="http://schemas.microsoft.com/office/excel/2006/main">
          <x14:cfRule type="cellIs" priority="7" stopIfTrue="1" operator="lessThan" id="{884671EE-4123-4E46-89D1-1FB5E39B2842}">
            <xm:f>INDEX('1. Locais'!F2:F20,C6 + 1)</xm:f>
            <x14:dxf>
              <fill>
                <patternFill>
                  <bgColor indexed="52"/>
                </patternFill>
              </fill>
            </x14:dxf>
          </x14:cfRule>
          <x14:cfRule type="expression" priority="8" stopIfTrue="1" id="{4B19A2C2-E80A-4071-9BA4-06A018E30396}">
            <xm:f>(60 * HOUR(H6) + MINUTE(H6)) &gt;(60 * HOUR(INDEX('1. Locais'!G2:G20,C6 + 1)) +MINUTE(INDEX('1. Locais'!G2:G20,C6 + 1)))</xm:f>
            <x14:dxf>
              <fill>
                <patternFill>
                  <bgColor indexed="10"/>
                </patternFill>
              </fill>
            </x14:dxf>
          </x14:cfRule>
          <xm:sqref>H6</xm:sqref>
        </x14:conditionalFormatting>
        <x14:conditionalFormatting xmlns:xm="http://schemas.microsoft.com/office/excel/2006/main">
          <x14:cfRule type="expression" priority="9" stopIfTrue="1" id="{03FB358B-7D61-4CC0-89CB-B9BBFD1D7CE8}">
            <xm:f>(60 * HOUR(I6) + MINUTE(I6)) &gt;(60 * HOUR(INDEX('1. Locais'!G2:G20,C6 + 1)) +MINUTE(INDEX('1. Locais'!G2:G20,C6 + 1)))</xm:f>
            <x14:dxf>
              <fill>
                <patternFill>
                  <bgColor indexed="10"/>
                </patternFill>
              </fill>
            </x14:dxf>
          </x14:cfRule>
          <xm:sqref>I6</xm:sqref>
        </x14:conditionalFormatting>
        <x14:conditionalFormatting xmlns:xm="http://schemas.microsoft.com/office/excel/2006/main">
          <x14:cfRule type="cellIs" priority="10" stopIfTrue="1" operator="lessThan" id="{C32B36E8-9E6F-46AB-A2CA-17626ADD8E68}">
            <xm:f>INDEX('1. Locais'!F2:F20,C7 + 1)</xm:f>
            <x14:dxf>
              <fill>
                <patternFill>
                  <bgColor indexed="52"/>
                </patternFill>
              </fill>
            </x14:dxf>
          </x14:cfRule>
          <x14:cfRule type="expression" priority="11" stopIfTrue="1" id="{78FFAD27-81CD-499B-B9CF-5E5FFBE6AA19}">
            <xm:f>(60 * HOUR(H7) + MINUTE(H7)) &gt;(60 * HOUR(INDEX('1. Locais'!G2:G20,C7 + 1)) +MINUTE(INDEX('1. Locais'!G2:G20,C7 + 1)))</xm:f>
            <x14:dxf>
              <fill>
                <patternFill>
                  <bgColor indexed="10"/>
                </patternFill>
              </fill>
            </x14:dxf>
          </x14:cfRule>
          <xm:sqref>H7</xm:sqref>
        </x14:conditionalFormatting>
        <x14:conditionalFormatting xmlns:xm="http://schemas.microsoft.com/office/excel/2006/main">
          <x14:cfRule type="expression" priority="12" stopIfTrue="1" id="{7376CD96-91B0-4B89-916E-762836F54370}">
            <xm:f>(60 * HOUR(I7) + MINUTE(I7)) &gt;(60 * HOUR(INDEX('1. Locais'!G2:G20,C7 + 1)) +MINUTE(INDEX('1. Locais'!G2:G20,C7 + 1)))</xm:f>
            <x14:dxf>
              <fill>
                <patternFill>
                  <bgColor indexed="10"/>
                </patternFill>
              </fill>
            </x14:dxf>
          </x14:cfRule>
          <xm:sqref>I7</xm:sqref>
        </x14:conditionalFormatting>
        <x14:conditionalFormatting xmlns:xm="http://schemas.microsoft.com/office/excel/2006/main">
          <x14:cfRule type="cellIs" priority="13" stopIfTrue="1" operator="lessThan" id="{BB51696E-1786-4C4E-A5B2-D987F5367664}">
            <xm:f>INDEX('1. Locais'!F2:F20,C8 + 1)</xm:f>
            <x14:dxf>
              <fill>
                <patternFill>
                  <bgColor indexed="52"/>
                </patternFill>
              </fill>
            </x14:dxf>
          </x14:cfRule>
          <x14:cfRule type="expression" priority="14" stopIfTrue="1" id="{0D8E7E80-8602-4252-9B61-64378DFA7022}">
            <xm:f>(60 * HOUR(H8) + MINUTE(H8)) &gt;(60 * HOUR(INDEX('1. Locais'!G2:G20,C8 + 1)) +MINUTE(INDEX('1. Locais'!G2:G20,C8 + 1)))</xm:f>
            <x14:dxf>
              <fill>
                <patternFill>
                  <bgColor indexed="10"/>
                </patternFill>
              </fill>
            </x14:dxf>
          </x14:cfRule>
          <xm:sqref>H8</xm:sqref>
        </x14:conditionalFormatting>
        <x14:conditionalFormatting xmlns:xm="http://schemas.microsoft.com/office/excel/2006/main">
          <x14:cfRule type="expression" priority="15" stopIfTrue="1" id="{1DC177FE-F40E-4998-A073-8464BA66623D}">
            <xm:f>(60 * HOUR(I8) + MINUTE(I8)) &gt;(60 * HOUR(INDEX('1. Locais'!G2:G20,C8 + 1)) +MINUTE(INDEX('1. Locais'!G2:G20,C8 + 1)))</xm:f>
            <x14:dxf>
              <fill>
                <patternFill>
                  <bgColor indexed="10"/>
                </patternFill>
              </fill>
            </x14:dxf>
          </x14:cfRule>
          <xm:sqref>I8</xm:sqref>
        </x14:conditionalFormatting>
        <x14:conditionalFormatting xmlns:xm="http://schemas.microsoft.com/office/excel/2006/main">
          <x14:cfRule type="cellIs" priority="16" stopIfTrue="1" operator="lessThan" id="{2F9AC1C2-155C-4E18-8509-E1129ADE9732}">
            <xm:f>INDEX('1. Locais'!F2:F20,C9 + 1)</xm:f>
            <x14:dxf>
              <fill>
                <patternFill>
                  <bgColor indexed="52"/>
                </patternFill>
              </fill>
            </x14:dxf>
          </x14:cfRule>
          <x14:cfRule type="expression" priority="17" stopIfTrue="1" id="{0A5577AB-CB97-47E0-A5C9-A28C55D16406}">
            <xm:f>(60 * HOUR(H9) + MINUTE(H9)) &gt;(60 * HOUR(INDEX('1. Locais'!G2:G20,C9 + 1)) +MINUTE(INDEX('1. Locais'!G2:G20,C9 + 1)))</xm:f>
            <x14:dxf>
              <fill>
                <patternFill>
                  <bgColor indexed="10"/>
                </patternFill>
              </fill>
            </x14:dxf>
          </x14:cfRule>
          <xm:sqref>H9</xm:sqref>
        </x14:conditionalFormatting>
        <x14:conditionalFormatting xmlns:xm="http://schemas.microsoft.com/office/excel/2006/main">
          <x14:cfRule type="expression" priority="18" stopIfTrue="1" id="{FFCD8796-1F4D-4829-90A3-958143F6401B}">
            <xm:f>(60 * HOUR(I9) + MINUTE(I9)) &gt;(60 * HOUR(INDEX('1. Locais'!G2:G20,C9 + 1)) +MINUTE(INDEX('1. Locais'!G2:G20,C9 + 1)))</xm:f>
            <x14:dxf>
              <fill>
                <patternFill>
                  <bgColor indexed="10"/>
                </patternFill>
              </fill>
            </x14:dxf>
          </x14:cfRule>
          <xm:sqref>I9</xm:sqref>
        </x14:conditionalFormatting>
        <x14:conditionalFormatting xmlns:xm="http://schemas.microsoft.com/office/excel/2006/main">
          <x14:cfRule type="cellIs" priority="19" stopIfTrue="1" operator="lessThan" id="{6511829B-94DD-47D8-8EA4-7AC3B03E7250}">
            <xm:f>INDEX('1. Locais'!F2:F20,C10 + 1)</xm:f>
            <x14:dxf>
              <fill>
                <patternFill>
                  <bgColor indexed="52"/>
                </patternFill>
              </fill>
            </x14:dxf>
          </x14:cfRule>
          <x14:cfRule type="expression" priority="20" stopIfTrue="1" id="{C3B5673B-60C5-4428-8FAC-5226B0050BFC}">
            <xm:f>(60 * HOUR(H10) + MINUTE(H10)) &gt;(60 * HOUR(INDEX('1. Locais'!G2:G20,C10 + 1)) +MINUTE(INDEX('1. Locais'!G2:G20,C10 + 1)))</xm:f>
            <x14:dxf>
              <fill>
                <patternFill>
                  <bgColor indexed="10"/>
                </patternFill>
              </fill>
            </x14:dxf>
          </x14:cfRule>
          <xm:sqref>H10</xm:sqref>
        </x14:conditionalFormatting>
        <x14:conditionalFormatting xmlns:xm="http://schemas.microsoft.com/office/excel/2006/main">
          <x14:cfRule type="expression" priority="21" stopIfTrue="1" id="{9CDA2AD4-1831-4810-B39A-F37169CC1BE6}">
            <xm:f>(60 * HOUR(I10) + MINUTE(I10)) &gt;(60 * HOUR(INDEX('1. Locais'!G2:G20,C10 + 1)) +MINUTE(INDEX('1. Locais'!G2:G20,C10 + 1)))</xm:f>
            <x14:dxf>
              <fill>
                <patternFill>
                  <bgColor indexed="10"/>
                </patternFill>
              </fill>
            </x14:dxf>
          </x14:cfRule>
          <xm:sqref>I10</xm:sqref>
        </x14:conditionalFormatting>
        <x14:conditionalFormatting xmlns:xm="http://schemas.microsoft.com/office/excel/2006/main">
          <x14:cfRule type="cellIs" priority="22" stopIfTrue="1" operator="lessThan" id="{80955C8B-EC99-4BDF-AA98-B27D463E9F90}">
            <xm:f>INDEX('1. Locais'!F2:F20,C11 + 1)</xm:f>
            <x14:dxf>
              <fill>
                <patternFill>
                  <bgColor indexed="52"/>
                </patternFill>
              </fill>
            </x14:dxf>
          </x14:cfRule>
          <x14:cfRule type="expression" priority="23" stopIfTrue="1" id="{D5D6378D-64F5-435A-B9AA-58981FCE6571}">
            <xm:f>(60 * HOUR(H11) + MINUTE(H11)) &gt;(60 * HOUR(INDEX('1. Locais'!G2:G20,C11 + 1)) +MINUTE(INDEX('1. Locais'!G2:G20,C11 + 1)))</xm:f>
            <x14:dxf>
              <fill>
                <patternFill>
                  <bgColor indexed="10"/>
                </patternFill>
              </fill>
            </x14:dxf>
          </x14:cfRule>
          <xm:sqref>H11</xm:sqref>
        </x14:conditionalFormatting>
        <x14:conditionalFormatting xmlns:xm="http://schemas.microsoft.com/office/excel/2006/main">
          <x14:cfRule type="expression" priority="24" stopIfTrue="1" id="{60169E15-6CEE-469D-BB3B-3E09D72AEC8F}">
            <xm:f>(60 * HOUR(I11) + MINUTE(I11)) &gt;(60 * HOUR(INDEX('1. Locais'!G2:G20,C11 + 1)) +MINUTE(INDEX('1. Locais'!G2:G20,C11 + 1)))</xm:f>
            <x14:dxf>
              <fill>
                <patternFill>
                  <bgColor indexed="10"/>
                </patternFill>
              </fill>
            </x14:dxf>
          </x14:cfRule>
          <xm:sqref>I11</xm:sqref>
        </x14:conditionalFormatting>
        <x14:conditionalFormatting xmlns:xm="http://schemas.microsoft.com/office/excel/2006/main">
          <x14:cfRule type="cellIs" priority="25" stopIfTrue="1" operator="lessThan" id="{F3584ECC-4F97-498B-B53D-4664F39BC809}">
            <xm:f>INDEX('1. Locais'!F2:F20,C12 + 1)</xm:f>
            <x14:dxf>
              <fill>
                <patternFill>
                  <bgColor indexed="52"/>
                </patternFill>
              </fill>
            </x14:dxf>
          </x14:cfRule>
          <x14:cfRule type="expression" priority="26" stopIfTrue="1" id="{6B2501BC-3DA5-4F3D-895A-A1F5512112A0}">
            <xm:f>(60 * HOUR(H12) + MINUTE(H12)) &gt;(60 * HOUR(INDEX('1. Locais'!G2:G20,C12 + 1)) +MINUTE(INDEX('1. Locais'!G2:G20,C12 + 1)))</xm:f>
            <x14:dxf>
              <fill>
                <patternFill>
                  <bgColor indexed="10"/>
                </patternFill>
              </fill>
            </x14:dxf>
          </x14:cfRule>
          <xm:sqref>H12</xm:sqref>
        </x14:conditionalFormatting>
        <x14:conditionalFormatting xmlns:xm="http://schemas.microsoft.com/office/excel/2006/main">
          <x14:cfRule type="expression" priority="27" stopIfTrue="1" id="{0B3BB37C-7C13-4983-A1E9-998EC57D8E39}">
            <xm:f>(60 * HOUR(I12) + MINUTE(I12)) &gt;(60 * HOUR(INDEX('1. Locais'!G2:G20,C12 + 1)) +MINUTE(INDEX('1. Locais'!G2:G20,C12 + 1)))</xm:f>
            <x14:dxf>
              <fill>
                <patternFill>
                  <bgColor indexed="10"/>
                </patternFill>
              </fill>
            </x14:dxf>
          </x14:cfRule>
          <xm:sqref>I12</xm:sqref>
        </x14:conditionalFormatting>
        <x14:conditionalFormatting xmlns:xm="http://schemas.microsoft.com/office/excel/2006/main">
          <x14:cfRule type="cellIs" priority="28" stopIfTrue="1" operator="lessThan" id="{B3D5FFB6-10C9-476B-8CD1-7F667A5012FB}">
            <xm:f>INDEX('1. Locais'!F2:F20,C13 + 1)</xm:f>
            <x14:dxf>
              <fill>
                <patternFill>
                  <bgColor indexed="52"/>
                </patternFill>
              </fill>
            </x14:dxf>
          </x14:cfRule>
          <x14:cfRule type="expression" priority="29" stopIfTrue="1" id="{88C03DE8-0EBD-4447-A05B-E4DCEDEE8656}">
            <xm:f>(60 * HOUR(H13) + MINUTE(H13)) &gt;(60 * HOUR(INDEX('1. Locais'!G2:G20,C13 + 1)) +MINUTE(INDEX('1. Locais'!G2:G20,C13 + 1)))</xm:f>
            <x14:dxf>
              <fill>
                <patternFill>
                  <bgColor indexed="10"/>
                </patternFill>
              </fill>
            </x14:dxf>
          </x14:cfRule>
          <xm:sqref>H13</xm:sqref>
        </x14:conditionalFormatting>
        <x14:conditionalFormatting xmlns:xm="http://schemas.microsoft.com/office/excel/2006/main">
          <x14:cfRule type="expression" priority="30" stopIfTrue="1" id="{8DDA3F5A-831F-40B5-9C7B-2212884DFE8D}">
            <xm:f>(60 * HOUR(I13) + MINUTE(I13)) &gt;(60 * HOUR(INDEX('1. Locais'!G2:G20,C13 + 1)) +MINUTE(INDEX('1. Locais'!G2:G20,C13 + 1)))</xm:f>
            <x14:dxf>
              <fill>
                <patternFill>
                  <bgColor indexed="10"/>
                </patternFill>
              </fill>
            </x14:dxf>
          </x14:cfRule>
          <xm:sqref>I13</xm:sqref>
        </x14:conditionalFormatting>
        <x14:conditionalFormatting xmlns:xm="http://schemas.microsoft.com/office/excel/2006/main">
          <x14:cfRule type="cellIs" priority="31" stopIfTrue="1" operator="lessThan" id="{A31221F7-A00D-4B16-BC6D-69C480D1564B}">
            <xm:f>INDEX('1. Locais'!F2:F20,C14 + 1)</xm:f>
            <x14:dxf>
              <fill>
                <patternFill>
                  <bgColor indexed="52"/>
                </patternFill>
              </fill>
            </x14:dxf>
          </x14:cfRule>
          <x14:cfRule type="expression" priority="32" stopIfTrue="1" id="{71996CF8-E41C-4842-9F0B-395E351C671C}">
            <xm:f>(60 * HOUR(H14) + MINUTE(H14)) &gt;(60 * HOUR(INDEX('1. Locais'!G2:G20,C14 + 1)) +MINUTE(INDEX('1. Locais'!G2:G20,C14 + 1)))</xm:f>
            <x14:dxf>
              <fill>
                <patternFill>
                  <bgColor indexed="10"/>
                </patternFill>
              </fill>
            </x14:dxf>
          </x14:cfRule>
          <xm:sqref>H14</xm:sqref>
        </x14:conditionalFormatting>
        <x14:conditionalFormatting xmlns:xm="http://schemas.microsoft.com/office/excel/2006/main">
          <x14:cfRule type="expression" priority="33" stopIfTrue="1" id="{82FF6962-AB62-4993-ADF2-BEB3C4D6A2D9}">
            <xm:f>(60 * HOUR(I14) + MINUTE(I14)) &gt;(60 * HOUR(INDEX('1. Locais'!G2:G20,C14 + 1)) +MINUTE(INDEX('1. Locais'!G2:G20,C14 + 1)))</xm:f>
            <x14:dxf>
              <fill>
                <patternFill>
                  <bgColor indexed="10"/>
                </patternFill>
              </fill>
            </x14:dxf>
          </x14:cfRule>
          <xm:sqref>I14</xm:sqref>
        </x14:conditionalFormatting>
        <x14:conditionalFormatting xmlns:xm="http://schemas.microsoft.com/office/excel/2006/main">
          <x14:cfRule type="cellIs" priority="34" stopIfTrue="1" operator="lessThan" id="{EF914B60-0F13-407A-A0FC-48B3A2BA64D5}">
            <xm:f>INDEX('1. Locais'!F2:F20,C15 + 1)</xm:f>
            <x14:dxf>
              <fill>
                <patternFill>
                  <bgColor indexed="52"/>
                </patternFill>
              </fill>
            </x14:dxf>
          </x14:cfRule>
          <xm:sqref>H15</xm:sqref>
        </x14:conditionalFormatting>
        <x14:conditionalFormatting xmlns:xm="http://schemas.microsoft.com/office/excel/2006/main">
          <x14:cfRule type="expression" priority="35" stopIfTrue="1" id="{99539AD5-FE42-428D-A66F-4DA6B6281736}">
            <xm:f>(60 * HOUR(H15) + MINUTE(H15)) &gt;(60 * HOUR(INDEX('1. Locais'!G2:G20,C15 + 1)) +MINUTE(INDEX('1. Locais'!G2:G20,C15 + 1)))</xm:f>
            <x14:dxf>
              <fill>
                <patternFill>
                  <bgColor indexed="10"/>
                </patternFill>
              </fill>
            </x14:dxf>
          </x14:cfRule>
          <xm:sqref>H15</xm:sqref>
        </x14:conditionalFormatting>
        <x14:conditionalFormatting xmlns:xm="http://schemas.microsoft.com/office/excel/2006/main">
          <x14:cfRule type="expression" priority="36" stopIfTrue="1" id="{FEF86F24-6E47-4C79-91E8-B39139CB3A24}">
            <xm:f>(60 * HOUR(I15) + MINUTE(I15)) &gt;(60 * HOUR(INDEX('1. Locais'!G2:G20,C15 + 1)) +MINUTE(INDEX('1. Locais'!G2:G20,C15 + 1)))</xm:f>
            <x14:dxf>
              <fill>
                <patternFill>
                  <bgColor indexed="10"/>
                </patternFill>
              </fill>
            </x14:dxf>
          </x14:cfRule>
          <xm:sqref>I15</xm:sqref>
        </x14:conditionalFormatting>
        <x14:conditionalFormatting xmlns:xm="http://schemas.microsoft.com/office/excel/2006/main">
          <x14:cfRule type="cellIs" priority="37" stopIfTrue="1" operator="lessThan" id="{A47469EB-406F-4BD9-9C08-13966CAA3D48}">
            <xm:f>INDEX('1. Locais'!F2:F20,C16 + 1)</xm:f>
            <x14:dxf>
              <fill>
                <patternFill>
                  <bgColor indexed="52"/>
                </patternFill>
              </fill>
            </x14:dxf>
          </x14:cfRule>
          <xm:sqref>H16</xm:sqref>
        </x14:conditionalFormatting>
        <x14:conditionalFormatting xmlns:xm="http://schemas.microsoft.com/office/excel/2006/main">
          <x14:cfRule type="expression" priority="38" stopIfTrue="1" id="{43355358-0068-4FE2-918D-B4D4E22B4076}">
            <xm:f>(60 * HOUR(H16) + MINUTE(H16)) &gt;(60 * HOUR(INDEX('1. Locais'!G2:G20,C16 + 1)) +MINUTE(INDEX('1. Locais'!G2:G20,C16 + 1)))</xm:f>
            <x14:dxf>
              <fill>
                <patternFill>
                  <bgColor indexed="10"/>
                </patternFill>
              </fill>
            </x14:dxf>
          </x14:cfRule>
          <xm:sqref>H16</xm:sqref>
        </x14:conditionalFormatting>
        <x14:conditionalFormatting xmlns:xm="http://schemas.microsoft.com/office/excel/2006/main">
          <x14:cfRule type="expression" priority="39" stopIfTrue="1" id="{B11969D5-D4E9-4AB7-8535-692D8E902C4A}">
            <xm:f>(60 * HOUR(I16) + MINUTE(I16)) &gt;(60 * HOUR(INDEX('1. Locais'!G2:G20,C16 + 1)) +MINUTE(INDEX('1. Locais'!G2:G20,C16 + 1)))</xm:f>
            <x14:dxf>
              <fill>
                <patternFill>
                  <bgColor indexed="10"/>
                </patternFill>
              </fill>
            </x14:dxf>
          </x14:cfRule>
          <xm:sqref>I16</xm:sqref>
        </x14:conditionalFormatting>
        <x14:conditionalFormatting xmlns:xm="http://schemas.microsoft.com/office/excel/2006/main">
          <x14:cfRule type="cellIs" priority="40" stopIfTrue="1" operator="lessThan" id="{8D90AD5A-C225-41A6-8646-D0B161641D8E}">
            <xm:f>INDEX('1. Locais'!F2:F20,C17 + 1)</xm:f>
            <x14:dxf>
              <fill>
                <patternFill>
                  <bgColor indexed="52"/>
                </patternFill>
              </fill>
            </x14:dxf>
          </x14:cfRule>
          <xm:sqref>H17</xm:sqref>
        </x14:conditionalFormatting>
        <x14:conditionalFormatting xmlns:xm="http://schemas.microsoft.com/office/excel/2006/main">
          <x14:cfRule type="expression" priority="41" stopIfTrue="1" id="{BF566FC9-2F47-4084-B496-A7F0AA32377E}">
            <xm:f>(60 * HOUR(H17) + MINUTE(H17)) &gt;(60 * HOUR(INDEX('1. Locais'!G2:G20,C17 + 1)) +MINUTE(INDEX('1. Locais'!G2:G20,C17 + 1)))</xm:f>
            <x14:dxf>
              <fill>
                <patternFill>
                  <bgColor indexed="10"/>
                </patternFill>
              </fill>
            </x14:dxf>
          </x14:cfRule>
          <xm:sqref>H17</xm:sqref>
        </x14:conditionalFormatting>
        <x14:conditionalFormatting xmlns:xm="http://schemas.microsoft.com/office/excel/2006/main">
          <x14:cfRule type="expression" priority="42" stopIfTrue="1" id="{9BBABA7A-B442-49B5-8E7D-A4B7DA9A7488}">
            <xm:f>(60 * HOUR(I17) + MINUTE(I17)) &gt;(60 * HOUR(INDEX('1. Locais'!G2:G20,C17 + 1)) +MINUTE(INDEX('1. Locais'!G2:G20,C17 + 1)))</xm:f>
            <x14:dxf>
              <fill>
                <patternFill>
                  <bgColor indexed="10"/>
                </patternFill>
              </fill>
            </x14:dxf>
          </x14:cfRule>
          <xm:sqref>I17</xm:sqref>
        </x14:conditionalFormatting>
        <x14:conditionalFormatting xmlns:xm="http://schemas.microsoft.com/office/excel/2006/main">
          <x14:cfRule type="cellIs" priority="43" stopIfTrue="1" operator="lessThan" id="{BDBDDCDF-91C3-4418-BD97-04B96A1C5CF0}">
            <xm:f>INDEX('1. Locais'!F2:F20,C18 + 1)</xm:f>
            <x14:dxf>
              <fill>
                <patternFill>
                  <bgColor indexed="52"/>
                </patternFill>
              </fill>
            </x14:dxf>
          </x14:cfRule>
          <xm:sqref>H18</xm:sqref>
        </x14:conditionalFormatting>
        <x14:conditionalFormatting xmlns:xm="http://schemas.microsoft.com/office/excel/2006/main">
          <x14:cfRule type="expression" priority="44" stopIfTrue="1" id="{C5F6BAB0-B1E3-43DA-A720-B25D41162775}">
            <xm:f>(60 * HOUR(H18) + MINUTE(H18)) &gt;(60 * HOUR(INDEX('1. Locais'!G2:G20,C18 + 1)) +MINUTE(INDEX('1. Locais'!G2:G20,C18 + 1)))</xm:f>
            <x14:dxf>
              <fill>
                <patternFill>
                  <bgColor indexed="10"/>
                </patternFill>
              </fill>
            </x14:dxf>
          </x14:cfRule>
          <xm:sqref>H18</xm:sqref>
        </x14:conditionalFormatting>
        <x14:conditionalFormatting xmlns:xm="http://schemas.microsoft.com/office/excel/2006/main">
          <x14:cfRule type="expression" priority="45" stopIfTrue="1" id="{4FFED7C6-D127-4120-99C4-FA648591B2C5}">
            <xm:f>(60 * HOUR(I18) + MINUTE(I18)) &gt;(60 * HOUR(INDEX('1. Locais'!G2:G20,C18 + 1)) +MINUTE(INDEX('1. Locais'!G2:G20,C18 + 1)))</xm:f>
            <x14:dxf>
              <fill>
                <patternFill>
                  <bgColor indexed="10"/>
                </patternFill>
              </fill>
            </x14:dxf>
          </x14:cfRule>
          <xm:sqref>I18</xm:sqref>
        </x14:conditionalFormatting>
        <x14:conditionalFormatting xmlns:xm="http://schemas.microsoft.com/office/excel/2006/main">
          <x14:cfRule type="cellIs" priority="46" stopIfTrue="1" operator="lessThan" id="{ADCD37DC-322F-4CA8-B3AE-06859D496F5F}">
            <xm:f>INDEX('1. Locais'!F2:F20,C19 + 1)</xm:f>
            <x14:dxf>
              <fill>
                <patternFill>
                  <bgColor indexed="52"/>
                </patternFill>
              </fill>
            </x14:dxf>
          </x14:cfRule>
          <xm:sqref>H19</xm:sqref>
        </x14:conditionalFormatting>
        <x14:conditionalFormatting xmlns:xm="http://schemas.microsoft.com/office/excel/2006/main">
          <x14:cfRule type="expression" priority="47" stopIfTrue="1" id="{EE00C7FD-7812-4973-85C1-3B43A3A81AEA}">
            <xm:f>(60 * HOUR(H19) + MINUTE(H19)) &gt;(60 * HOUR(INDEX('1. Locais'!G2:G20,C19 + 1)) +MINUTE(INDEX('1. Locais'!G2:G20,C19 + 1)))</xm:f>
            <x14:dxf>
              <fill>
                <patternFill>
                  <bgColor indexed="10"/>
                </patternFill>
              </fill>
            </x14:dxf>
          </x14:cfRule>
          <xm:sqref>H19</xm:sqref>
        </x14:conditionalFormatting>
        <x14:conditionalFormatting xmlns:xm="http://schemas.microsoft.com/office/excel/2006/main">
          <x14:cfRule type="expression" priority="48" stopIfTrue="1" id="{C2C59EF1-B941-4CDD-B7E0-BD922ED56BF3}">
            <xm:f>(60 * HOUR(I19) + MINUTE(I19)) &gt;(60 * HOUR(INDEX('1. Locais'!G2:G20,C19 + 1)) +MINUTE(INDEX('1. Locais'!G2:G20,C19 + 1)))</xm:f>
            <x14:dxf>
              <fill>
                <patternFill>
                  <bgColor indexed="10"/>
                </patternFill>
              </fill>
            </x14:dxf>
          </x14:cfRule>
          <xm:sqref>I19</xm:sqref>
        </x14:conditionalFormatting>
        <x14:conditionalFormatting xmlns:xm="http://schemas.microsoft.com/office/excel/2006/main">
          <x14:cfRule type="cellIs" priority="49" stopIfTrue="1" operator="lessThan" id="{CE3BBA24-EA97-4355-9F44-02FCCFB903F9}">
            <xm:f>INDEX('1. Locais'!F2:F20,C20 + 1)</xm:f>
            <x14:dxf>
              <fill>
                <patternFill>
                  <bgColor indexed="52"/>
                </patternFill>
              </fill>
            </x14:dxf>
          </x14:cfRule>
          <xm:sqref>H20</xm:sqref>
        </x14:conditionalFormatting>
        <x14:conditionalFormatting xmlns:xm="http://schemas.microsoft.com/office/excel/2006/main">
          <x14:cfRule type="expression" priority="50" stopIfTrue="1" id="{AD6DF166-326F-4A4C-8899-6F3D3D024243}">
            <xm:f>(60 * HOUR(H20) + MINUTE(H20)) &gt;(60 * HOUR(INDEX('1. Locais'!G2:G20,C20 + 1)) +MINUTE(INDEX('1. Locais'!G2:G20,C20 + 1)))</xm:f>
            <x14:dxf>
              <fill>
                <patternFill>
                  <bgColor indexed="10"/>
                </patternFill>
              </fill>
            </x14:dxf>
          </x14:cfRule>
          <xm:sqref>H20</xm:sqref>
        </x14:conditionalFormatting>
        <x14:conditionalFormatting xmlns:xm="http://schemas.microsoft.com/office/excel/2006/main">
          <x14:cfRule type="expression" priority="51" stopIfTrue="1" id="{A8E7F97A-6A79-4A83-8396-D472DF126F30}">
            <xm:f>(60 * HOUR(I20) + MINUTE(I20)) &gt;(60 * HOUR(INDEX('1. Locais'!G2:G20,C20 + 1)) +MINUTE(INDEX('1. Locais'!G2:G20,C20 + 1)))</xm:f>
            <x14:dxf>
              <fill>
                <patternFill>
                  <bgColor indexed="10"/>
                </patternFill>
              </fill>
            </x14:dxf>
          </x14:cfRule>
          <xm:sqref>I20</xm:sqref>
        </x14:conditionalFormatting>
        <x14:conditionalFormatting xmlns:xm="http://schemas.microsoft.com/office/excel/2006/main">
          <x14:cfRule type="cellIs" priority="52" stopIfTrue="1" operator="lessThan" id="{30D21C23-499C-41BC-9716-1172B2F67440}">
            <xm:f>INDEX('1. Locais'!F2:F20,C21 + 1)</xm:f>
            <x14:dxf>
              <fill>
                <patternFill>
                  <bgColor indexed="52"/>
                </patternFill>
              </fill>
            </x14:dxf>
          </x14:cfRule>
          <xm:sqref>H21</xm:sqref>
        </x14:conditionalFormatting>
        <x14:conditionalFormatting xmlns:xm="http://schemas.microsoft.com/office/excel/2006/main">
          <x14:cfRule type="expression" priority="53" stopIfTrue="1" id="{F587F86A-FD7B-4EF4-85C7-E11FEBC228EC}">
            <xm:f>(60 * HOUR(H21) + MINUTE(H21)) &gt;(60 * HOUR(INDEX('1. Locais'!G2:G20,C21 + 1)) +MINUTE(INDEX('1. Locais'!G2:G20,C21 + 1)))</xm:f>
            <x14:dxf>
              <fill>
                <patternFill>
                  <bgColor indexed="10"/>
                </patternFill>
              </fill>
            </x14:dxf>
          </x14:cfRule>
          <xm:sqref>H21</xm:sqref>
        </x14:conditionalFormatting>
        <x14:conditionalFormatting xmlns:xm="http://schemas.microsoft.com/office/excel/2006/main">
          <x14:cfRule type="expression" priority="54" stopIfTrue="1" id="{CA09CA90-B2A6-42C4-9C13-CA2683961F2E}">
            <xm:f>(60 * HOUR(I21) + MINUTE(I21)) &gt;(60 * HOUR(INDEX('1. Locais'!G2:G20,C21 + 1)) +MINUTE(INDEX('1. Locais'!G2:G20,C21 + 1)))</xm:f>
            <x14:dxf>
              <fill>
                <patternFill>
                  <bgColor indexed="10"/>
                </patternFill>
              </fill>
            </x14:dxf>
          </x14:cfRule>
          <xm:sqref>I21</xm:sqref>
        </x14:conditionalFormatting>
        <x14:conditionalFormatting xmlns:xm="http://schemas.microsoft.com/office/excel/2006/main">
          <x14:cfRule type="cellIs" priority="55" stopIfTrue="1" operator="lessThan" id="{4B76FBCB-31B4-47E5-AA66-BF969FD776A0}">
            <xm:f>INDEX('1. Locais'!F2:F20,C22 + 1)</xm:f>
            <x14:dxf>
              <fill>
                <patternFill>
                  <bgColor indexed="52"/>
                </patternFill>
              </fill>
            </x14:dxf>
          </x14:cfRule>
          <xm:sqref>H22</xm:sqref>
        </x14:conditionalFormatting>
        <x14:conditionalFormatting xmlns:xm="http://schemas.microsoft.com/office/excel/2006/main">
          <x14:cfRule type="expression" priority="56" stopIfTrue="1" id="{A17F1465-72B3-4402-A251-B1F50244638A}">
            <xm:f>(60 * HOUR(H22) + MINUTE(H22)) &gt;(60 * HOUR(INDEX('1. Locais'!G2:G20,C22 + 1)) +MINUTE(INDEX('1. Locais'!G2:G20,C22 + 1)))</xm:f>
            <x14:dxf>
              <fill>
                <patternFill>
                  <bgColor indexed="10"/>
                </patternFill>
              </fill>
            </x14:dxf>
          </x14:cfRule>
          <xm:sqref>H22</xm:sqref>
        </x14:conditionalFormatting>
        <x14:conditionalFormatting xmlns:xm="http://schemas.microsoft.com/office/excel/2006/main">
          <x14:cfRule type="expression" priority="57" stopIfTrue="1" id="{67599EF7-9C14-480B-858F-4C4CC9F5E2DB}">
            <xm:f>(60 * HOUR(I22) + MINUTE(I22)) &gt;(60 * HOUR(INDEX('1. Locais'!G2:G20,C22 + 1)) +MINUTE(INDEX('1. Locais'!G2:G20,C22 + 1)))</xm:f>
            <x14:dxf>
              <fill>
                <patternFill>
                  <bgColor indexed="10"/>
                </patternFill>
              </fill>
            </x14:dxf>
          </x14:cfRule>
          <xm:sqref>I22</xm:sqref>
        </x14:conditionalFormatting>
        <x14:conditionalFormatting xmlns:xm="http://schemas.microsoft.com/office/excel/2006/main">
          <x14:cfRule type="cellIs" priority="58" stopIfTrue="1" operator="lessThan" id="{EAB8E048-D8BD-476B-BDBA-E23CC252AE42}">
            <xm:f>INDEX('1. Locais'!F2:F20,C23 + 1)</xm:f>
            <x14:dxf>
              <fill>
                <patternFill>
                  <bgColor indexed="52"/>
                </patternFill>
              </fill>
            </x14:dxf>
          </x14:cfRule>
          <xm:sqref>H23</xm:sqref>
        </x14:conditionalFormatting>
        <x14:conditionalFormatting xmlns:xm="http://schemas.microsoft.com/office/excel/2006/main">
          <x14:cfRule type="expression" priority="59" stopIfTrue="1" id="{5880CB4D-55F2-4EE5-A631-F43590971F2A}">
            <xm:f>(60 * HOUR(H23) + MINUTE(H23)) &gt;(60 * HOUR(INDEX('1. Locais'!G2:G20,C23 + 1)) +MINUTE(INDEX('1. Locais'!G2:G20,C23 + 1)))</xm:f>
            <x14:dxf>
              <fill>
                <patternFill>
                  <bgColor indexed="10"/>
                </patternFill>
              </fill>
            </x14:dxf>
          </x14:cfRule>
          <xm:sqref>H23</xm:sqref>
        </x14:conditionalFormatting>
        <x14:conditionalFormatting xmlns:xm="http://schemas.microsoft.com/office/excel/2006/main">
          <x14:cfRule type="expression" priority="60" stopIfTrue="1" id="{E41A1CBA-934D-4882-A106-2AC05C7849C3}">
            <xm:f>(60 * HOUR(I23) + MINUTE(I23)) &gt;(60 * HOUR(INDEX('1. Locais'!G2:G20,C23 + 1)) +MINUTE(INDEX('1. Locais'!G2:G20,C23 + 1)))</xm:f>
            <x14:dxf>
              <fill>
                <patternFill>
                  <bgColor indexed="10"/>
                </patternFill>
              </fill>
            </x14:dxf>
          </x14:cfRule>
          <xm:sqref>I23</xm:sqref>
        </x14:conditionalFormatting>
        <x14:conditionalFormatting xmlns:xm="http://schemas.microsoft.com/office/excel/2006/main">
          <x14:cfRule type="cellIs" priority="61" stopIfTrue="1" operator="lessThan" id="{AB8E66C1-441A-4859-920C-8861C0271AAA}">
            <xm:f>INDEX('1. Locais'!F2:F20,C24 + 1)</xm:f>
            <x14:dxf>
              <fill>
                <patternFill>
                  <bgColor indexed="52"/>
                </patternFill>
              </fill>
            </x14:dxf>
          </x14:cfRule>
          <xm:sqref>H24</xm:sqref>
        </x14:conditionalFormatting>
        <x14:conditionalFormatting xmlns:xm="http://schemas.microsoft.com/office/excel/2006/main">
          <x14:cfRule type="expression" priority="62" stopIfTrue="1" id="{B7A9270E-D227-4047-89BB-2D349E3D4FDA}">
            <xm:f>(60 * HOUR(H24) + MINUTE(H24)) &gt;(60 * HOUR(INDEX('1. Locais'!G2:G20,C24 + 1)) +MINUTE(INDEX('1. Locais'!G2:G20,C24 + 1)))</xm:f>
            <x14:dxf>
              <fill>
                <patternFill>
                  <bgColor indexed="10"/>
                </patternFill>
              </fill>
            </x14:dxf>
          </x14:cfRule>
          <xm:sqref>H24</xm:sqref>
        </x14:conditionalFormatting>
        <x14:conditionalFormatting xmlns:xm="http://schemas.microsoft.com/office/excel/2006/main">
          <x14:cfRule type="expression" priority="63" stopIfTrue="1" id="{59C06AF1-219A-4B45-99B7-AEEB9C313AF7}">
            <xm:f>(60 * HOUR(I24) + MINUTE(I24)) &gt;(60 * HOUR(INDEX('1. Locais'!G2:G20,C24 + 1)) +MINUTE(INDEX('1. Locais'!G2:G20,C24 + 1)))</xm:f>
            <x14:dxf>
              <fill>
                <patternFill>
                  <bgColor indexed="10"/>
                </patternFill>
              </fill>
            </x14:dxf>
          </x14:cfRule>
          <xm:sqref>I24</xm:sqref>
        </x14:conditionalFormatting>
        <x14:conditionalFormatting xmlns:xm="http://schemas.microsoft.com/office/excel/2006/main">
          <x14:cfRule type="cellIs" priority="64" stopIfTrue="1" operator="greaterThan" id="{72398448-47D9-4561-87B9-D286D9C9C357}">
            <xm:f>'3. Veículos'!$G$2</xm:f>
            <x14:dxf>
              <fill>
                <patternFill>
                  <bgColor indexed="10"/>
                </patternFill>
              </fill>
            </x14:dxf>
          </x14:cfRule>
          <xm:sqref>F6:F24</xm:sqref>
        </x14:conditionalFormatting>
        <x14:conditionalFormatting xmlns:xm="http://schemas.microsoft.com/office/excel/2006/main">
          <x14:cfRule type="cellIs" priority="65" stopIfTrue="1" operator="greaterThan" id="{91B68D9B-08D0-495A-91E0-2D3013887527}">
            <xm:f>'3. Veículos'!$C$2</xm:f>
            <x14:dxf>
              <fill>
                <patternFill>
                  <bgColor indexed="10"/>
                </patternFill>
              </fill>
            </x14:dxf>
          </x14:cfRule>
          <xm:sqref>P6:P24</xm:sqref>
        </x14:conditionalFormatting>
        <x14:conditionalFormatting xmlns:xm="http://schemas.microsoft.com/office/excel/2006/main">
          <x14:cfRule type="cellIs" priority="67" stopIfTrue="1" operator="greaterThan" id="{223CB233-D746-4C31-83B6-EDB0CEC71096}">
            <xm:f>'3. Veículos'!$I$2</xm:f>
            <x14:dxf>
              <fill>
                <patternFill>
                  <bgColor indexed="10"/>
                </patternFill>
              </fill>
            </x14:dxf>
          </x14:cfRule>
          <xm:sqref>G6:G24</xm:sqref>
        </x14:conditionalFormatting>
        <x14:conditionalFormatting xmlns:xm="http://schemas.microsoft.com/office/excel/2006/main">
          <x14:cfRule type="cellIs" priority="68" stopIfTrue="1" operator="greaterThan" id="{477DA4E1-F325-4E6E-8611-C6429D0DEDF6}">
            <xm:f>'3. Veículos'!$J$2</xm:f>
            <x14:dxf>
              <fill>
                <patternFill>
                  <bgColor indexed="10"/>
                </patternFill>
              </fill>
            </x14:dxf>
          </x14:cfRule>
          <xm:sqref>J6:J24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D1FF48A8-9D9E-4326-AA0C-5699A16373A8}">
          <x14:formula1>
            <xm:f>'1. Locais'!$B$2:$B$21</xm:f>
          </x14:formula1>
          <xm:sqref>B6:B24</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VRP Solver Console</vt:lpstr>
      <vt:lpstr>MultiLanguageMenuItems</vt:lpstr>
      <vt:lpstr>MultiLanguageInterface</vt:lpstr>
      <vt:lpstr>1. Locais</vt:lpstr>
      <vt:lpstr>3. Veículos</vt:lpstr>
      <vt:lpstr>2. Distâncias</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2021-04-03T12:35:53Z</dcterms:modified>
</cp:coreProperties>
</file>