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13_ncr:1_{ACC57219-4C39-4B23-B124-F9AE97BC6BA8}" xr6:coauthVersionLast="47" xr6:coauthVersionMax="47" xr10:uidLastSave="{00000000-0000-0000-0000-000000000000}"/>
  <bookViews>
    <workbookView xWindow="-120" yWindow="-120" windowWidth="19440" windowHeight="11640" tabRatio="705" activeTab="7" xr2:uid="{00000000-000D-0000-FFFF-FFFF00000000}"/>
  </bookViews>
  <sheets>
    <sheet name="VRP Solver Console" sheetId="231" r:id="rId1"/>
    <sheet name="MultiLanguageMenuItems" sheetId="232" state="hidden" r:id="rId2"/>
    <sheet name="MultiLanguageInterface" sheetId="233" state="hidden" r:id="rId3"/>
    <sheet name="1. Locais" sheetId="234" r:id="rId4"/>
    <sheet name="2. Distâncias" sheetId="235" r:id="rId5"/>
    <sheet name="3. Veículos" sheetId="236" r:id="rId6"/>
    <sheet name="3.1. Compatibilidade do veículo" sheetId="238" r:id="rId7"/>
    <sheet name="4. Solução" sheetId="23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X3" i="239" l="1"/>
  <c r="Z5" i="239"/>
  <c r="S5" i="239"/>
  <c r="G3" i="239"/>
  <c r="I5" i="239"/>
  <c r="B5" i="239"/>
  <c r="B10" i="238"/>
  <c r="A10" i="238"/>
  <c r="B9" i="238"/>
  <c r="A9" i="238"/>
  <c r="B8" i="238"/>
  <c r="A8" i="238"/>
  <c r="B7" i="238"/>
  <c r="A7" i="238"/>
  <c r="B6" i="238"/>
  <c r="A6" i="238"/>
  <c r="B5" i="238"/>
  <c r="A5" i="238"/>
  <c r="B4" i="238"/>
  <c r="A4" i="238"/>
  <c r="B3" i="238"/>
  <c r="A3" i="238"/>
  <c r="B2" i="238"/>
  <c r="A2" i="238"/>
  <c r="D1" i="238"/>
  <c r="C1" i="238"/>
  <c r="L3" i="236"/>
  <c r="L2" i="236"/>
  <c r="D24" i="231"/>
  <c r="T14" i="239"/>
  <c r="T13" i="239"/>
  <c r="T12" i="239"/>
  <c r="T11" i="239"/>
  <c r="T10" i="239"/>
  <c r="T9" i="239"/>
  <c r="T8" i="239"/>
  <c r="T7" i="239"/>
  <c r="T6" i="239"/>
  <c r="C13" i="239"/>
  <c r="C5" i="239"/>
  <c r="T5" i="239"/>
  <c r="C14" i="239"/>
  <c r="C12" i="239"/>
  <c r="C11" i="239"/>
  <c r="C10" i="239"/>
  <c r="C9" i="239"/>
  <c r="C8" i="239"/>
  <c r="C7" i="239"/>
  <c r="C6" i="239"/>
  <c r="L6" i="239" l="1"/>
  <c r="N6" i="239" s="1"/>
  <c r="H6" i="239"/>
  <c r="F6" i="239"/>
  <c r="F7" i="239" s="1"/>
  <c r="F8" i="239" s="1"/>
  <c r="F9" i="239" s="1"/>
  <c r="F10" i="239" s="1"/>
  <c r="D6" i="239"/>
  <c r="M6" i="239"/>
  <c r="K6" i="239"/>
  <c r="G6" i="239"/>
  <c r="E6" i="239"/>
  <c r="L7" i="239"/>
  <c r="N7" i="239" s="1"/>
  <c r="D7" i="239"/>
  <c r="M7" i="239"/>
  <c r="K7" i="239"/>
  <c r="G7" i="239"/>
  <c r="E7" i="239"/>
  <c r="L8" i="239"/>
  <c r="D8" i="239"/>
  <c r="M8" i="239"/>
  <c r="K8" i="239"/>
  <c r="K9" i="239" s="1"/>
  <c r="K10" i="239" s="1"/>
  <c r="G8" i="239"/>
  <c r="E8" i="239"/>
  <c r="L9" i="239"/>
  <c r="D9" i="239"/>
  <c r="O9" i="239"/>
  <c r="M9" i="239"/>
  <c r="G9" i="239"/>
  <c r="E9" i="239"/>
  <c r="N10" i="239"/>
  <c r="L10" i="239"/>
  <c r="D10" i="239"/>
  <c r="O10" i="239"/>
  <c r="M10" i="239"/>
  <c r="G10" i="239"/>
  <c r="E10" i="239"/>
  <c r="P11" i="239"/>
  <c r="N11" i="239"/>
  <c r="L11" i="239"/>
  <c r="H11" i="239"/>
  <c r="F11" i="239"/>
  <c r="D11" i="239"/>
  <c r="O11" i="239"/>
  <c r="M11" i="239"/>
  <c r="K11" i="239"/>
  <c r="G11" i="239"/>
  <c r="E11" i="239"/>
  <c r="P12" i="239"/>
  <c r="N12" i="239"/>
  <c r="L12" i="239"/>
  <c r="H12" i="239"/>
  <c r="I12" i="239" s="1"/>
  <c r="J12" i="239" s="1"/>
  <c r="F12" i="239"/>
  <c r="D12" i="239"/>
  <c r="M12" i="239"/>
  <c r="E12" i="239"/>
  <c r="O12" i="239"/>
  <c r="K12" i="239"/>
  <c r="G12" i="239"/>
  <c r="P14" i="239"/>
  <c r="N14" i="239"/>
  <c r="L14" i="239"/>
  <c r="H14" i="239"/>
  <c r="F14" i="239"/>
  <c r="D14" i="239"/>
  <c r="M14" i="239"/>
  <c r="E14" i="239"/>
  <c r="O14" i="239"/>
  <c r="K14" i="239"/>
  <c r="G14" i="239"/>
  <c r="U5" i="239"/>
  <c r="V5" i="239"/>
  <c r="I14" i="239"/>
  <c r="E5" i="239"/>
  <c r="I11" i="239"/>
  <c r="J11" i="239" s="1"/>
  <c r="I6" i="239"/>
  <c r="J6" i="239" s="1"/>
  <c r="D5" i="239"/>
  <c r="P13" i="239"/>
  <c r="N13" i="239"/>
  <c r="L13" i="239"/>
  <c r="H13" i="239"/>
  <c r="I13" i="239" s="1"/>
  <c r="J13" i="239" s="1"/>
  <c r="F13" i="239"/>
  <c r="D13" i="239"/>
  <c r="O13" i="239"/>
  <c r="K13" i="239"/>
  <c r="G13" i="239"/>
  <c r="M13" i="239"/>
  <c r="E13" i="239"/>
  <c r="AD6" i="239"/>
  <c r="AB6" i="239"/>
  <c r="AB7" i="239" s="1"/>
  <c r="AB8" i="239" s="1"/>
  <c r="AB9" i="239" s="1"/>
  <c r="AB10" i="239" s="1"/>
  <c r="X6" i="239"/>
  <c r="X7" i="239" s="1"/>
  <c r="X8" i="239" s="1"/>
  <c r="X9" i="239" s="1"/>
  <c r="X10" i="239" s="1"/>
  <c r="V6" i="239"/>
  <c r="AC6" i="239"/>
  <c r="Y6" i="239"/>
  <c r="Z6" i="239" s="1"/>
  <c r="AA6" i="239" s="1"/>
  <c r="U6" i="239"/>
  <c r="AE6" i="239"/>
  <c r="W6" i="239"/>
  <c r="AD7" i="239"/>
  <c r="V7" i="239"/>
  <c r="W7" i="239"/>
  <c r="W8" i="239" s="1"/>
  <c r="W9" i="239" s="1"/>
  <c r="W10" i="239" s="1"/>
  <c r="AC7" i="239"/>
  <c r="U7" i="239"/>
  <c r="AD8" i="239"/>
  <c r="V8" i="239"/>
  <c r="AC8" i="239"/>
  <c r="U8" i="239"/>
  <c r="AF9" i="239"/>
  <c r="AD9" i="239"/>
  <c r="V9" i="239"/>
  <c r="AC9" i="239"/>
  <c r="U9" i="239"/>
  <c r="AF10" i="239"/>
  <c r="AD10" i="239"/>
  <c r="V10" i="239"/>
  <c r="AC10" i="239"/>
  <c r="U10" i="239"/>
  <c r="AE10" i="239"/>
  <c r="AF11" i="239"/>
  <c r="AD11" i="239"/>
  <c r="AB11" i="239"/>
  <c r="X11" i="239"/>
  <c r="V11" i="239"/>
  <c r="AE11" i="239"/>
  <c r="W11" i="239"/>
  <c r="AG11" i="239"/>
  <c r="AC11" i="239"/>
  <c r="Y11" i="239"/>
  <c r="Z11" i="239" s="1"/>
  <c r="AA11" i="239" s="1"/>
  <c r="U11" i="239"/>
  <c r="AF12" i="239"/>
  <c r="AD12" i="239"/>
  <c r="AB12" i="239"/>
  <c r="X12" i="239"/>
  <c r="V12" i="239"/>
  <c r="AG12" i="239"/>
  <c r="AC12" i="239"/>
  <c r="Y12" i="239"/>
  <c r="Z12" i="239" s="1"/>
  <c r="AA12" i="239" s="1"/>
  <c r="U12" i="239"/>
  <c r="AE12" i="239"/>
  <c r="W12" i="239"/>
  <c r="AF13" i="239"/>
  <c r="AD13" i="239"/>
  <c r="AB13" i="239"/>
  <c r="X13" i="239"/>
  <c r="V13" i="239"/>
  <c r="AE13" i="239"/>
  <c r="W13" i="239"/>
  <c r="AG13" i="239"/>
  <c r="AC13" i="239"/>
  <c r="Y13" i="239"/>
  <c r="Z13" i="239" s="1"/>
  <c r="AA13" i="239" s="1"/>
  <c r="U13" i="239"/>
  <c r="AF14" i="239"/>
  <c r="AD14" i="239"/>
  <c r="AB14" i="239"/>
  <c r="X14" i="239"/>
  <c r="V14" i="239"/>
  <c r="AG14" i="239"/>
  <c r="AC14" i="239"/>
  <c r="Y14" i="239"/>
  <c r="Z14" i="239" s="1"/>
  <c r="AA14" i="239" s="1"/>
  <c r="U14" i="239"/>
  <c r="AE14" i="239"/>
  <c r="W14" i="239"/>
  <c r="J14" i="239"/>
  <c r="I3" i="239"/>
  <c r="Z3" i="239"/>
  <c r="AE7" i="239" l="1"/>
  <c r="O8" i="239"/>
  <c r="O7" i="239" s="1"/>
  <c r="O6" i="239" s="1"/>
  <c r="O5" i="239" s="1"/>
  <c r="P5" i="239" s="1"/>
  <c r="AG10" i="239"/>
  <c r="AF8" i="239"/>
  <c r="AF7" i="239" s="1"/>
  <c r="AF6" i="239" s="1"/>
  <c r="AF5" i="239" s="1"/>
  <c r="AG5" i="239" s="1"/>
  <c r="P10" i="239"/>
  <c r="B1" i="239"/>
  <c r="AE8" i="239"/>
  <c r="N8" i="239"/>
  <c r="P8" i="239" s="1"/>
  <c r="P7" i="239"/>
  <c r="Y7" i="239"/>
  <c r="Z7" i="239" s="1"/>
  <c r="H7" i="239"/>
  <c r="I7" i="239" s="1"/>
  <c r="P6" i="239" l="1"/>
  <c r="N9" i="239"/>
  <c r="P9" i="239" s="1"/>
  <c r="AG8" i="239"/>
  <c r="AE9" i="239"/>
  <c r="AG9" i="239" s="1"/>
  <c r="AG6" i="239"/>
  <c r="AG7" i="239"/>
  <c r="AA7" i="239"/>
  <c r="Y8" i="239"/>
  <c r="Z8" i="239" s="1"/>
  <c r="J7" i="239"/>
  <c r="H8" i="239"/>
  <c r="I8" i="239" s="1"/>
  <c r="J8" i="239" l="1"/>
  <c r="H9" i="239"/>
  <c r="I9" i="239" s="1"/>
  <c r="AA8" i="239"/>
  <c r="Y9" i="239"/>
  <c r="Z9" i="239" s="1"/>
  <c r="AA9" i="239" l="1"/>
  <c r="Y10" i="239"/>
  <c r="Z10" i="239" s="1"/>
  <c r="AA10" i="239" s="1"/>
  <c r="J9" i="239"/>
  <c r="H10" i="239"/>
  <c r="I10" i="239" s="1"/>
  <c r="J10" i="239" s="1"/>
</calcChain>
</file>

<file path=xl/sharedStrings.xml><?xml version="1.0" encoding="utf-8"?>
<sst xmlns="http://schemas.openxmlformats.org/spreadsheetml/2006/main" count="4575" uniqueCount="4016">
  <si>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</si>
  <si>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</si>
  <si>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</si>
  <si>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</si>
  <si>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</si>
  <si>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</si>
  <si>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</si>
  <si>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</si>
  <si>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</si>
  <si>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</si>
  <si>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</si>
  <si>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</si>
  <si>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</si>
  <si>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</si>
  <si>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</si>
  <si>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</si>
  <si>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</si>
  <si>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</si>
  <si>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</si>
  <si>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</si>
  <si>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</si>
  <si>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</si>
  <si>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</si>
  <si>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</si>
  <si>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</si>
  <si>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</si>
  <si>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</si>
  <si>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</si>
  <si>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</si>
  <si>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</si>
  <si>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</si>
  <si>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</si>
  <si>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</si>
  <si>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</si>
  <si>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</si>
  <si>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</si>
  <si>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</si>
  <si>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</si>
  <si>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</si>
  <si>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</si>
  <si>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</si>
  <si>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</si>
  <si>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</si>
  <si>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</si>
  <si>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</si>
  <si>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</si>
  <si>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</si>
  <si>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</si>
  <si>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</si>
  <si>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</si>
  <si>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</si>
  <si>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</si>
  <si>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</si>
  <si>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</si>
  <si>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</si>
  <si>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</si>
  <si>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</si>
  <si>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</si>
  <si>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</si>
  <si>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</si>
  <si>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</si>
  <si>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</si>
  <si>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</si>
  <si>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</si>
  <si>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</si>
  <si>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</si>
  <si>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</si>
  <si>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</si>
  <si>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</si>
  <si>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</si>
  <si>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</si>
  <si>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</si>
  <si>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</si>
  <si>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</si>
  <si>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</si>
  <si>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</si>
  <si>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</si>
  <si>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</si>
  <si>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</si>
  <si>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</si>
  <si>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</si>
  <si>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</si>
  <si>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</si>
  <si>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</si>
  <si>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</si>
  <si>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</si>
  <si>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</si>
  <si>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</si>
  <si>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</si>
  <si>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</si>
  <si>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</si>
  <si>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</si>
  <si>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</si>
  <si>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</si>
  <si>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</si>
  <si>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</si>
  <si>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</si>
  <si>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</si>
  <si>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</si>
  <si>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</si>
  <si>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</si>
  <si>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</si>
  <si>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</si>
  <si>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</si>
  <si>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</si>
  <si>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</si>
  <si>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</si>
  <si>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</si>
  <si>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</si>
  <si>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</si>
  <si>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</si>
  <si>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</si>
  <si>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</si>
  <si>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</si>
  <si>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</si>
  <si>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</si>
  <si>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</si>
  <si>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</si>
  <si>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</si>
  <si>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</si>
  <si>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</si>
  <si>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</si>
  <si>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</si>
  <si>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</si>
  <si>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</si>
  <si>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</si>
  <si>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</si>
  <si>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</si>
  <si>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</si>
  <si>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</si>
  <si>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</si>
  <si>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</si>
  <si>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</si>
  <si>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</si>
  <si>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</si>
  <si>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</si>
  <si>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</si>
  <si>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</si>
  <si>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</si>
  <si>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</si>
  <si>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</si>
  <si>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</si>
  <si>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</si>
  <si>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</si>
  <si>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</si>
  <si>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</si>
  <si>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</si>
  <si>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</si>
  <si>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</si>
  <si>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</si>
  <si>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</si>
  <si>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</si>
  <si>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</si>
  <si>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</si>
  <si>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</si>
  <si>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</si>
  <si>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</si>
  <si>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</si>
  <si>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</si>
  <si>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</si>
  <si>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</si>
  <si>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</si>
  <si>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</si>
  <si>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</si>
  <si>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</si>
  <si>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</si>
  <si>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</si>
  <si>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</si>
  <si>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</si>
  <si>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</si>
  <si>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</si>
  <si>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</si>
  <si>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</si>
  <si>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</si>
  <si>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</si>
  <si>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</si>
  <si>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</si>
  <si>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</si>
  <si>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</si>
  <si>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</si>
  <si>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</si>
  <si>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</si>
  <si>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</si>
  <si>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</si>
  <si>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</si>
  <si>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</si>
  <si>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</si>
  <si>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</si>
  <si>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</si>
  <si>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</si>
  <si>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</si>
  <si>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</si>
  <si>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</si>
  <si>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</si>
  <si>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</si>
  <si>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</si>
  <si>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</si>
  <si>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</si>
  <si>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</si>
  <si>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</si>
  <si>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</si>
  <si>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</si>
  <si>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</si>
  <si>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</si>
  <si>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</si>
  <si>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</si>
  <si>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</si>
  <si>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</si>
  <si>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</si>
  <si>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</si>
  <si>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</si>
  <si>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</si>
  <si>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</si>
  <si>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</si>
  <si>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</si>
  <si>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</si>
  <si>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</si>
  <si>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</si>
  <si>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</si>
  <si>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</si>
  <si>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</si>
  <si>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</si>
  <si>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</si>
  <si>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</si>
  <si>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</si>
  <si>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</si>
  <si>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</si>
  <si>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</si>
  <si>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</si>
  <si>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</si>
  <si>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</si>
  <si>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</si>
  <si>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</si>
  <si>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</si>
  <si>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</si>
  <si>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</si>
  <si>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</si>
  <si>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</si>
  <si>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</si>
  <si>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</si>
  <si>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</si>
  <si>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</si>
  <si>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</si>
  <si>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</si>
  <si>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</si>
  <si>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</si>
  <si>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</si>
  <si>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</si>
  <si>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</si>
  <si>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</si>
  <si>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</si>
  <si>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</si>
  <si>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</si>
  <si>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</si>
  <si>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</si>
  <si>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</si>
  <si>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</si>
  <si>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</si>
  <si>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</si>
  <si>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</si>
  <si>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</si>
  <si>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</si>
  <si>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</si>
  <si>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</si>
  <si>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</si>
  <si>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</si>
  <si>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</si>
  <si>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</si>
  <si>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</si>
  <si>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</si>
  <si>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</si>
  <si>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</si>
  <si>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</si>
  <si>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</si>
  <si>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</si>
  <si>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</si>
  <si>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</si>
  <si>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</si>
  <si>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</si>
  <si>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</si>
  <si>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</si>
  <si>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</si>
  <si>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</si>
  <si>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</si>
  <si>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</si>
  <si>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</si>
  <si>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</si>
  <si>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</si>
  <si>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</si>
  <si>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</si>
  <si>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</si>
  <si>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</si>
  <si>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</si>
  <si>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</si>
  <si>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</si>
  <si>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</si>
  <si>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</si>
  <si>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</si>
  <si>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</si>
  <si>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</si>
  <si>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</si>
  <si>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</si>
  <si>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</si>
  <si>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</si>
  <si>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</si>
  <si>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</si>
  <si>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</si>
  <si>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</si>
  <si>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</si>
  <si>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</si>
  <si>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</si>
  <si>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</si>
  <si>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</si>
  <si>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</si>
  <si>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</si>
  <si>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</si>
  <si>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</si>
  <si>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</si>
  <si>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</si>
  <si>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</si>
  <si>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</si>
  <si>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</si>
  <si>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</si>
  <si>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</si>
  <si>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</si>
  <si>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</si>
  <si>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</si>
  <si>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</si>
  <si>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</si>
  <si>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</si>
  <si>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</si>
  <si>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</si>
  <si>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</si>
  <si>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</si>
  <si>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</si>
  <si>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</si>
  <si>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</si>
  <si>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</si>
  <si>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</si>
  <si>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</si>
  <si>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</si>
  <si>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</si>
  <si>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</si>
  <si>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</si>
  <si>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</si>
  <si>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</si>
  <si>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</si>
  <si>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</si>
  <si>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</si>
  <si>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</si>
  <si>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</si>
  <si>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</si>
  <si>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</si>
  <si>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</si>
  <si>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</si>
  <si>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</si>
  <si>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</si>
  <si>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</si>
  <si>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</si>
  <si>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</si>
  <si>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</si>
  <si>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</si>
  <si>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</si>
  <si>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</si>
  <si>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</si>
  <si>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</si>
  <si>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</si>
  <si>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</si>
  <si>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</si>
  <si>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</si>
  <si>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</si>
  <si>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</si>
  <si>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</si>
  <si>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</si>
  <si>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</si>
  <si>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</si>
  <si>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</si>
  <si>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</si>
  <si>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</si>
  <si>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</si>
  <si>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</si>
  <si>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</si>
  <si>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</si>
  <si>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</si>
  <si>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</si>
  <si>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</si>
  <si>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</si>
  <si>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</si>
  <si>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</si>
  <si>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</si>
  <si>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</si>
  <si>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</si>
  <si>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</si>
  <si>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</si>
  <si>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</si>
  <si>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</si>
  <si>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</si>
  <si>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</si>
  <si>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</si>
  <si>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</si>
  <si>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</si>
  <si>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</si>
  <si>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</si>
  <si>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</si>
  <si>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</si>
  <si>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</si>
  <si>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</si>
  <si>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</si>
  <si>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</si>
  <si>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</si>
  <si>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</si>
  <si>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</si>
  <si>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</si>
  <si>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</si>
  <si>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</si>
  <si>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</si>
  <si>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</si>
  <si>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</si>
  <si>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</si>
  <si>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</si>
  <si>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</si>
  <si>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</si>
  <si>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</si>
  <si>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</si>
  <si>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</si>
  <si>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</si>
  <si>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</si>
  <si>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</si>
  <si>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</si>
  <si>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</si>
  <si>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</si>
  <si>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</si>
  <si>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</si>
  <si>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</si>
  <si>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</si>
  <si>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</si>
  <si>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</si>
  <si>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</si>
  <si>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</si>
  <si>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</si>
  <si>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</si>
  <si>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</si>
  <si>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</si>
  <si>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</si>
  <si>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</si>
  <si>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</si>
  <si>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</si>
  <si>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</si>
  <si>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</si>
  <si>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</si>
  <si>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</si>
  <si>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</si>
  <si>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</si>
  <si>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</si>
  <si>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</si>
  <si>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</si>
  <si>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</si>
  <si>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</si>
  <si>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</si>
  <si>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</si>
  <si>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</si>
  <si>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</si>
  <si>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</si>
  <si>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</si>
  <si>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</si>
  <si>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</si>
  <si>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</si>
  <si>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</si>
  <si>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</si>
  <si>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</si>
  <si>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</si>
  <si>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</si>
  <si>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</si>
  <si>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</si>
  <si>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</si>
  <si>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</si>
  <si>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</si>
  <si>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</si>
  <si>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</si>
  <si>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</si>
  <si>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</si>
  <si>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</si>
  <si>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</si>
  <si>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</si>
  <si>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</si>
  <si>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</si>
  <si>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</si>
  <si>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</si>
  <si>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</si>
  <si>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</si>
  <si>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</si>
  <si>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</si>
  <si>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</si>
  <si>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</si>
  <si>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</si>
  <si>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</si>
  <si>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</si>
  <si>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</si>
  <si>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</si>
  <si>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</si>
  <si>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</si>
  <si>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</si>
  <si>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</si>
  <si>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</si>
  <si>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</si>
  <si>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</si>
  <si>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</si>
  <si>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</si>
  <si>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</si>
  <si>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</si>
  <si>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</si>
  <si>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</si>
  <si>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</si>
  <si>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</si>
  <si>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</si>
  <si>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</si>
  <si>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</si>
  <si>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</si>
  <si>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</si>
  <si>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</si>
  <si>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</si>
  <si>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</si>
  <si>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</si>
  <si>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</si>
  <si>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</si>
  <si>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</si>
  <si>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</si>
  <si>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</si>
  <si>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</si>
  <si>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</si>
  <si>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</si>
  <si>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</si>
  <si>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</si>
  <si>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</si>
  <si>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</si>
  <si>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</si>
  <si>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</si>
  <si>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</si>
  <si>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</si>
  <si>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</si>
  <si>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</si>
  <si>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</si>
  <si>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</si>
  <si>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</si>
  <si>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</si>
  <si>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</si>
  <si>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</si>
  <si>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</si>
  <si>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</si>
  <si>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</si>
  <si>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</si>
  <si>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</si>
  <si>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</si>
  <si>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</si>
  <si>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</si>
  <si>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</si>
  <si>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</si>
  <si>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</si>
  <si>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</si>
  <si>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</si>
  <si>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</si>
  <si>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</si>
  <si>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</si>
  <si>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</si>
  <si>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</si>
  <si>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</si>
  <si>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</si>
  <si>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</si>
  <si>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</si>
  <si>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</si>
  <si>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</si>
  <si>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</si>
  <si>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</si>
  <si>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</si>
  <si>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</si>
  <si>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</si>
  <si>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</si>
  <si>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</si>
  <si>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</si>
  <si>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</si>
  <si>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</si>
  <si>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</si>
  <si>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</si>
  <si>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</si>
  <si>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</si>
  <si>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</si>
  <si>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</si>
  <si>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</si>
  <si>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</si>
  <si>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</si>
  <si>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</si>
  <si>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</si>
  <si>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</si>
  <si>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</si>
  <si>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</si>
  <si>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</si>
  <si>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</si>
  <si>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</si>
  <si>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</si>
  <si>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</si>
  <si>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</si>
  <si>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</si>
  <si>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</si>
  <si>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</si>
  <si>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</si>
  <si>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</si>
  <si>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</si>
  <si>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</si>
  <si>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</si>
  <si>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</si>
  <si>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</si>
  <si>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</si>
  <si>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</si>
  <si>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</si>
  <si>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</si>
  <si>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</si>
  <si>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</si>
  <si>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</si>
  <si>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</si>
  <si>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</si>
  <si>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</si>
  <si>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</si>
  <si>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</si>
  <si>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</si>
  <si>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</si>
  <si>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</si>
  <si>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</si>
  <si>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</si>
  <si>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</si>
  <si>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</si>
  <si>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</si>
  <si>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</si>
  <si>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</si>
  <si>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</si>
  <si>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</si>
  <si>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</si>
  <si>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</si>
  <si>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</si>
  <si>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</si>
  <si>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</si>
  <si>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</si>
  <si>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</si>
  <si>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</si>
  <si>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</si>
  <si>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</si>
  <si>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</si>
  <si>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</si>
  <si>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</si>
  <si>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</si>
  <si>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</si>
  <si>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</si>
  <si>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</si>
  <si>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</si>
  <si>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</si>
  <si>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</si>
  <si>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</si>
  <si>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</si>
  <si>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</si>
  <si>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</si>
  <si>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</si>
  <si>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</si>
  <si>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</si>
  <si>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</si>
  <si>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</si>
  <si>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</si>
  <si>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</si>
  <si>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</si>
  <si>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</si>
  <si>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</si>
  <si>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</si>
  <si>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</si>
  <si>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</si>
  <si>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</si>
  <si>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</si>
  <si>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</si>
  <si>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</si>
  <si>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</si>
  <si>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</si>
  <si>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</si>
  <si>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</si>
  <si>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</si>
  <si>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</si>
  <si>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</si>
  <si>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</si>
  <si>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</si>
  <si>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</si>
  <si>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</si>
  <si>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</si>
  <si>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</si>
  <si>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</si>
  <si>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</si>
  <si>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</si>
  <si>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</si>
  <si>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</si>
  <si>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</si>
  <si>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</si>
  <si>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</si>
  <si>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</si>
  <si>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</si>
  <si>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</si>
  <si>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</si>
  <si>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</si>
  <si>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</si>
  <si>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</si>
  <si>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</si>
  <si>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</si>
  <si>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</si>
  <si>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</si>
  <si>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</si>
  <si>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</si>
  <si>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</si>
  <si>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</si>
  <si>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</si>
  <si>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</si>
  <si>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</si>
  <si>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</si>
  <si>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</si>
  <si>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</si>
  <si>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</si>
  <si>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</si>
  <si>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</si>
  <si>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</si>
  <si>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</si>
  <si>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</si>
  <si>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</si>
  <si>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</si>
  <si>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</si>
  <si>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</si>
  <si>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</si>
  <si>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</si>
  <si>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</si>
  <si>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</si>
  <si>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</si>
  <si>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</si>
  <si>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</si>
  <si>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</si>
  <si>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</si>
  <si>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</si>
  <si>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</si>
  <si>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</si>
  <si>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</si>
  <si>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</si>
  <si>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</si>
  <si>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</si>
  <si>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</si>
  <si>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</si>
  <si>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</si>
  <si>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</si>
  <si>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</si>
  <si>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</si>
  <si>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</si>
  <si>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</si>
  <si>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</si>
  <si>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</si>
  <si>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</si>
  <si>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</si>
  <si>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</si>
  <si>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</si>
  <si>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</si>
  <si>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</si>
  <si>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</si>
  <si>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</si>
  <si>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</si>
  <si>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</si>
  <si>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</si>
  <si>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</si>
  <si>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</si>
  <si>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</si>
  <si>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</si>
  <si>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</si>
  <si>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</si>
  <si>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</si>
  <si>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</si>
  <si>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</si>
  <si>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</si>
  <si>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</si>
  <si>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</si>
  <si>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</si>
  <si>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</si>
  <si>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</si>
  <si>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</si>
  <si>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</si>
  <si>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</si>
  <si>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</si>
  <si>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</si>
  <si>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</si>
  <si>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</si>
  <si>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</si>
  <si>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</si>
  <si>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</si>
  <si>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</si>
  <si>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</si>
  <si>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</si>
  <si>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</si>
  <si>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</si>
  <si>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</si>
  <si>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</si>
  <si>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</si>
  <si>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</si>
  <si>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</si>
  <si>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</si>
  <si>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</si>
  <si>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</si>
  <si>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</si>
  <si>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</si>
  <si>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</si>
  <si>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</si>
  <si>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</si>
  <si>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</si>
  <si>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</si>
  <si>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</si>
  <si>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</si>
  <si>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</si>
  <si>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</si>
  <si>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</si>
  <si>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</si>
  <si>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</si>
  <si>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</si>
  <si>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</si>
  <si>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</si>
  <si>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</si>
  <si>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</si>
  <si>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</si>
  <si>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</si>
  <si>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</si>
  <si>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</si>
  <si>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</si>
  <si>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</si>
  <si>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</si>
  <si>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</si>
  <si>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</si>
  <si>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</si>
  <si>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</si>
  <si>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</si>
  <si>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</si>
  <si>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</si>
  <si>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</si>
  <si>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</si>
  <si>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</si>
  <si>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</si>
  <si>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</si>
  <si>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</si>
  <si>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</si>
  <si>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</si>
  <si>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</si>
  <si>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</si>
  <si>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</si>
  <si>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</si>
  <si>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</si>
  <si>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</si>
  <si>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</si>
  <si>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</si>
  <si>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</si>
  <si>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</si>
  <si>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</si>
  <si>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</si>
  <si>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</si>
  <si>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</si>
  <si>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</si>
  <si>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</si>
  <si>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</si>
  <si>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</si>
  <si>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</si>
  <si>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</si>
  <si>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</si>
  <si>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</si>
  <si>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</si>
  <si>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</si>
  <si>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</si>
  <si>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</si>
  <si>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</si>
  <si>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</si>
  <si>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</si>
  <si>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</si>
  <si>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</si>
  <si>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</si>
  <si>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</si>
  <si>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</si>
  <si>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</si>
  <si>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</si>
  <si>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</si>
  <si>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</si>
  <si>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</si>
  <si>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</si>
  <si>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</si>
  <si>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</si>
  <si>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</si>
  <si>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</si>
  <si>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</si>
  <si>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</si>
  <si>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</si>
  <si>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</si>
  <si>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</si>
  <si>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</si>
  <si>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</si>
  <si>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</si>
  <si>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</si>
  <si>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</si>
  <si>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</si>
  <si>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</si>
  <si>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</si>
  <si>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</si>
  <si>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</si>
  <si>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</si>
  <si>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</si>
  <si>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</si>
  <si>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</si>
  <si>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</si>
  <si>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</si>
  <si>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</si>
  <si>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</si>
  <si>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</si>
  <si>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</si>
  <si>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</si>
  <si>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</si>
  <si>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</si>
  <si>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</si>
  <si>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</si>
  <si>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</si>
  <si>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</si>
  <si>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</si>
  <si>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</si>
  <si>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</si>
  <si>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</si>
  <si>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</si>
  <si>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</si>
  <si>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</si>
  <si>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</si>
  <si>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</si>
  <si>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</si>
  <si>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</si>
  <si>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</si>
  <si>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</si>
  <si>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</si>
  <si>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</si>
  <si>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</si>
  <si>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</si>
  <si>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</si>
  <si>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</si>
  <si>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</si>
  <si>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</si>
  <si>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</si>
  <si>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</si>
  <si>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</si>
  <si>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</si>
  <si>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</si>
  <si>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</si>
  <si>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</si>
  <si>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</si>
  <si>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</si>
  <si>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</si>
  <si>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</si>
  <si>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</si>
  <si>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</si>
  <si>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</si>
  <si>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</si>
  <si>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</si>
  <si>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</si>
  <si>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</si>
  <si>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</si>
  <si>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</si>
  <si>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</si>
  <si>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</si>
  <si>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</si>
  <si>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</si>
  <si>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</si>
  <si>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</si>
  <si>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</si>
  <si>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</si>
  <si>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</si>
  <si>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</si>
  <si>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</si>
  <si>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</si>
  <si>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</si>
  <si>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</si>
  <si>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</si>
  <si>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</si>
  <si>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</si>
  <si>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</si>
  <si>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</si>
  <si>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</si>
  <si>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</si>
  <si>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</si>
  <si>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</si>
  <si>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</si>
  <si>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</si>
  <si>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</si>
  <si>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</si>
  <si>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</si>
  <si>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</si>
  <si>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</si>
  <si>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</si>
  <si>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</si>
  <si>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</si>
  <si>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</si>
  <si>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</si>
  <si>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</si>
  <si>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</si>
  <si>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</si>
  <si>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</si>
  <si>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</si>
  <si>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</si>
  <si>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</si>
  <si>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</si>
  <si>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</si>
  <si>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</si>
  <si>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</si>
  <si>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</si>
  <si>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</si>
  <si>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</si>
  <si>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</si>
  <si>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</si>
  <si>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</si>
  <si>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</si>
  <si>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</si>
  <si>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</si>
  <si>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</si>
  <si>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</si>
  <si>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</si>
  <si>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</si>
  <si>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</si>
  <si>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</si>
  <si>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</si>
  <si>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</si>
  <si>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</si>
  <si>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</si>
  <si>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</si>
  <si>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</si>
  <si>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</si>
  <si>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</si>
  <si>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</si>
  <si>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</si>
  <si>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</si>
  <si>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</si>
  <si>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</si>
  <si>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</si>
  <si>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</si>
  <si>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</si>
  <si>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</si>
  <si>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</si>
  <si>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</si>
  <si>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</si>
  <si>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</si>
  <si>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</si>
  <si>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</si>
  <si>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</si>
  <si>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</si>
  <si>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</si>
  <si>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</si>
  <si>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</si>
  <si>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</si>
  <si>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</si>
  <si>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</si>
  <si>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</si>
  <si>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</si>
  <si>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</si>
  <si>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</si>
  <si>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</si>
  <si>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</si>
  <si>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</si>
  <si>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</si>
  <si>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</si>
  <si>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</si>
  <si>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</si>
  <si>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</si>
  <si>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</si>
  <si>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</si>
  <si>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</si>
  <si>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</si>
  <si>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</si>
  <si>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</si>
  <si>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</si>
  <si>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</si>
  <si>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</si>
  <si>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</si>
  <si>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</si>
  <si>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</si>
  <si>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</si>
  <si>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</si>
  <si>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</si>
  <si>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</si>
  <si>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</si>
  <si>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</si>
  <si>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</si>
  <si>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</si>
  <si>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</si>
  <si>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</si>
  <si>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</si>
  <si>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</si>
  <si>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</si>
  <si>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</si>
  <si>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</si>
  <si>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</si>
  <si>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</si>
  <si>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</si>
  <si>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</si>
  <si>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</si>
  <si>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</si>
  <si>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</si>
  <si>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</si>
  <si>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</si>
  <si>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</si>
  <si>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</si>
  <si>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</si>
  <si>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</si>
  <si>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</si>
  <si>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</si>
  <si>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</si>
  <si>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</si>
  <si>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</si>
  <si>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</si>
  <si>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</si>
  <si>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</si>
  <si>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</si>
  <si>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</si>
  <si>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</si>
  <si>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</si>
  <si>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</si>
  <si>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</si>
  <si>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</si>
  <si>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</si>
  <si>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</si>
  <si>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</si>
  <si>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</si>
  <si>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</si>
  <si>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</si>
  <si>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</si>
  <si>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</si>
  <si>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</si>
  <si>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</si>
  <si>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</si>
  <si>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</si>
  <si>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</si>
  <si>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</si>
  <si>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</si>
  <si>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</si>
  <si>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</si>
  <si>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</si>
  <si>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</si>
  <si>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</si>
  <si>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</si>
  <si>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</si>
  <si>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</si>
  <si>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</si>
  <si>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</si>
  <si>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</si>
  <si>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</si>
  <si>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</si>
  <si>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</si>
  <si>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</si>
  <si>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</si>
  <si>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</si>
  <si>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</si>
  <si>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</si>
  <si>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</si>
  <si>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</si>
  <si>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</si>
  <si>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</si>
  <si>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</si>
  <si>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</si>
  <si>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</si>
  <si>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</si>
  <si>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</si>
  <si>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</si>
  <si>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</si>
  <si>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</si>
  <si>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</si>
  <si>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</si>
  <si>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</si>
  <si>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</si>
  <si>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</si>
  <si>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</si>
  <si>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</si>
  <si>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</si>
  <si>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</si>
  <si>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</si>
  <si>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</si>
  <si>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</si>
  <si>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</si>
  <si>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</si>
  <si>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</si>
  <si>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</si>
  <si>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</si>
  <si>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</si>
  <si>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</si>
  <si>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</si>
  <si>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</si>
  <si>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</si>
  <si>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</si>
  <si>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</si>
  <si>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</si>
  <si>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</si>
  <si>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</si>
  <si>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</si>
  <si>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</si>
  <si>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</si>
  <si>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</si>
  <si>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</si>
  <si>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</si>
  <si>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</si>
  <si>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</si>
  <si>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</si>
  <si>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</si>
  <si>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</si>
  <si>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</si>
  <si>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</si>
  <si>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</si>
  <si>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</si>
  <si>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</si>
  <si>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</si>
  <si>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</si>
  <si>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</si>
  <si>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</si>
  <si>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</si>
  <si>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</si>
  <si>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</si>
  <si>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</si>
  <si>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</si>
  <si>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</si>
  <si>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</si>
  <si>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</si>
  <si>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</si>
  <si>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</si>
  <si>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</si>
  <si>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</si>
  <si>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</si>
  <si>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</si>
  <si>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</si>
  <si>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</si>
  <si>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</si>
  <si>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</si>
  <si>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</si>
  <si>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</si>
  <si>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</si>
  <si>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</si>
  <si>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</si>
  <si>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</si>
  <si>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</si>
  <si>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</si>
  <si>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</si>
  <si>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</si>
  <si>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</si>
  <si>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</si>
  <si>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</si>
  <si>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</si>
  <si>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</si>
  <si>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</si>
  <si>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</si>
  <si>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</si>
  <si>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</si>
  <si>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</si>
  <si>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</si>
  <si>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</si>
  <si>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</si>
  <si>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</si>
  <si>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</si>
  <si>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</si>
  <si>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</si>
  <si>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</si>
  <si>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</si>
  <si>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</si>
  <si>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</si>
  <si>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</si>
  <si>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</si>
  <si>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</si>
  <si>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</si>
  <si>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</si>
  <si>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</si>
  <si>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</si>
  <si>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</si>
  <si>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</si>
  <si>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</si>
  <si>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</si>
  <si>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</si>
  <si>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</si>
  <si>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</si>
  <si>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</si>
  <si>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</si>
  <si>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</si>
  <si>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</si>
  <si>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</si>
  <si>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</si>
  <si>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</si>
  <si>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</si>
  <si>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</si>
  <si>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</si>
  <si>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</si>
  <si>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</si>
  <si>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</si>
  <si>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</si>
  <si>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</si>
  <si>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</si>
  <si>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</si>
  <si>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</si>
  <si>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</si>
  <si>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</si>
  <si>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</si>
  <si>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</si>
  <si>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</si>
  <si>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</si>
  <si>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</si>
  <si>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</si>
  <si>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</si>
  <si>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</si>
  <si>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</si>
  <si>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</si>
  <si>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</si>
  <si>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</si>
  <si>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</si>
  <si>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</si>
  <si>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</si>
  <si>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</si>
  <si>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</si>
  <si>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</si>
  <si>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</si>
  <si>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</si>
  <si>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</si>
  <si>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</si>
  <si>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</si>
  <si>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</si>
  <si>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</si>
  <si>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</si>
  <si>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</si>
  <si>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</si>
  <si>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</si>
  <si>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</si>
  <si>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</si>
  <si>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</si>
  <si>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</si>
  <si>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</si>
  <si>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</si>
  <si>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</si>
  <si>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</si>
  <si>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</si>
  <si>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</si>
  <si>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</si>
  <si>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</si>
  <si>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</si>
  <si>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</si>
  <si>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</si>
  <si>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</si>
  <si>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</si>
  <si>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</si>
  <si>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</si>
  <si>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</si>
  <si>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</si>
  <si>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</si>
  <si>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</si>
  <si>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</si>
  <si>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</si>
  <si>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</si>
  <si>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</si>
  <si>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</si>
  <si>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</si>
  <si>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</si>
  <si>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</si>
  <si>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</si>
  <si>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</si>
  <si>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</si>
  <si>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</si>
  <si>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</si>
  <si>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</si>
  <si>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</si>
  <si>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</si>
  <si>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</si>
  <si>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</si>
  <si>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</si>
  <si>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</si>
  <si>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</si>
  <si>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</si>
  <si>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</si>
  <si>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</si>
  <si>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</si>
  <si>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</si>
  <si>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</si>
  <si>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</si>
  <si>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</si>
  <si>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</si>
  <si>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</si>
  <si>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</si>
  <si>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</si>
  <si>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</si>
  <si>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</si>
  <si>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</si>
  <si>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</si>
  <si>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</si>
  <si>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</si>
  <si>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</si>
  <si>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</si>
  <si>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</si>
  <si>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</si>
  <si>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</si>
  <si>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</si>
  <si>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</si>
  <si>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</si>
  <si>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</si>
  <si>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</si>
  <si>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</si>
  <si>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</si>
  <si>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</si>
  <si>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</si>
  <si>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</si>
  <si>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</si>
  <si>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</si>
  <si>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</si>
  <si>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</si>
  <si>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</si>
  <si>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</si>
  <si>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</si>
  <si>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</si>
  <si>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</si>
  <si>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</si>
  <si>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</si>
  <si>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</si>
  <si>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</si>
  <si>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</si>
  <si>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</si>
  <si>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</si>
  <si>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</si>
  <si>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</si>
  <si>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</si>
  <si>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</si>
  <si>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</si>
  <si>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</si>
  <si>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</si>
  <si>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</si>
  <si>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</si>
  <si>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</si>
  <si>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</si>
  <si>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</si>
  <si>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</si>
  <si>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</si>
  <si>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</si>
  <si>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</si>
  <si>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</si>
  <si>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</si>
  <si>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</si>
  <si>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</si>
  <si>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</si>
  <si>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</si>
  <si>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</si>
  <si>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</si>
  <si>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</si>
  <si>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</si>
  <si>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</si>
  <si>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</si>
  <si>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</si>
  <si>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</si>
  <si>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</si>
  <si>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</si>
  <si>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</si>
  <si>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</si>
  <si>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</si>
  <si>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</si>
  <si>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</si>
  <si>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</si>
  <si>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</si>
  <si>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</si>
  <si>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</si>
  <si>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</si>
  <si>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</si>
  <si>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</si>
  <si>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</si>
  <si>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</si>
  <si>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</si>
  <si>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</si>
  <si>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</si>
  <si>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</si>
  <si>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</si>
  <si>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</si>
  <si>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</si>
  <si>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</si>
  <si>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</si>
  <si>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</si>
  <si>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</si>
  <si>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</si>
  <si>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</si>
  <si>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</si>
  <si>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</si>
  <si>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</si>
  <si>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</si>
  <si>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</si>
  <si>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</si>
  <si>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</si>
  <si>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</si>
  <si>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</si>
  <si>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</si>
  <si>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</si>
  <si>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</si>
  <si>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</si>
  <si>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</si>
  <si>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</si>
  <si>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</si>
  <si>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</si>
  <si>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</si>
  <si>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</si>
  <si>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</si>
  <si>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</si>
  <si>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</si>
  <si>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</si>
  <si>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</si>
  <si>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</si>
  <si>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</si>
  <si>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</si>
  <si>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</si>
  <si>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</si>
  <si>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</si>
  <si>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</si>
  <si>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</si>
  <si>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</si>
  <si>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</si>
  <si>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</si>
  <si>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</si>
  <si>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</si>
  <si>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</si>
  <si>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</si>
  <si>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</si>
  <si>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</si>
  <si>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</si>
  <si>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</si>
  <si>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</si>
  <si>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</si>
  <si>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</si>
  <si>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</si>
  <si>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</si>
  <si>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</si>
  <si>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</si>
  <si>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</si>
  <si>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</si>
  <si>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</si>
  <si>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</si>
  <si>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</si>
  <si>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</si>
  <si>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</si>
  <si>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</si>
  <si>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</si>
  <si>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</si>
  <si>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</si>
  <si>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</si>
  <si>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</si>
  <si>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</si>
  <si>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</si>
  <si>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</si>
  <si>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</si>
  <si>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</si>
  <si>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</si>
  <si>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</si>
  <si>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</si>
  <si>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</si>
  <si>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</si>
  <si>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</si>
  <si>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</si>
  <si>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</si>
  <si>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</si>
  <si>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</si>
  <si>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</si>
  <si>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</si>
  <si>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</si>
  <si>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</si>
  <si>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</si>
  <si>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</si>
  <si>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</si>
  <si>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</si>
  <si>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</si>
  <si>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</si>
  <si>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</si>
  <si>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</si>
  <si>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</si>
  <si>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</si>
  <si>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</si>
  <si>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</si>
  <si>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</si>
  <si>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</si>
  <si>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</si>
  <si>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</si>
  <si>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</si>
  <si>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</si>
  <si>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</si>
  <si>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</si>
  <si>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</si>
  <si>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</si>
  <si>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</si>
  <si>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</si>
  <si>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</si>
  <si>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</si>
  <si>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</si>
  <si>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</si>
  <si>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</si>
  <si>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</si>
  <si>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</si>
  <si>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</si>
  <si>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</si>
  <si>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</si>
  <si>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</si>
  <si>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</si>
  <si>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</si>
  <si>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</si>
  <si>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</si>
  <si>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</si>
  <si>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</si>
  <si>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</si>
  <si>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</si>
  <si>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</si>
  <si>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</si>
  <si>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</si>
  <si>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</si>
  <si>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</si>
  <si>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</si>
  <si>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</si>
  <si>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</si>
  <si>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</si>
  <si>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</si>
  <si>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</si>
  <si>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</si>
  <si>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</si>
  <si>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</si>
  <si>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</si>
  <si>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</si>
  <si>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</si>
  <si>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</si>
  <si>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</si>
  <si>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</si>
  <si>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</si>
  <si>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</si>
  <si>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</si>
  <si>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</si>
  <si>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</si>
  <si>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</si>
  <si>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</si>
  <si>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</si>
  <si>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</si>
  <si>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</si>
  <si>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</si>
  <si>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</si>
  <si>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</si>
  <si>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</si>
  <si>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</si>
  <si>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</si>
  <si>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</si>
  <si>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</si>
  <si>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</si>
  <si>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</si>
  <si>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</si>
  <si>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</si>
  <si>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</si>
  <si>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</si>
  <si>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</si>
  <si>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</si>
  <si>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</si>
  <si>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</si>
  <si>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</si>
  <si>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</si>
  <si>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</si>
  <si>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</si>
  <si>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</si>
  <si>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</si>
  <si>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</si>
  <si>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</si>
  <si>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</si>
  <si>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</si>
  <si>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</si>
  <si>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</si>
  <si>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</si>
  <si>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</si>
  <si>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</si>
  <si>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</si>
  <si>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</si>
  <si>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</si>
  <si>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</si>
  <si>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</si>
  <si>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</si>
  <si>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</si>
  <si>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</si>
  <si>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</si>
  <si>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</si>
  <si>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</si>
  <si>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</si>
  <si>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</si>
  <si>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</si>
  <si>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</si>
  <si>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</si>
  <si>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</si>
  <si>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</si>
  <si>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</si>
  <si>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</si>
  <si>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</si>
  <si>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</si>
  <si>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</si>
  <si>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</si>
  <si>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</si>
  <si>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</si>
  <si>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</si>
  <si>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</si>
  <si>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</si>
  <si>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</si>
  <si>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</si>
  <si>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</si>
  <si>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</si>
  <si>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</si>
  <si>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</si>
  <si>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</si>
  <si>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</si>
  <si>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</si>
  <si>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</si>
  <si>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</si>
  <si>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</si>
  <si>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</si>
  <si>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</si>
  <si>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</si>
  <si>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</si>
  <si>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</si>
  <si>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</si>
  <si>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</si>
  <si>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</si>
  <si>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</si>
  <si>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</si>
  <si>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</si>
  <si>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</si>
  <si>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</si>
  <si>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</si>
  <si>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</si>
  <si>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</si>
  <si>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</si>
  <si>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</si>
  <si>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</si>
  <si>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</si>
  <si>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</si>
  <si>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</si>
  <si>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</si>
  <si>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</si>
  <si>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</si>
  <si>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</si>
  <si>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</si>
  <si>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</si>
  <si>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</si>
  <si>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</si>
  <si>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</si>
  <si>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</si>
  <si>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</si>
  <si>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</si>
  <si>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</si>
  <si>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</si>
  <si>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</si>
  <si>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</si>
  <si>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</si>
  <si>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</si>
  <si>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</si>
  <si>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</si>
  <si>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</si>
  <si>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</si>
  <si>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</si>
  <si>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</si>
  <si>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</si>
  <si>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</si>
  <si>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</si>
  <si>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</si>
  <si>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</si>
  <si>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</si>
  <si>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</si>
  <si>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</si>
  <si>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</si>
  <si>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</si>
  <si>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</si>
  <si>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</si>
  <si>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</si>
  <si>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</si>
  <si>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</si>
  <si>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</si>
  <si>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</si>
  <si>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</si>
  <si>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</si>
  <si>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</si>
  <si>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</si>
  <si>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</si>
  <si>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</si>
  <si>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</si>
  <si>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</si>
  <si>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</si>
  <si>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</si>
  <si>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</si>
  <si>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</si>
  <si>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</si>
  <si>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</si>
  <si>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</si>
  <si>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</si>
  <si>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</si>
  <si>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</si>
  <si>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</si>
  <si>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</si>
  <si>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</si>
  <si>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</si>
  <si>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</si>
  <si>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</si>
  <si>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</si>
  <si>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</si>
  <si>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</si>
  <si>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</si>
  <si>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</si>
  <si>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</si>
  <si>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</si>
  <si>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</si>
  <si>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</si>
  <si>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</si>
  <si>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</si>
  <si>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</si>
  <si>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</si>
  <si>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</si>
  <si>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</si>
  <si>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</si>
  <si>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</si>
  <si>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</si>
  <si>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</si>
  <si>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</si>
  <si>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</si>
  <si>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</si>
  <si>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</si>
  <si>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</si>
  <si>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</si>
  <si>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</si>
  <si>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</si>
  <si>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</si>
  <si>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</si>
  <si>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</si>
  <si>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</si>
  <si>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</si>
  <si>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</si>
  <si>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</si>
  <si>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</si>
  <si>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</si>
  <si>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</si>
  <si>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</si>
  <si>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</si>
  <si>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</si>
  <si>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</si>
  <si>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</si>
  <si>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</si>
  <si>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</si>
  <si>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</si>
  <si>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</si>
  <si>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</si>
  <si>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</si>
  <si>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</si>
  <si>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</si>
  <si>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</si>
  <si>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</si>
  <si>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</si>
  <si>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</si>
  <si>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</si>
  <si>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</si>
  <si>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</si>
  <si>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</si>
  <si>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</si>
  <si>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</si>
  <si>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</si>
  <si>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</si>
  <si>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</si>
  <si>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</si>
  <si>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</si>
  <si>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</si>
  <si>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</si>
  <si>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</si>
  <si>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</si>
  <si>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</si>
  <si>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</si>
  <si>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</si>
  <si>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</si>
  <si>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</si>
  <si>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</si>
  <si>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</si>
  <si>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</si>
  <si>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</si>
  <si>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</si>
  <si>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</si>
  <si>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</si>
  <si>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</si>
  <si>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</si>
  <si>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</si>
  <si>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</si>
  <si>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</si>
  <si>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</si>
  <si>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</si>
  <si>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</si>
  <si>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</si>
  <si>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</si>
  <si>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</si>
  <si>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</si>
  <si>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</si>
  <si>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</si>
  <si>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</si>
  <si>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</si>
  <si>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</si>
  <si>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</si>
  <si>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</si>
  <si>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</si>
  <si>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</si>
  <si>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</si>
  <si>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</si>
  <si>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</si>
  <si>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</si>
  <si>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</si>
  <si>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</si>
  <si>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</si>
  <si>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</si>
  <si>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</si>
  <si>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</si>
  <si>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</si>
  <si>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</si>
  <si>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</si>
  <si>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</si>
  <si>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</si>
  <si>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</si>
  <si>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</si>
  <si>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</si>
  <si>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</si>
  <si>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</si>
  <si>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</si>
  <si>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</si>
  <si>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</si>
  <si>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</si>
  <si>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</si>
  <si>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</si>
  <si>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</si>
  <si>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</si>
  <si>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</si>
  <si>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</si>
  <si>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</si>
  <si>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</si>
  <si>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</si>
  <si>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</si>
  <si>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</si>
  <si>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</si>
  <si>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</si>
  <si>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</si>
  <si>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</si>
  <si>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</si>
  <si>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</si>
  <si>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</si>
  <si>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</si>
  <si>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</si>
  <si>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</si>
  <si>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</si>
  <si>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</si>
  <si>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</si>
  <si>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</si>
  <si>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</si>
  <si>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</si>
  <si>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</si>
  <si>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</si>
  <si>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</si>
  <si>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</si>
  <si>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</si>
  <si>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</si>
  <si>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</si>
  <si>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</si>
  <si>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</si>
  <si>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</si>
  <si>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</si>
  <si>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</si>
  <si>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</si>
  <si>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</si>
  <si>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</si>
  <si>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</si>
  <si>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</si>
  <si>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</si>
  <si>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</si>
  <si>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</si>
  <si>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</si>
  <si>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</si>
  <si>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</si>
  <si>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</si>
  <si>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</si>
  <si>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</si>
  <si>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</si>
  <si>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</si>
  <si>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</si>
  <si>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</si>
  <si>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</si>
  <si>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</si>
  <si>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</si>
  <si>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</si>
  <si>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</si>
  <si>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</si>
  <si>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</si>
  <si>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</si>
  <si>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</si>
  <si>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</si>
  <si>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</si>
  <si>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</si>
  <si>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</si>
  <si>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</si>
  <si>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</si>
  <si>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</si>
  <si>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</si>
  <si>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</si>
  <si>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</si>
  <si>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</si>
  <si>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</si>
  <si>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</si>
  <si>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</si>
  <si>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</si>
  <si>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</si>
  <si>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</si>
  <si>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</si>
  <si>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</si>
  <si>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</si>
  <si>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</si>
  <si>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</si>
  <si>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</si>
  <si>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</si>
  <si>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</si>
  <si>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</si>
  <si>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</si>
  <si>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</si>
  <si>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</si>
  <si>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</si>
  <si>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</si>
  <si>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</si>
  <si>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</si>
  <si>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</si>
  <si>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</si>
  <si>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</si>
  <si>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</si>
  <si>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</si>
  <si>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</si>
  <si>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</si>
  <si>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</si>
  <si>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</si>
  <si>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</si>
  <si>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</si>
  <si>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</si>
  <si>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</si>
  <si>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</si>
  <si>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</si>
  <si>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</si>
  <si>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</si>
  <si>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</si>
  <si>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</si>
  <si>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</si>
  <si>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</si>
  <si>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</si>
  <si>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</si>
  <si>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</si>
  <si>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</si>
  <si>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</si>
  <si>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</si>
  <si>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</si>
  <si>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</si>
  <si>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</si>
  <si>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</si>
  <si>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</si>
  <si>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</si>
  <si>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</si>
  <si>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</si>
  <si>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</si>
  <si>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</si>
  <si>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</si>
  <si>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</si>
  <si>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</si>
  <si>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</si>
  <si>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</si>
  <si>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</si>
  <si>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</si>
  <si>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</si>
  <si>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</si>
  <si>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</si>
  <si>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</si>
  <si>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</si>
  <si>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</si>
  <si>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</si>
  <si>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</si>
  <si>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</si>
  <si>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</si>
  <si>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</si>
  <si>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</si>
  <si>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</si>
  <si>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</si>
  <si>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</si>
  <si>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</si>
  <si>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</si>
  <si>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</si>
  <si>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</si>
  <si>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</si>
  <si>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</si>
  <si>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</si>
  <si>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</si>
  <si>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</si>
  <si>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</si>
  <si>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</si>
  <si>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</si>
  <si>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</si>
  <si>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</si>
  <si>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</si>
  <si>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</si>
  <si>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</si>
  <si>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</si>
  <si>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</si>
  <si>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</si>
  <si>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</si>
  <si>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</si>
  <si>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</si>
  <si>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</si>
  <si>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</si>
  <si>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</si>
  <si>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</si>
  <si>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</si>
  <si>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</si>
  <si>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</si>
  <si>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</si>
  <si>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</si>
  <si>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</si>
  <si>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</si>
  <si>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</si>
  <si>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</si>
  <si>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</si>
  <si>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</si>
  <si>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</si>
  <si>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</si>
  <si>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</si>
  <si>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</si>
  <si>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</si>
  <si>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</si>
  <si>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</si>
  <si>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</si>
  <si>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</si>
  <si>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</si>
  <si>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</si>
  <si>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</si>
  <si>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</si>
  <si>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</si>
  <si>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</si>
  <si>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</si>
  <si>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</si>
  <si>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</si>
  <si>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</si>
  <si>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</si>
  <si>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</si>
  <si>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</si>
  <si>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</si>
  <si>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</si>
  <si>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</si>
  <si>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</si>
  <si>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</si>
  <si>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</si>
  <si>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</si>
  <si>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</si>
  <si>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</si>
  <si>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</si>
  <si>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</si>
  <si>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</si>
  <si>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</si>
  <si>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</si>
  <si>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</si>
  <si>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</si>
  <si>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</si>
  <si>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</si>
  <si>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</si>
  <si>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</si>
  <si>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</si>
  <si>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</si>
  <si>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</si>
  <si>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</si>
  <si>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</si>
  <si>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</si>
  <si>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</si>
  <si>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</si>
  <si>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</si>
  <si>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</si>
  <si>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</si>
  <si>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</si>
  <si>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</si>
  <si>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</si>
  <si>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</si>
  <si>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</si>
  <si>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</si>
  <si>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</si>
  <si>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</si>
  <si>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</si>
  <si>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</si>
  <si>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</si>
  <si>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</si>
  <si>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</si>
  <si>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</si>
  <si>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</si>
  <si>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</si>
  <si>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</si>
  <si>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</si>
  <si>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</si>
  <si>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</si>
  <si>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</si>
  <si>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</si>
  <si>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</si>
  <si>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</si>
  <si>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</si>
  <si>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</si>
  <si>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</si>
  <si>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</si>
  <si>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</si>
  <si>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</si>
  <si>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</si>
  <si>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</si>
  <si>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</si>
  <si>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</si>
  <si>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</si>
  <si>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</si>
  <si>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</si>
  <si>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</si>
  <si>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</si>
  <si>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</si>
  <si>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</si>
  <si>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</si>
  <si>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</si>
  <si>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</si>
  <si>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</si>
  <si>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</si>
  <si>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</si>
  <si>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</si>
  <si>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</si>
  <si>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</si>
  <si>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</si>
  <si>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</si>
  <si>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</si>
  <si>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</si>
  <si>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</si>
  <si>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</si>
  <si>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</si>
  <si>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</si>
  <si>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</si>
  <si>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</si>
  <si>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</si>
  <si>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</si>
  <si>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</si>
  <si>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</si>
  <si>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</si>
  <si>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</si>
  <si>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</si>
  <si>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</si>
  <si>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</si>
  <si>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</si>
  <si>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</si>
  <si>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</si>
  <si>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</si>
  <si>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</si>
  <si>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</si>
  <si>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</si>
  <si>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</si>
  <si>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</si>
  <si>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</si>
  <si>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</si>
  <si>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</si>
  <si>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</si>
  <si>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</si>
  <si>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</si>
  <si>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</si>
  <si>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</si>
  <si>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</si>
  <si>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</si>
  <si>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</si>
  <si>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</si>
  <si>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</si>
  <si>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</si>
  <si>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</si>
  <si>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</si>
  <si>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</si>
  <si>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</si>
  <si>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</si>
  <si>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</si>
  <si>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</si>
  <si>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</si>
  <si>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</si>
  <si>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</si>
  <si>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</si>
  <si>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</si>
  <si>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</si>
  <si>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</si>
  <si>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</si>
  <si>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</si>
  <si>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</si>
  <si>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</si>
  <si>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</si>
  <si>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</si>
  <si>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</si>
  <si>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</si>
  <si>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</si>
  <si>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</si>
  <si>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</si>
  <si>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</si>
  <si>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</si>
  <si>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</si>
  <si>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</si>
  <si>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</si>
  <si>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</si>
  <si>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</si>
  <si>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</si>
  <si>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</si>
  <si>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</si>
  <si>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</si>
  <si>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</si>
  <si>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</si>
  <si>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</si>
  <si>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</si>
  <si>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</si>
  <si>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</si>
  <si>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</si>
  <si>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</si>
  <si>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</si>
  <si>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</si>
  <si>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</si>
  <si>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</si>
  <si>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</si>
  <si>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</si>
  <si>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</si>
  <si>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</si>
  <si>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</si>
  <si>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</si>
  <si>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</si>
  <si>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</si>
  <si>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</si>
  <si>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</si>
  <si>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</si>
  <si>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</si>
  <si>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</si>
  <si>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</si>
  <si>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</si>
  <si>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</si>
  <si>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</si>
  <si>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</si>
  <si>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</si>
  <si>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</si>
  <si>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</si>
  <si>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</si>
  <si>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</si>
  <si>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</si>
  <si>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</si>
  <si>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</si>
  <si>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</si>
  <si>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</si>
  <si>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</si>
  <si>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</si>
  <si>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</si>
  <si>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</si>
  <si>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</si>
  <si>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</si>
  <si>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</si>
  <si>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</si>
  <si>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</si>
  <si>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</si>
  <si>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</si>
  <si>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</si>
  <si>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</si>
  <si>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</si>
  <si>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</si>
  <si>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</si>
  <si>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</si>
  <si>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</si>
  <si>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</si>
  <si>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</si>
  <si>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</si>
  <si>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</si>
  <si>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</si>
  <si>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</si>
  <si>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</si>
  <si>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</si>
  <si>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</si>
  <si>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</si>
  <si>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</si>
  <si>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</si>
  <si>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</si>
  <si>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</si>
  <si>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</si>
  <si>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</si>
  <si>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</si>
  <si>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</si>
  <si>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</si>
  <si>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</si>
  <si>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</si>
  <si>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</si>
  <si>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</si>
  <si>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</si>
  <si>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</si>
  <si>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</si>
  <si>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</si>
  <si>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</si>
  <si>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</si>
  <si>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</si>
  <si>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</si>
  <si>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</si>
  <si>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</si>
  <si>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</si>
  <si>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</si>
  <si>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</si>
  <si>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</si>
  <si>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</si>
  <si>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</si>
  <si>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</si>
  <si>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</si>
  <si>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</si>
  <si>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</si>
  <si>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</si>
  <si>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</si>
  <si>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</si>
  <si>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</si>
  <si>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</si>
  <si>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</si>
  <si>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</si>
  <si>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</si>
  <si>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</si>
  <si>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</si>
  <si>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</si>
  <si>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</si>
  <si>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</si>
  <si>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</si>
  <si>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</si>
  <si>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</si>
  <si>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</si>
  <si>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</si>
  <si>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</si>
  <si>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</si>
  <si>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</si>
  <si>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</si>
  <si>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</si>
  <si>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</si>
  <si>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</si>
  <si>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</si>
  <si>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</si>
  <si>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</si>
  <si>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</si>
  <si>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</si>
  <si>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</si>
  <si>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</si>
  <si>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</si>
  <si>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</si>
  <si>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</si>
  <si>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</si>
  <si>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</si>
  <si>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</si>
  <si>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</si>
  <si>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</si>
  <si>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</si>
  <si>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</si>
  <si>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</si>
  <si>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</si>
  <si>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</si>
  <si>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</si>
  <si>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</si>
  <si>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</si>
  <si>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</si>
  <si>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</si>
  <si>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</si>
  <si>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</si>
  <si>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</si>
  <si>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</si>
  <si>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</si>
  <si>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</si>
  <si>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</si>
  <si>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</si>
  <si>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</si>
  <si>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</si>
  <si>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</si>
  <si>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</si>
  <si>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</si>
  <si>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</si>
  <si>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</si>
  <si>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</si>
  <si>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</si>
  <si>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</si>
  <si>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</si>
  <si>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</si>
  <si>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</si>
  <si>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</si>
  <si>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</si>
  <si>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</si>
  <si>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</si>
  <si>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</si>
  <si>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</si>
  <si>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</si>
  <si>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</si>
  <si>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</si>
  <si>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</si>
  <si>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</si>
  <si>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</si>
  <si>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</si>
  <si>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</si>
  <si>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</si>
  <si>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</si>
  <si>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</si>
  <si>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</si>
  <si>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</si>
  <si>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</si>
  <si>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</si>
  <si>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</si>
  <si>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</si>
  <si>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</si>
  <si>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</si>
  <si>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</si>
  <si>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</si>
  <si>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</si>
  <si>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</si>
  <si>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</si>
  <si>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</si>
  <si>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</si>
  <si>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</si>
  <si>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</si>
  <si>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</si>
  <si>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</si>
  <si>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</si>
  <si>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</si>
  <si>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</si>
  <si>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</si>
  <si>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</si>
  <si>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</si>
  <si>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</si>
  <si>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</si>
  <si>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</si>
  <si>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</si>
  <si>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</si>
  <si>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</si>
  <si>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</si>
  <si>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</si>
  <si>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</si>
  <si>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</si>
  <si>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</si>
  <si>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</si>
  <si>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</si>
  <si>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</si>
  <si>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</si>
  <si>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</si>
  <si>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</si>
  <si>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</si>
  <si>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</si>
  <si>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</si>
  <si>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</si>
  <si>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</si>
  <si>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</si>
  <si>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</si>
  <si>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</si>
  <si>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</si>
  <si>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</si>
  <si>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</si>
  <si>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</si>
  <si>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</si>
  <si>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</si>
  <si>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</si>
  <si>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</si>
  <si>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</si>
  <si>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</si>
  <si>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</si>
  <si>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</si>
  <si>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</si>
  <si>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</si>
  <si>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</si>
  <si>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</si>
  <si>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</si>
  <si>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</si>
  <si>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</si>
  <si>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</si>
  <si>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</si>
  <si>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</si>
  <si>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</si>
  <si>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</si>
  <si>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</si>
  <si>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</si>
  <si>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</si>
  <si>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</si>
  <si>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</si>
  <si>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</si>
  <si>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</si>
  <si>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</si>
  <si>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</si>
  <si>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</si>
  <si>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</si>
  <si>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</si>
  <si>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</si>
  <si>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</si>
  <si>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</si>
  <si>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</si>
  <si>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</si>
  <si>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</si>
  <si>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</si>
  <si>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</si>
  <si>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</si>
  <si>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</si>
  <si>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</si>
  <si>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</si>
  <si>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</si>
  <si>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</si>
  <si>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</si>
  <si>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</si>
  <si>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</si>
  <si>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</si>
  <si>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</si>
  <si>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</si>
  <si>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</si>
  <si>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</si>
  <si>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</si>
  <si>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</si>
  <si>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</si>
  <si>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</si>
  <si>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</si>
  <si>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</si>
  <si>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</si>
  <si>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</si>
  <si>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</si>
  <si>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</si>
  <si>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</si>
  <si>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</si>
  <si>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</si>
  <si>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</si>
  <si>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</si>
  <si>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</si>
  <si>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</si>
  <si>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</si>
  <si>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</si>
  <si>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</si>
  <si>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</si>
  <si>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</si>
  <si>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</si>
  <si>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</si>
  <si>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</si>
  <si>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</si>
  <si>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</si>
  <si>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</si>
  <si>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</si>
  <si>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</si>
  <si>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</si>
  <si>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</si>
  <si>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</si>
  <si>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</si>
  <si>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</si>
  <si>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</si>
  <si>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</si>
  <si>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</si>
  <si>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</si>
  <si>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</si>
  <si>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</si>
  <si>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</si>
  <si>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</si>
  <si>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</si>
  <si>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</si>
  <si>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</si>
  <si>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</si>
  <si>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</si>
  <si>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</si>
  <si>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</si>
  <si>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</si>
  <si>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</si>
  <si>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</si>
  <si>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</si>
  <si>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</si>
  <si>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</si>
  <si>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</si>
  <si>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</si>
  <si>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</si>
  <si>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</si>
  <si>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</si>
  <si>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</si>
  <si>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</si>
  <si>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</si>
  <si>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</si>
  <si>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</si>
  <si>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</si>
  <si>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</si>
  <si>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</si>
  <si>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</si>
  <si>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</si>
  <si>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</si>
  <si>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</si>
  <si>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</si>
  <si>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</si>
  <si>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</si>
  <si>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</si>
  <si>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</si>
  <si>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</si>
  <si>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</si>
  <si>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</si>
  <si>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</si>
  <si>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</si>
  <si>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</si>
  <si>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</si>
  <si>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</si>
  <si>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</si>
  <si>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</si>
  <si>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</si>
  <si>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</si>
  <si>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</si>
  <si>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</si>
  <si>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</si>
  <si>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</si>
  <si>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</si>
  <si>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</si>
  <si>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</si>
  <si>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</si>
  <si>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</si>
  <si>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</si>
  <si>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</si>
  <si>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</si>
  <si>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</si>
  <si>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</si>
  <si>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</si>
  <si>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</si>
  <si>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</si>
  <si>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</si>
  <si>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</si>
  <si>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</si>
  <si>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</si>
  <si>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</si>
  <si>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</si>
  <si>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</si>
  <si>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</si>
  <si>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</si>
  <si>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</si>
  <si>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</si>
  <si>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</si>
  <si>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</si>
  <si>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</si>
  <si>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</si>
  <si>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</si>
  <si>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</si>
  <si>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</si>
  <si>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</si>
  <si>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</si>
  <si>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</si>
  <si>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</si>
  <si>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</si>
  <si>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</si>
  <si>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</si>
  <si>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</si>
  <si>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</si>
  <si>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</si>
  <si>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</si>
  <si>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</si>
  <si>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</si>
  <si>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</si>
  <si>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</si>
  <si>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</si>
  <si>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</si>
  <si>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</si>
  <si>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</si>
  <si>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</si>
  <si>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</si>
  <si>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</si>
  <si>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</si>
  <si>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</si>
  <si>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</si>
  <si>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</si>
  <si>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</si>
  <si>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</si>
  <si>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</si>
  <si>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</si>
  <si>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</si>
  <si>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</si>
  <si>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</si>
  <si>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</si>
  <si>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</si>
  <si>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</si>
  <si>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</si>
  <si>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</si>
  <si>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</si>
  <si>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</si>
  <si>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</si>
  <si>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</si>
  <si>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</si>
  <si>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</si>
  <si>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</si>
  <si>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</si>
  <si>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</si>
  <si>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</si>
  <si>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</si>
  <si>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</si>
  <si>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</si>
  <si>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</si>
  <si>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</si>
  <si>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</si>
  <si>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</si>
  <si>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</si>
  <si>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</si>
  <si>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</si>
  <si>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</si>
  <si>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</si>
  <si>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</si>
  <si>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</si>
  <si>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</si>
  <si>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</si>
  <si>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</si>
  <si>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</si>
  <si>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</si>
  <si>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</si>
  <si>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</si>
  <si>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</si>
  <si>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</si>
  <si>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</si>
  <si>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</si>
  <si>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</si>
  <si>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</si>
  <si>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</si>
  <si>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</si>
  <si>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</si>
  <si>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</si>
  <si>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</si>
  <si>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</si>
  <si>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</si>
  <si>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</si>
  <si>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</si>
  <si>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</si>
  <si>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</si>
  <si>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</si>
  <si>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</si>
  <si>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</si>
  <si>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</si>
  <si>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</si>
  <si>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</si>
  <si>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</si>
  <si>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</si>
  <si>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</si>
  <si>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</si>
  <si>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</si>
  <si>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</si>
  <si>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</si>
  <si>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</si>
  <si>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</si>
  <si>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</si>
  <si>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</si>
  <si>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</si>
  <si>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</si>
  <si>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</si>
  <si>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</si>
  <si>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</si>
  <si>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</si>
  <si>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</si>
  <si>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</si>
  <si>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</si>
  <si>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</si>
  <si>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</si>
  <si>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</si>
  <si>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</si>
  <si>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</si>
  <si>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</si>
  <si>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</si>
  <si>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</si>
  <si>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</si>
  <si>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</si>
  <si>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</si>
  <si>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</si>
  <si>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</si>
  <si>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</si>
  <si>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</si>
  <si>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</si>
  <si>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</si>
  <si>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</si>
  <si>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</si>
  <si>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</si>
  <si>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</si>
  <si>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</si>
  <si>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</si>
  <si>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</si>
  <si>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</si>
  <si>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</si>
  <si>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</si>
  <si>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</si>
  <si>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</si>
  <si>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</si>
  <si>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</si>
  <si>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</si>
  <si>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</si>
  <si>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</si>
  <si>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</si>
  <si>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</si>
  <si>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</si>
  <si>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</si>
  <si>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</si>
  <si>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</si>
  <si>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</si>
  <si>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</si>
  <si>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</si>
  <si>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</si>
  <si>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</si>
  <si>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</si>
  <si>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</si>
  <si>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</si>
  <si>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</si>
  <si>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</si>
  <si>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</si>
  <si>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</si>
  <si>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</si>
  <si>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</si>
  <si>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</si>
  <si>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</si>
  <si>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</si>
  <si>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</si>
  <si>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</si>
  <si>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</si>
  <si>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</si>
  <si>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</si>
  <si>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</si>
  <si>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</si>
  <si>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</si>
  <si>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</si>
  <si>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</si>
  <si>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</si>
  <si>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</si>
  <si>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</si>
  <si>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</si>
  <si>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</si>
  <si>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</si>
  <si>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</si>
  <si>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</si>
  <si>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</si>
  <si>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</si>
  <si>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</si>
  <si>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</si>
  <si>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</si>
  <si>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</si>
  <si>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</si>
  <si>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</si>
  <si>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</si>
  <si>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</si>
  <si>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</si>
  <si>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</si>
  <si>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</si>
  <si>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</si>
  <si>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</si>
  <si>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</si>
  <si>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</si>
  <si>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</si>
  <si>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</si>
  <si>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</si>
  <si>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</si>
  <si>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</si>
  <si>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</si>
  <si>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</si>
  <si>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</si>
  <si>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</si>
  <si>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</si>
  <si>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</si>
  <si>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</si>
  <si>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</si>
  <si>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</si>
  <si>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</si>
  <si>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</si>
  <si>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</si>
  <si>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</si>
  <si>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</si>
  <si>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</si>
  <si>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</si>
  <si>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</si>
  <si>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</si>
  <si>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</si>
  <si>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</si>
  <si>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</si>
  <si>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</si>
  <si>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</si>
  <si>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</si>
  <si>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</si>
  <si>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</si>
  <si>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</si>
  <si>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</si>
  <si>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</si>
  <si>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</si>
  <si>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</si>
  <si>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</si>
  <si>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</si>
  <si>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</si>
  <si>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</si>
  <si>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</si>
  <si>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</si>
  <si>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</si>
  <si>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</si>
  <si>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</si>
  <si>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</si>
  <si>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</si>
  <si>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</si>
  <si>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</si>
  <si>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</si>
  <si>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</si>
  <si>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</si>
  <si>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</si>
  <si>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</si>
  <si>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</si>
  <si>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</si>
  <si>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</si>
  <si>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</si>
  <si>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</si>
  <si>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</si>
  <si>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</si>
  <si>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</si>
  <si>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</si>
  <si>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</si>
  <si>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</si>
  <si>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</si>
  <si>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</si>
  <si>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</si>
  <si>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</si>
  <si>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</si>
  <si>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</si>
  <si>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</si>
  <si>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</si>
  <si>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</si>
  <si>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</si>
  <si>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</si>
  <si>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</si>
  <si>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</si>
  <si>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</si>
  <si>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</si>
  <si>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</si>
  <si>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</si>
  <si>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</si>
  <si>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</si>
  <si>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</si>
  <si>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</si>
  <si>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</si>
  <si>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</si>
  <si>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</si>
  <si>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</si>
  <si>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</si>
  <si>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</si>
  <si>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</si>
  <si>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</si>
  <si>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</si>
  <si>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</si>
  <si>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</si>
  <si>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</si>
  <si>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</si>
  <si>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</si>
  <si>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</si>
  <si>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</si>
  <si>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</si>
  <si>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</si>
  <si>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</si>
  <si>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</si>
  <si>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</si>
  <si>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</si>
  <si>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</si>
  <si>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</si>
  <si>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</si>
  <si>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</si>
  <si>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</si>
  <si>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</si>
  <si>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</si>
  <si>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</si>
  <si>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</si>
  <si>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</si>
  <si>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</si>
  <si>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</si>
  <si>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</si>
  <si>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</si>
  <si>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</si>
  <si>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</si>
  <si>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</si>
  <si>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</si>
  <si>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</si>
  <si>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</si>
  <si>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</si>
  <si>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</si>
  <si>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</si>
  <si>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</si>
  <si>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</si>
  <si>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</si>
  <si>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</si>
  <si>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</si>
  <si>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</si>
  <si>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</si>
  <si>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</si>
  <si>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</si>
  <si>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</si>
  <si>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</si>
  <si>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</si>
  <si>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</si>
  <si>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</si>
  <si>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</si>
  <si>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</si>
  <si>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</si>
  <si>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</si>
  <si>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</si>
  <si>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</si>
  <si>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</si>
  <si>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</si>
  <si>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</si>
  <si>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</si>
  <si>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</si>
  <si>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</si>
  <si>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</si>
  <si>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</si>
  <si>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</si>
  <si>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</si>
  <si>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</si>
  <si>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</si>
  <si>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</si>
  <si>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</si>
  <si>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</si>
  <si>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</si>
  <si>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</si>
  <si>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</si>
  <si>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</si>
  <si>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</si>
  <si>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</si>
  <si>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</si>
  <si>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</si>
  <si>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</si>
  <si>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</si>
  <si>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</si>
  <si>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</si>
  <si>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</si>
  <si>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</si>
  <si>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</si>
  <si>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</si>
  <si>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</si>
  <si>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</si>
  <si>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</si>
  <si>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</si>
  <si>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</si>
  <si>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</si>
  <si>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</si>
  <si>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</si>
  <si>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</si>
  <si>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</si>
  <si>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</si>
  <si>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</si>
  <si>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</si>
  <si>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</si>
  <si>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</si>
  <si>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</si>
  <si>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</si>
  <si>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</si>
  <si>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</si>
  <si>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</si>
  <si>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</si>
  <si>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</si>
  <si>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</si>
  <si>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</si>
  <si>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</si>
  <si>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</si>
  <si>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</si>
  <si>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</si>
  <si>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</si>
  <si>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</si>
  <si>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</si>
  <si>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</si>
  <si>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</si>
  <si>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</si>
  <si>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</si>
  <si>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</si>
  <si>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</si>
  <si>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</si>
  <si>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</si>
  <si>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</si>
  <si>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</si>
  <si>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</si>
  <si>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</si>
  <si>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</si>
  <si>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</si>
  <si>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</si>
  <si>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</si>
  <si>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</si>
  <si>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</si>
  <si>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</si>
  <si>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</si>
  <si>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</si>
  <si>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</si>
  <si>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</si>
  <si>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</si>
  <si>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</si>
  <si>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</si>
  <si>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</si>
  <si>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</si>
  <si>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</si>
  <si>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</si>
  <si>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</si>
  <si>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</si>
  <si>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</si>
  <si>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</si>
  <si>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</si>
  <si>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</si>
  <si>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</si>
  <si>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</si>
  <si>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</si>
  <si>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</si>
  <si>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</si>
  <si>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</si>
  <si>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</si>
  <si>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</si>
  <si>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</si>
  <si>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</si>
  <si>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</si>
  <si>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</si>
  <si>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</si>
  <si>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</si>
  <si>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</si>
  <si>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</si>
  <si>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</si>
  <si>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</si>
  <si>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</si>
  <si>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</si>
  <si>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</si>
  <si>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</si>
  <si>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</si>
  <si>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</si>
  <si>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</si>
  <si>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</si>
  <si>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</si>
  <si>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</si>
  <si>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</si>
  <si>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</si>
  <si>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</si>
  <si>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</si>
  <si>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</si>
  <si>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</si>
  <si>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</si>
  <si>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</si>
  <si>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</si>
  <si>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</si>
  <si>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</si>
  <si>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</si>
  <si>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</si>
  <si>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</si>
  <si>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</si>
  <si>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</si>
  <si>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</si>
  <si>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</si>
  <si>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</si>
  <si>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</si>
  <si>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</si>
  <si>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</si>
  <si>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</si>
  <si>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</si>
  <si>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</si>
  <si>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</si>
  <si>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</si>
  <si>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</si>
  <si>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</si>
  <si>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</si>
  <si>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</si>
  <si>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</si>
  <si>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</si>
  <si>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</si>
  <si>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</si>
  <si>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</si>
  <si>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</si>
  <si>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</si>
  <si>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</si>
  <si>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</si>
  <si>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</si>
  <si>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</si>
  <si>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</si>
  <si>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</si>
  <si>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</si>
  <si>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</si>
  <si>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</si>
  <si>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</si>
  <si>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</si>
  <si>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</si>
  <si>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</si>
  <si>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</si>
  <si>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</si>
  <si>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</si>
  <si>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</si>
  <si>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</si>
  <si>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</si>
  <si>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</si>
  <si>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</si>
  <si>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</si>
  <si>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</si>
  <si>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</si>
  <si>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</si>
  <si>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</si>
  <si>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</si>
  <si>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</si>
  <si>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</si>
  <si>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</si>
  <si>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</si>
  <si>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</si>
  <si>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</si>
  <si>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</si>
  <si>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</si>
  <si>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</si>
  <si>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</si>
  <si>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</si>
  <si>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</si>
  <si>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</si>
  <si>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</si>
  <si>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</si>
  <si>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</si>
  <si>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</si>
  <si>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</si>
  <si>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</si>
  <si>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</si>
  <si>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</si>
  <si>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</si>
  <si>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</si>
  <si>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</si>
  <si>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</si>
  <si>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</si>
  <si>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</si>
  <si>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</si>
  <si>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</si>
  <si>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</si>
  <si>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</si>
  <si>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</si>
  <si>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</si>
  <si>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</si>
  <si>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</si>
  <si>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</si>
  <si>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</si>
  <si>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</si>
  <si>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</si>
  <si>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</si>
  <si>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</si>
  <si>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</si>
  <si>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</si>
  <si>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</si>
  <si>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</si>
  <si>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</si>
  <si>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</si>
  <si>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</si>
  <si>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</si>
  <si>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</si>
  <si>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</si>
  <si>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</si>
  <si>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</si>
  <si>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</si>
  <si>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</si>
  <si>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</si>
  <si>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</si>
  <si>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</si>
  <si>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</si>
  <si>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</si>
  <si>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</si>
  <si>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</si>
  <si>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</si>
  <si>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</si>
  <si>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</si>
  <si>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</si>
  <si>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</si>
  <si>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</si>
  <si>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</si>
  <si>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</si>
  <si>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</si>
  <si>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</si>
  <si>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</si>
  <si>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</si>
  <si>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</si>
  <si>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</si>
  <si>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</si>
  <si>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</si>
  <si>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</si>
  <si>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</si>
  <si>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</si>
  <si>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</si>
  <si>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</si>
  <si>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</si>
  <si>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</si>
  <si>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</si>
  <si>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</si>
  <si>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</si>
  <si>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</si>
  <si>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</si>
  <si>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</si>
  <si>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</si>
  <si>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</si>
  <si>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</si>
  <si>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</si>
  <si>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</si>
  <si>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</si>
  <si>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</si>
  <si>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</si>
  <si>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</si>
  <si>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</si>
  <si>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</si>
  <si>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</si>
  <si>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</si>
  <si>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</si>
  <si>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</si>
  <si>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</si>
  <si>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</si>
  <si>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</si>
  <si>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</si>
  <si>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</si>
  <si>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</si>
  <si>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</si>
  <si>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</si>
  <si>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</si>
  <si>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</si>
  <si>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</si>
  <si>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</si>
  <si>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</si>
  <si>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</si>
  <si>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</si>
  <si>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</si>
  <si>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</si>
  <si>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</si>
  <si>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</si>
  <si>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</si>
  <si>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</si>
  <si>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</si>
  <si>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</si>
  <si>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</si>
  <si>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</si>
  <si>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</si>
  <si>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</si>
  <si>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</si>
  <si>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</si>
  <si>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</si>
  <si>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</si>
  <si>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</si>
  <si>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</si>
  <si>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</si>
  <si>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</si>
  <si>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</si>
  <si>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</si>
  <si>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</si>
  <si>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</si>
  <si>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</si>
  <si>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</si>
  <si>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</si>
  <si>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</si>
  <si>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</si>
  <si>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</si>
  <si>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</si>
  <si>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</si>
  <si>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</si>
  <si>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</si>
  <si>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</si>
  <si>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</si>
  <si>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</si>
  <si>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</si>
  <si>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</si>
  <si>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</si>
  <si>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</si>
  <si>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</si>
  <si>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</si>
  <si>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</si>
  <si>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</si>
  <si>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</si>
  <si>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</si>
  <si>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</si>
  <si>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</si>
  <si>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</si>
  <si>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</si>
  <si>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</si>
  <si>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</si>
  <si>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</si>
  <si>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</si>
  <si>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</si>
  <si>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</si>
  <si>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</si>
  <si>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</si>
  <si>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</si>
  <si>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</si>
  <si>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</si>
  <si>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</si>
  <si>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</si>
  <si>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</si>
  <si>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</si>
  <si>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</si>
  <si>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</si>
  <si>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</si>
  <si>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</si>
  <si>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</si>
  <si>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</si>
  <si>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</si>
  <si>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</si>
  <si>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</si>
  <si>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</si>
  <si>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</si>
  <si>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</si>
  <si>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</si>
  <si>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</si>
  <si>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</si>
  <si>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</si>
  <si>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</si>
  <si>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</si>
  <si>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</si>
  <si>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</si>
  <si>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</si>
  <si>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</si>
  <si>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</si>
  <si>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</si>
  <si>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</si>
  <si>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</si>
  <si>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</si>
  <si>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</si>
  <si>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</si>
  <si>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</si>
  <si>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</si>
  <si>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</si>
  <si>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</si>
  <si>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</si>
  <si>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</si>
  <si>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</si>
  <si>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</si>
  <si>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</si>
  <si>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</si>
  <si>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</si>
  <si>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</si>
  <si>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</si>
  <si>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</si>
  <si>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</si>
  <si>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</si>
  <si>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</si>
  <si>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</si>
  <si>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</si>
  <si>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</si>
  <si>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</si>
  <si>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</si>
  <si>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</si>
  <si>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</si>
  <si>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</si>
  <si>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</si>
  <si>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</si>
  <si>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</si>
  <si>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</si>
  <si>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</si>
  <si>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</si>
  <si>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</si>
  <si>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</si>
  <si>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</si>
  <si>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</si>
  <si>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</si>
  <si>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</si>
  <si>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</si>
  <si>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</si>
  <si>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</si>
  <si>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</si>
  <si>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</si>
  <si>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</si>
  <si>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</si>
  <si>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</si>
  <si>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</si>
  <si>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</si>
  <si>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</si>
  <si>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</si>
  <si>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</si>
  <si>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</si>
  <si>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</si>
  <si>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</si>
  <si>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</si>
  <si>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</si>
  <si>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</si>
  <si>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</si>
  <si>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</si>
  <si>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</si>
  <si>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</si>
  <si>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</si>
  <si>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</si>
  <si>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</si>
  <si>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</si>
  <si>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</si>
  <si>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</si>
  <si>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</si>
  <si>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</si>
  <si>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</si>
  <si>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</si>
  <si>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</si>
  <si>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</si>
  <si>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</si>
  <si>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</si>
  <si>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</si>
  <si>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</si>
  <si>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</si>
  <si>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</si>
  <si>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</si>
  <si>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</si>
  <si>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</si>
  <si>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</si>
  <si>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</si>
  <si>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</si>
  <si>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</si>
  <si>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</si>
  <si>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</si>
  <si>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</si>
  <si>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</si>
  <si>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</si>
  <si>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</si>
  <si>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</si>
  <si>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</si>
  <si>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</si>
  <si>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</si>
  <si>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</si>
  <si>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</si>
  <si>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</si>
  <si>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</si>
  <si>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</si>
  <si>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</si>
  <si>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</si>
  <si>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</si>
  <si>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</si>
  <si>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</si>
  <si>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</si>
  <si>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</si>
  <si>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</si>
  <si>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</si>
  <si>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</si>
  <si>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</si>
  <si>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</si>
  <si>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</si>
  <si>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</si>
  <si>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</si>
  <si>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</si>
  <si>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</si>
  <si>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</si>
  <si>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</si>
  <si>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</si>
  <si>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</si>
  <si>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</si>
  <si>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</si>
  <si>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</si>
  <si>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</si>
  <si>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</si>
  <si>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</si>
  <si>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</si>
  <si>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</si>
  <si>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</si>
  <si>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</si>
  <si>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</si>
  <si>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</si>
  <si>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</si>
  <si>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</si>
  <si>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</si>
  <si>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</si>
  <si>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</si>
  <si>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</si>
  <si>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</si>
  <si>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</si>
  <si>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</si>
  <si>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</si>
  <si>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</si>
  <si>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</si>
  <si>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</si>
  <si>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</si>
  <si>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</si>
  <si>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</si>
  <si>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</si>
  <si>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</si>
  <si>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</si>
  <si>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</si>
  <si>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</si>
  <si>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</si>
  <si>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</si>
  <si>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</si>
  <si>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</si>
  <si>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</si>
  <si>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</si>
  <si>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</si>
  <si>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</si>
  <si>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</si>
  <si>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</si>
  <si>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</si>
  <si>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</si>
  <si>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</si>
  <si>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</si>
  <si>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</si>
  <si>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</si>
  <si>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</si>
  <si>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</si>
  <si>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</si>
  <si>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</si>
  <si>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</si>
  <si>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</si>
  <si>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</si>
  <si>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</si>
  <si>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</si>
  <si>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</si>
  <si>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</si>
  <si>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</si>
  <si>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</si>
  <si>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</si>
  <si>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</si>
  <si>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</si>
  <si>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</si>
  <si>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</si>
  <si>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</si>
  <si>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</si>
  <si>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</si>
  <si>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</si>
  <si>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</si>
  <si>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</si>
  <si>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</si>
  <si>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</si>
  <si>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</si>
  <si>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</si>
  <si>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</si>
  <si>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</si>
  <si>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</si>
  <si>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</si>
  <si>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</si>
  <si>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</si>
  <si>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</si>
  <si>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</si>
  <si>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</si>
  <si>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</si>
  <si>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</si>
  <si>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</si>
  <si>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</si>
  <si>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</si>
  <si>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</si>
  <si>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</si>
  <si>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</si>
  <si>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</si>
  <si>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</si>
  <si>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</si>
  <si>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</si>
  <si>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</si>
  <si>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</si>
  <si>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</si>
  <si>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</si>
  <si>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</si>
  <si>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</si>
  <si>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</si>
  <si>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</si>
  <si>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</si>
  <si>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</si>
  <si>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</si>
  <si>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</si>
  <si>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</si>
  <si>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</si>
  <si>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</si>
  <si>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</si>
  <si>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</si>
  <si>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</si>
  <si>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</si>
  <si>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</si>
  <si>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</si>
  <si>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</si>
  <si>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</si>
  <si>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</si>
  <si>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</si>
  <si>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</si>
  <si>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</si>
  <si>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</si>
  <si>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</si>
  <si>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</si>
  <si>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</si>
  <si>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</si>
  <si>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</si>
  <si>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</si>
  <si>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</si>
  <si>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</si>
  <si>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</si>
  <si>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</si>
  <si>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</si>
  <si>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</si>
  <si>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</si>
  <si>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</si>
  <si>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</si>
  <si>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</si>
  <si>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</si>
  <si>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</si>
  <si>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</si>
  <si>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</si>
  <si>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</si>
  <si>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</si>
  <si>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</si>
  <si>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</si>
  <si>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</si>
  <si>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</si>
  <si>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</si>
  <si>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</si>
  <si>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</si>
  <si>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</si>
  <si>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</si>
  <si>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</si>
  <si>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</si>
  <si>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</si>
  <si>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</si>
  <si>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</si>
  <si>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</si>
  <si>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</si>
  <si>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</si>
  <si>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</si>
  <si>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</si>
  <si>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</si>
  <si>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</si>
  <si>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</si>
  <si>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</si>
  <si>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</si>
  <si>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</si>
  <si>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</si>
  <si>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</si>
  <si>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</si>
  <si>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</si>
  <si>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</si>
  <si>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</si>
  <si>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</si>
  <si>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</si>
  <si>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</si>
  <si>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</si>
  <si>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</si>
  <si>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</si>
  <si>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</si>
  <si>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</si>
  <si>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</si>
  <si>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</si>
  <si>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</si>
  <si>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</si>
  <si>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</si>
  <si>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</si>
  <si>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</si>
  <si>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</si>
  <si>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</si>
  <si>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</si>
  <si>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</si>
  <si>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</si>
  <si>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</si>
  <si>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</si>
  <si>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</si>
  <si>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</si>
  <si>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</si>
  <si>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</si>
  <si>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</si>
  <si>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</si>
  <si>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</si>
  <si>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</si>
  <si>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</si>
  <si>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</si>
  <si>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</si>
  <si>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</si>
  <si>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</si>
  <si>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</si>
  <si>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</si>
  <si>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</si>
  <si>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</si>
  <si>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</si>
  <si>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</si>
  <si>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</si>
  <si>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</si>
  <si>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</si>
  <si>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</si>
  <si>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</si>
  <si>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</si>
  <si>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</si>
  <si>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</si>
  <si>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</si>
  <si>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</si>
  <si>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</si>
  <si>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</si>
  <si>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</si>
  <si>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</si>
  <si>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</si>
  <si>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</si>
  <si>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</si>
  <si>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</si>
  <si>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</si>
  <si>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</si>
  <si>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</si>
  <si>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</si>
  <si>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</si>
  <si>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</si>
  <si>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</si>
  <si>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</si>
  <si>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</si>
  <si>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</si>
  <si>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</si>
  <si>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</si>
  <si>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</si>
  <si>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</si>
  <si>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</si>
  <si>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</si>
  <si>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</si>
  <si>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</si>
  <si>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</si>
  <si>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</si>
  <si>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</si>
  <si>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</si>
  <si>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</si>
  <si>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</si>
  <si>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</si>
  <si>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</si>
  <si>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</si>
  <si>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</si>
  <si>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</si>
  <si>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</si>
  <si>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</si>
  <si>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</si>
  <si>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</si>
  <si>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</si>
  <si>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</si>
  <si>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</si>
  <si>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</si>
  <si>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</si>
  <si>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</si>
  <si>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</si>
  <si>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</si>
  <si>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</si>
  <si>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</si>
  <si>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</si>
  <si>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</si>
  <si>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</si>
  <si>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</si>
  <si>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</si>
  <si>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</si>
  <si>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</si>
  <si>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</si>
  <si>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</si>
  <si>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</si>
  <si>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</si>
  <si>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</si>
  <si>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</si>
  <si>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</si>
  <si>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</si>
  <si>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</si>
  <si>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</si>
  <si>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</si>
  <si>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</si>
  <si>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</si>
  <si>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</si>
  <si>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</si>
  <si>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</si>
  <si>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</si>
  <si>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</si>
  <si>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</si>
  <si>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</si>
  <si>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</si>
  <si>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</si>
  <si>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</si>
  <si>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</si>
  <si>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</si>
  <si>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</si>
  <si>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</si>
  <si>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</si>
  <si>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</si>
  <si>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</si>
  <si>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</si>
  <si>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</si>
  <si>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</si>
  <si>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</si>
  <si>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</si>
  <si>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</si>
  <si>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</si>
  <si>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</si>
  <si>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</si>
  <si>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</si>
  <si>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</si>
  <si>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</si>
  <si>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</si>
  <si>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</si>
  <si>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</si>
  <si>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</si>
  <si>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</si>
  <si>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</si>
  <si>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</si>
  <si>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</si>
  <si>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</si>
  <si>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</si>
  <si>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</si>
  <si>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</si>
  <si>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</si>
  <si>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</si>
  <si>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</si>
  <si>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</si>
  <si>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</si>
  <si>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</si>
  <si>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</si>
  <si>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</si>
  <si>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</si>
  <si>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</si>
  <si>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</si>
  <si>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</si>
  <si>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</si>
  <si>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</si>
  <si>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</si>
  <si>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</si>
  <si>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</si>
  <si>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</si>
  <si>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</si>
  <si>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</si>
  <si>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</si>
  <si>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</si>
  <si>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</si>
  <si>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</si>
  <si>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</si>
  <si>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</si>
  <si>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</si>
  <si>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</si>
  <si>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</si>
  <si>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</si>
  <si>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</si>
  <si>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</si>
  <si>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</si>
  <si>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</si>
  <si>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</si>
  <si>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</si>
  <si>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</si>
  <si>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</si>
  <si>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</si>
  <si>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</si>
  <si>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</si>
  <si>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</si>
  <si>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</si>
  <si>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</si>
  <si>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</si>
  <si>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</si>
  <si>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</si>
  <si>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</si>
  <si>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</si>
  <si>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</si>
  <si>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</si>
  <si>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</si>
  <si>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</si>
  <si>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</si>
  <si>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</si>
  <si>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</si>
  <si>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</si>
  <si>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</si>
  <si>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</si>
  <si>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</si>
  <si>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Ponto1</t>
  </si>
  <si>
    <t>Ponto2</t>
  </si>
  <si>
    <t>Ponto3</t>
  </si>
  <si>
    <t>Ponto4</t>
  </si>
  <si>
    <t>Ponto5</t>
  </si>
  <si>
    <t>Ponto6</t>
  </si>
  <si>
    <t>Escola1</t>
  </si>
  <si>
    <t>Escola2</t>
  </si>
  <si>
    <t>Distâncias de condução do Bing Maps (km) / Duração de condução do Bing Maps</t>
  </si>
  <si>
    <t>Ônibus1</t>
  </si>
  <si>
    <t>Ônibus2</t>
  </si>
  <si>
    <t>V1 (Ônibus1)</t>
  </si>
  <si>
    <t>V2 (Ônibus2)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</si>
</sst>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8" tint="-1.9989623706778162E-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right/>
      <top style="thin">
        <color indexed="23"/>
      </top>
      <bottom style="thick">
        <color indexed="9"/>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34" borderId="0"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37" borderId="17" xfId="0" applyFont="1" applyFill="1" applyBorder="1"/>
    <xf numFmtId="0" fontId="22" fillId="36" borderId="1" xfId="0" applyFont="1" applyFill="1" applyBorder="1"/>
    <xf numFmtId="0" fontId="22" fillId="2" borderId="1" xfId="0" applyFont="1" applyFill="1" applyBorder="1"/>
    <xf numFmtId="0" fontId="22" fillId="2" borderId="15" xfId="0" applyFont="1" applyFill="1" applyBorder="1"/>
    <xf numFmtId="0" fontId="22" fillId="36" borderId="15" xfId="0" applyFont="1" applyFill="1" applyBorder="1"/>
    <xf numFmtId="166" fontId="22" fillId="36" borderId="15" xfId="0" applyNumberFormat="1" applyFont="1" applyFill="1" applyBorder="1"/>
    <xf numFmtId="166" fontId="22" fillId="37" borderId="1" xfId="0" applyNumberFormat="1" applyFont="1" applyFill="1" applyBorder="1"/>
    <xf numFmtId="0" fontId="22" fillId="37" borderId="15" xfId="0"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6" borderId="21"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4" fontId="22" fillId="36" borderId="21"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6" borderId="21"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6" borderId="21"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5" xfId="0" applyNumberFormat="1" applyFont="1" applyFill="1" applyBorder="1"/>
    <xf numFmtId="2" fontId="22" fillId="37" borderId="1" xfId="0" applyNumberFormat="1" applyFont="1" applyFill="1" applyBorder="1"/>
    <xf numFmtId="2" fontId="22" fillId="37" borderId="15" xfId="0" applyNumberFormat="1" applyFont="1" applyFill="1" applyBorder="1"/>
    <xf numFmtId="2" fontId="22" fillId="34" borderId="0" xfId="0" applyNumberFormat="1" applyFont="1" applyFill="1" applyBorder="1"/>
    <xf numFmtId="165" fontId="22" fillId="34" borderId="0" xfId="0" applyNumberFormat="1" applyFont="1" applyFill="1" applyBorder="1"/>
    <xf numFmtId="166" fontId="22" fillId="34" borderId="0" xfId="0" applyNumberFormat="1" applyFont="1" applyFill="1" applyBorder="1"/>
    <xf numFmtId="0" fontId="29" fillId="38" borderId="0" xfId="0" applyFont="1" applyFill="1" applyBorder="1"/>
    <xf numFmtId="0" fontId="22" fillId="34" borderId="22" xfId="0" applyFont="1" applyFill="1" applyBorder="1"/>
    <xf numFmtId="2" fontId="22" fillId="34" borderId="22" xfId="0" applyNumberFormat="1" applyFont="1" applyFill="1" applyBorder="1"/>
    <xf numFmtId="165" fontId="22" fillId="34" borderId="22" xfId="0" applyNumberFormat="1" applyFont="1" applyFill="1" applyBorder="1"/>
    <xf numFmtId="166" fontId="22" fillId="34" borderId="22" xfId="0" applyNumberFormat="1" applyFont="1" applyFill="1" applyBorder="1"/>
    <xf numFmtId="0" fontId="29" fillId="38" borderId="22" xfId="0" applyFont="1" applyFill="1" applyBorder="1"/>
    <xf numFmtId="0" fontId="22" fillId="2" borderId="0" xfId="0" applyFont="1" applyFill="1" applyBorder="1" applyAlignment="1">
      <alignment horizontal="center" vertical="center"/>
    </xf>
    <xf numFmtId="0" fontId="22" fillId="2" borderId="16" xfId="0" applyFont="1" applyFill="1" applyBorder="1" applyAlignment="1">
      <alignment horizontal="center" vertical="center"/>
    </xf>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 xfId="0"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0" fontId="22" fillId="41" borderId="0" xfId="0"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51">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7" sqref="C7"/>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8</v>
      </c>
      <c r="D6" s="2" t="s">
        <v>22</v>
      </c>
    </row>
    <row r="8" spans="1:4" x14ac:dyDescent="0.25">
      <c r="A8" s="4" t="s">
        <v>460</v>
      </c>
      <c r="B8" s="3" t="s">
        <v>1123</v>
      </c>
      <c r="C8" s="6" t="s">
        <v>1106</v>
      </c>
      <c r="D8" s="3" t="s">
        <v>1618</v>
      </c>
    </row>
    <row r="9" spans="1:4" x14ac:dyDescent="0.25">
      <c r="A9" s="2"/>
      <c r="B9" s="2" t="s">
        <v>1134</v>
      </c>
      <c r="C9" s="7" t="s">
        <v>1108</v>
      </c>
      <c r="D9" s="2"/>
    </row>
    <row r="10" spans="1:4" x14ac:dyDescent="0.25">
      <c r="A10" s="2"/>
      <c r="B10" s="2" t="s">
        <v>1109</v>
      </c>
      <c r="C10" s="7" t="s">
        <v>1139</v>
      </c>
      <c r="D10" s="2" t="s">
        <v>1617</v>
      </c>
    </row>
    <row r="11" spans="1:4" x14ac:dyDescent="0.25">
      <c r="A11" s="2"/>
      <c r="B11" s="2" t="s">
        <v>1105</v>
      </c>
      <c r="C11" s="7">
        <v>70</v>
      </c>
      <c r="D11" s="2"/>
    </row>
    <row r="13" spans="1:4" x14ac:dyDescent="0.25">
      <c r="A13" s="4" t="s">
        <v>463</v>
      </c>
      <c r="B13" s="3" t="s">
        <v>1604</v>
      </c>
      <c r="C13" s="6">
        <v>2</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1758</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6EF883A3-2B47-462B-AF56-566FAD926A7E}">
      <formula1>1</formula1>
      <formula2>20</formula2>
    </dataValidation>
    <dataValidation type="whole" allowBlank="1" showInputMessage="1" showErrorMessage="1" error="Insira um número inteiro de 5 a 200" sqref="C6" xr:uid="{3BDF31AD-686F-46BF-A0EC-1533A88D280D}">
      <formula1>5</formula1>
      <formula2>200</formula2>
    </dataValidation>
    <dataValidation type="list" allowBlank="1" showInputMessage="1" showErrorMessage="1" sqref="C8" xr:uid="{77FA56CC-865B-4CC5-800C-70E0ECE36D61}">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9EC4CDBA-AD27-459B-80ED-7C4DBEAC3F0C}">
      <formula1>"Entrada manual,Velocidade média do veículo,Duração de condução do Bing Maps"</formula1>
    </dataValidation>
    <dataValidation type="list" allowBlank="1" showInputMessage="1" showErrorMessage="1" sqref="C10" xr:uid="{72DADABA-5F54-4D35-BCF3-472C4277C01F}">
      <formula1>"Mais curto,O mais rápido,Mais rápido - Tráfego em tempo real"</formula1>
    </dataValidation>
    <dataValidation type="decimal" operator="greaterThan" allowBlank="1" showInputMessage="1" showErrorMessage="1" error="Insira um valor positivo" sqref="C11" xr:uid="{EC05156E-E28B-41DF-A623-DFCBB6E380C1}">
      <formula1>0.0001</formula1>
    </dataValidation>
    <dataValidation type="whole" allowBlank="1" showInputMessage="1" showErrorMessage="1" error="Insira um número inteiro de 1 a 10" sqref="C13" xr:uid="{EB55B418-E126-4D01-9ACD-A30E6F8E4F6C}">
      <formula1>1</formula1>
      <formula2>10</formula2>
    </dataValidation>
    <dataValidation type="list" allowBlank="1" showInputMessage="1" showErrorMessage="1" sqref="C15" xr:uid="{92BA2B24-31CD-4C3A-9543-6873D085336B}">
      <formula1>"Não,Sim - apenas uma vez no final,Sim - pode fazer isso várias vezes"</formula1>
    </dataValidation>
    <dataValidation type="list" allowBlank="1" showInputMessage="1" showErrorMessage="1" sqref="C16" xr:uid="{6EE4B54E-5F5E-4267-B9E5-3D89A5A89CE8}">
      <formula1>"Difícil,Suave"</formula1>
    </dataValidation>
    <dataValidation type="list" allowBlank="1" showInputMessage="1" showErrorMessage="1" sqref="C17 C22 C23" xr:uid="{FAC376D3-6BA6-4A9A-BEEE-020FB35CBD0A}">
      <formula1>"sim,Não"</formula1>
    </dataValidation>
    <dataValidation type="list" allowBlank="1" showInputMessage="1" showErrorMessage="1" sqref="C19" xr:uid="{5FB9AB36-5864-4789-AD3E-D3C028EEB7DD}">
      <formula1>"Em branco,Bing Maps"</formula1>
    </dataValidation>
    <dataValidation type="list" allowBlank="1" showInputMessage="1" showErrorMessage="1" sqref="C20" xr:uid="{440ACB51-517D-4D42-AA87-26135EDDBCDD}">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BB94AAC0-4559-4E60-9FD4-DBB26081E94B}">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3CC-DA8F-4CAC-96ED-6DB8D72B3465}">
  <dimension ref="A1:L10"/>
  <sheetViews>
    <sheetView topLeftCell="B1" workbookViewId="0">
      <selection activeCell="K3" sqref="K3"/>
    </sheetView>
  </sheetViews>
  <sheetFormatPr defaultRowHeight="15" x14ac:dyDescent="0.25"/>
  <cols>
    <col min="1" max="1" width="15.7109375" bestFit="1" customWidth="1"/>
    <col min="2" max="2" width="8.8554687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32" t="s">
        <v>197</v>
      </c>
      <c r="C1" s="32" t="s">
        <v>1099</v>
      </c>
      <c r="D1" s="32" t="s">
        <v>552</v>
      </c>
      <c r="E1" s="32" t="s">
        <v>559</v>
      </c>
      <c r="F1" s="32" t="s">
        <v>1642</v>
      </c>
      <c r="G1" s="32" t="s">
        <v>1641</v>
      </c>
      <c r="H1" s="32" t="s">
        <v>1153</v>
      </c>
      <c r="I1" s="32" t="s">
        <v>1623</v>
      </c>
      <c r="J1" s="32" t="s">
        <v>1609</v>
      </c>
      <c r="K1" s="32" t="s">
        <v>1117</v>
      </c>
      <c r="L1" s="32" t="s">
        <v>202</v>
      </c>
    </row>
    <row r="2" spans="1:12" ht="15.75" thickBot="1" x14ac:dyDescent="0.3">
      <c r="A2" s="21">
        <v>0</v>
      </c>
      <c r="B2" s="33" t="s">
        <v>1119</v>
      </c>
      <c r="C2" s="33"/>
      <c r="D2" s="38">
        <v>-10.349356500000001</v>
      </c>
      <c r="E2" s="38">
        <v>-48.297334300000003</v>
      </c>
      <c r="F2" s="43">
        <v>0</v>
      </c>
      <c r="G2" s="43">
        <v>0.99930555555555556</v>
      </c>
      <c r="H2" s="52" t="s">
        <v>1628</v>
      </c>
      <c r="I2" s="53">
        <v>0</v>
      </c>
      <c r="J2" s="52">
        <v>0</v>
      </c>
      <c r="K2" s="52">
        <v>0</v>
      </c>
      <c r="L2" s="52">
        <v>0</v>
      </c>
    </row>
    <row r="3" spans="1:12" ht="15.75" thickTop="1" x14ac:dyDescent="0.25">
      <c r="A3" s="22">
        <v>1</v>
      </c>
      <c r="B3" s="34" t="s">
        <v>4003</v>
      </c>
      <c r="C3" s="34"/>
      <c r="D3" s="39">
        <v>-10.3343136</v>
      </c>
      <c r="E3" s="39">
        <v>-48.294635599999999</v>
      </c>
      <c r="F3" s="44">
        <v>0</v>
      </c>
      <c r="G3" s="44">
        <v>0.99930555555555556</v>
      </c>
      <c r="H3" s="34" t="s">
        <v>1152</v>
      </c>
      <c r="I3" s="48">
        <v>0</v>
      </c>
      <c r="J3" s="34">
        <v>0</v>
      </c>
      <c r="K3" s="34">
        <v>5</v>
      </c>
      <c r="L3" s="34">
        <v>0</v>
      </c>
    </row>
    <row r="4" spans="1:12" ht="15.75" thickBot="1" x14ac:dyDescent="0.3">
      <c r="A4" s="26">
        <v>2</v>
      </c>
      <c r="B4" s="35" t="s">
        <v>4004</v>
      </c>
      <c r="C4" s="35"/>
      <c r="D4" s="40">
        <v>-10.3352001</v>
      </c>
      <c r="E4" s="40">
        <v>-48.294421</v>
      </c>
      <c r="F4" s="45">
        <v>0</v>
      </c>
      <c r="G4" s="45">
        <v>0.99930555555555556</v>
      </c>
      <c r="H4" s="35" t="s">
        <v>1152</v>
      </c>
      <c r="I4" s="49">
        <v>0</v>
      </c>
      <c r="J4" s="35">
        <v>0</v>
      </c>
      <c r="K4" s="35">
        <v>2</v>
      </c>
      <c r="L4" s="35">
        <v>0</v>
      </c>
    </row>
    <row r="5" spans="1:12" ht="15.75" thickTop="1" x14ac:dyDescent="0.25">
      <c r="A5" s="26">
        <v>3</v>
      </c>
      <c r="B5" s="34" t="s">
        <v>4005</v>
      </c>
      <c r="C5" s="36"/>
      <c r="D5" s="41">
        <v>-10.338366499999999</v>
      </c>
      <c r="E5" s="41">
        <v>-48.299785399999998</v>
      </c>
      <c r="F5" s="46">
        <v>0</v>
      </c>
      <c r="G5" s="46">
        <v>0.99930555555555556</v>
      </c>
      <c r="H5" s="36" t="s">
        <v>1152</v>
      </c>
      <c r="I5" s="50">
        <v>0</v>
      </c>
      <c r="J5" s="36">
        <v>0</v>
      </c>
      <c r="K5" s="36">
        <v>3</v>
      </c>
      <c r="L5" s="36">
        <v>0</v>
      </c>
    </row>
    <row r="6" spans="1:12" ht="15.75" thickBot="1" x14ac:dyDescent="0.3">
      <c r="A6" s="26">
        <v>4</v>
      </c>
      <c r="B6" s="35" t="s">
        <v>4006</v>
      </c>
      <c r="C6" s="35"/>
      <c r="D6" s="40">
        <v>-10.3338395</v>
      </c>
      <c r="E6" s="40">
        <v>-48.293009499999997</v>
      </c>
      <c r="F6" s="45">
        <v>0</v>
      </c>
      <c r="G6" s="45">
        <v>0.99930555555555556</v>
      </c>
      <c r="H6" s="35" t="s">
        <v>1152</v>
      </c>
      <c r="I6" s="49">
        <v>0</v>
      </c>
      <c r="J6" s="35">
        <v>0</v>
      </c>
      <c r="K6" s="35">
        <v>2</v>
      </c>
      <c r="L6" s="35">
        <v>0</v>
      </c>
    </row>
    <row r="7" spans="1:12" ht="15.75" thickTop="1" x14ac:dyDescent="0.25">
      <c r="A7" s="26">
        <v>5</v>
      </c>
      <c r="B7" s="34" t="s">
        <v>4007</v>
      </c>
      <c r="C7" s="36"/>
      <c r="D7" s="41">
        <v>-10.3343136</v>
      </c>
      <c r="E7" s="41">
        <v>-48.294635599999999</v>
      </c>
      <c r="F7" s="46">
        <v>0</v>
      </c>
      <c r="G7" s="46">
        <v>0.99930555555555556</v>
      </c>
      <c r="H7" s="36" t="s">
        <v>1152</v>
      </c>
      <c r="I7" s="50">
        <v>0</v>
      </c>
      <c r="J7" s="36">
        <v>0</v>
      </c>
      <c r="K7" s="36">
        <v>5</v>
      </c>
      <c r="L7" s="36">
        <v>0</v>
      </c>
    </row>
    <row r="8" spans="1:12" x14ac:dyDescent="0.25">
      <c r="A8" s="26">
        <v>6</v>
      </c>
      <c r="B8" s="35" t="s">
        <v>4008</v>
      </c>
      <c r="C8" s="35"/>
      <c r="D8" s="40">
        <v>-10.3352001</v>
      </c>
      <c r="E8" s="40">
        <v>-48.294421</v>
      </c>
      <c r="F8" s="45">
        <v>0</v>
      </c>
      <c r="G8" s="45">
        <v>0.99930555555555556</v>
      </c>
      <c r="H8" s="35" t="s">
        <v>1152</v>
      </c>
      <c r="I8" s="49">
        <v>0</v>
      </c>
      <c r="J8" s="35">
        <v>0</v>
      </c>
      <c r="K8" s="35">
        <v>5</v>
      </c>
      <c r="L8" s="35">
        <v>0</v>
      </c>
    </row>
    <row r="9" spans="1:12" x14ac:dyDescent="0.25">
      <c r="A9" s="26">
        <v>7</v>
      </c>
      <c r="B9" s="36" t="s">
        <v>4009</v>
      </c>
      <c r="C9" s="36"/>
      <c r="D9" s="41">
        <v>-10.3419097</v>
      </c>
      <c r="E9" s="41">
        <v>-48.288843900000003</v>
      </c>
      <c r="F9" s="46">
        <v>0</v>
      </c>
      <c r="G9" s="46">
        <v>0.99930555555555556</v>
      </c>
      <c r="H9" s="36" t="s">
        <v>1152</v>
      </c>
      <c r="I9" s="50">
        <v>0</v>
      </c>
      <c r="J9" s="36">
        <v>10</v>
      </c>
      <c r="K9" s="36">
        <v>0</v>
      </c>
      <c r="L9" s="36">
        <v>0</v>
      </c>
    </row>
    <row r="10" spans="1:12" x14ac:dyDescent="0.25">
      <c r="A10" s="25">
        <v>8</v>
      </c>
      <c r="B10" s="37" t="s">
        <v>4010</v>
      </c>
      <c r="C10" s="37"/>
      <c r="D10" s="42">
        <v>-10.345169800000001</v>
      </c>
      <c r="E10" s="42">
        <v>-48.282046800000003</v>
      </c>
      <c r="F10" s="47">
        <v>0</v>
      </c>
      <c r="G10" s="47">
        <v>0.99930555555555556</v>
      </c>
      <c r="H10" s="37" t="s">
        <v>1152</v>
      </c>
      <c r="I10" s="51">
        <v>0</v>
      </c>
      <c r="J10" s="37">
        <v>12</v>
      </c>
      <c r="K10" s="37">
        <v>0</v>
      </c>
      <c r="L10" s="37">
        <v>0</v>
      </c>
    </row>
  </sheetData>
  <phoneticPr fontId="28" type="noConversion"/>
  <conditionalFormatting sqref="A2">
    <cfRule type="expression" dxfId="150" priority="1" stopIfTrue="1">
      <formula>ISBLANK(A2)</formula>
    </cfRule>
  </conditionalFormatting>
  <conditionalFormatting sqref="B2">
    <cfRule type="expression" dxfId="149" priority="2" stopIfTrue="1">
      <formula>ISBLANK(B2)</formula>
    </cfRule>
  </conditionalFormatting>
  <conditionalFormatting sqref="F2">
    <cfRule type="cellIs" dxfId="148" priority="3" stopIfTrue="1" operator="greaterThan">
      <formula>G2-$I$2</formula>
    </cfRule>
  </conditionalFormatting>
  <conditionalFormatting sqref="G2">
    <cfRule type="cellIs" dxfId="147" priority="4" stopIfTrue="1" operator="lessThan">
      <formula>F2+$I$2</formula>
    </cfRule>
  </conditionalFormatting>
  <conditionalFormatting sqref="I2">
    <cfRule type="cellIs" dxfId="146" priority="5" stopIfTrue="1" operator="greaterThan">
      <formula>G2-F2 + 0.0001</formula>
    </cfRule>
  </conditionalFormatting>
  <conditionalFormatting sqref="A3">
    <cfRule type="expression" dxfId="145" priority="6" stopIfTrue="1">
      <formula>ISBLANK(A3)</formula>
    </cfRule>
  </conditionalFormatting>
  <conditionalFormatting sqref="B3 B5 B7">
    <cfRule type="expression" dxfId="144" priority="7" stopIfTrue="1">
      <formula>ISBLANK(B3)</formula>
    </cfRule>
  </conditionalFormatting>
  <conditionalFormatting sqref="F3">
    <cfRule type="cellIs" dxfId="143" priority="8" stopIfTrue="1" operator="greaterThan">
      <formula>G3-$I$3</formula>
    </cfRule>
  </conditionalFormatting>
  <conditionalFormatting sqref="G3">
    <cfRule type="cellIs" dxfId="142" priority="9" stopIfTrue="1" operator="lessThan">
      <formula>F3+$I$3</formula>
    </cfRule>
  </conditionalFormatting>
  <conditionalFormatting sqref="H3">
    <cfRule type="cellIs" dxfId="141" priority="10" stopIfTrue="1" operator="equal">
      <formula>"Pode ser visitado"</formula>
    </cfRule>
    <cfRule type="cellIs" dxfId="140" priority="11" stopIfTrue="1" operator="equal">
      <formula>"Não visite"</formula>
    </cfRule>
  </conditionalFormatting>
  <conditionalFormatting sqref="I3">
    <cfRule type="cellIs" dxfId="139" priority="12" stopIfTrue="1" operator="greaterThan">
      <formula>G3-F3 + 0.0001</formula>
    </cfRule>
  </conditionalFormatting>
  <conditionalFormatting sqref="A4">
    <cfRule type="expression" dxfId="138" priority="13" stopIfTrue="1">
      <formula>ISBLANK(A4)</formula>
    </cfRule>
  </conditionalFormatting>
  <conditionalFormatting sqref="B4 B6 B8">
    <cfRule type="expression" dxfId="137" priority="14" stopIfTrue="1">
      <formula>ISBLANK(B4)</formula>
    </cfRule>
  </conditionalFormatting>
  <conditionalFormatting sqref="F4">
    <cfRule type="cellIs" dxfId="136" priority="15" stopIfTrue="1" operator="greaterThan">
      <formula>G4-$I$4</formula>
    </cfRule>
  </conditionalFormatting>
  <conditionalFormatting sqref="G4">
    <cfRule type="cellIs" dxfId="135" priority="16" stopIfTrue="1" operator="lessThan">
      <formula>F4+$I$4</formula>
    </cfRule>
  </conditionalFormatting>
  <conditionalFormatting sqref="H4">
    <cfRule type="cellIs" dxfId="134" priority="17" stopIfTrue="1" operator="equal">
      <formula>"Pode ser visitado"</formula>
    </cfRule>
    <cfRule type="cellIs" dxfId="133" priority="18" stopIfTrue="1" operator="equal">
      <formula>"Não visite"</formula>
    </cfRule>
  </conditionalFormatting>
  <conditionalFormatting sqref="I4">
    <cfRule type="cellIs" dxfId="132" priority="19" stopIfTrue="1" operator="greaterThan">
      <formula>G4-F4 + 0.0001</formula>
    </cfRule>
  </conditionalFormatting>
  <conditionalFormatting sqref="A5">
    <cfRule type="expression" dxfId="131" priority="20" stopIfTrue="1">
      <formula>ISBLANK(A5)</formula>
    </cfRule>
  </conditionalFormatting>
  <conditionalFormatting sqref="B5">
    <cfRule type="expression" dxfId="130" priority="21" stopIfTrue="1">
      <formula>ISBLANK(B5)</formula>
    </cfRule>
  </conditionalFormatting>
  <conditionalFormatting sqref="F5">
    <cfRule type="cellIs" dxfId="129" priority="22" stopIfTrue="1" operator="greaterThan">
      <formula>G5-$I$5</formula>
    </cfRule>
  </conditionalFormatting>
  <conditionalFormatting sqref="G5">
    <cfRule type="cellIs" dxfId="128" priority="23" stopIfTrue="1" operator="lessThan">
      <formula>F5+$I$5</formula>
    </cfRule>
  </conditionalFormatting>
  <conditionalFormatting sqref="H5">
    <cfRule type="cellIs" dxfId="127" priority="24" stopIfTrue="1" operator="equal">
      <formula>"Pode ser visitado"</formula>
    </cfRule>
  </conditionalFormatting>
  <conditionalFormatting sqref="H5">
    <cfRule type="cellIs" dxfId="126" priority="25" stopIfTrue="1" operator="equal">
      <formula>"Não visite"</formula>
    </cfRule>
  </conditionalFormatting>
  <conditionalFormatting sqref="I5">
    <cfRule type="cellIs" dxfId="125" priority="26" stopIfTrue="1" operator="greaterThan">
      <formula>G5-F5 + 0.0001</formula>
    </cfRule>
  </conditionalFormatting>
  <conditionalFormatting sqref="A6">
    <cfRule type="expression" dxfId="124" priority="27" stopIfTrue="1">
      <formula>ISBLANK(A6)</formula>
    </cfRule>
  </conditionalFormatting>
  <conditionalFormatting sqref="B6">
    <cfRule type="expression" dxfId="123" priority="28" stopIfTrue="1">
      <formula>ISBLANK(B6)</formula>
    </cfRule>
  </conditionalFormatting>
  <conditionalFormatting sqref="F6">
    <cfRule type="cellIs" dxfId="122" priority="29" stopIfTrue="1" operator="greaterThan">
      <formula>G6-$I$6</formula>
    </cfRule>
  </conditionalFormatting>
  <conditionalFormatting sqref="G6">
    <cfRule type="cellIs" dxfId="121" priority="30" stopIfTrue="1" operator="lessThan">
      <formula>F6+$I$6</formula>
    </cfRule>
  </conditionalFormatting>
  <conditionalFormatting sqref="H6">
    <cfRule type="cellIs" dxfId="120" priority="31" stopIfTrue="1" operator="equal">
      <formula>"Pode ser visitado"</formula>
    </cfRule>
  </conditionalFormatting>
  <conditionalFormatting sqref="H6">
    <cfRule type="cellIs" dxfId="119" priority="32" stopIfTrue="1" operator="equal">
      <formula>"Não visite"</formula>
    </cfRule>
  </conditionalFormatting>
  <conditionalFormatting sqref="I6">
    <cfRule type="cellIs" dxfId="118" priority="33" stopIfTrue="1" operator="greaterThan">
      <formula>G6-F6 + 0.0001</formula>
    </cfRule>
  </conditionalFormatting>
  <conditionalFormatting sqref="A7">
    <cfRule type="expression" dxfId="117" priority="34" stopIfTrue="1">
      <formula>ISBLANK(A7)</formula>
    </cfRule>
  </conditionalFormatting>
  <conditionalFormatting sqref="B7">
    <cfRule type="expression" dxfId="116" priority="35" stopIfTrue="1">
      <formula>ISBLANK(B7)</formula>
    </cfRule>
  </conditionalFormatting>
  <conditionalFormatting sqref="F7">
    <cfRule type="cellIs" dxfId="115" priority="36" stopIfTrue="1" operator="greaterThan">
      <formula>G7-$I$7</formula>
    </cfRule>
  </conditionalFormatting>
  <conditionalFormatting sqref="G7">
    <cfRule type="cellIs" dxfId="114" priority="37" stopIfTrue="1" operator="lessThan">
      <formula>F7+$I$7</formula>
    </cfRule>
  </conditionalFormatting>
  <conditionalFormatting sqref="H7">
    <cfRule type="cellIs" dxfId="113" priority="38" stopIfTrue="1" operator="equal">
      <formula>"Pode ser visitado"</formula>
    </cfRule>
  </conditionalFormatting>
  <conditionalFormatting sqref="H7">
    <cfRule type="cellIs" dxfId="112" priority="39" stopIfTrue="1" operator="equal">
      <formula>"Não visite"</formula>
    </cfRule>
  </conditionalFormatting>
  <conditionalFormatting sqref="I7">
    <cfRule type="cellIs" dxfId="111" priority="40" stopIfTrue="1" operator="greaterThan">
      <formula>G7-F7 + 0.0001</formula>
    </cfRule>
  </conditionalFormatting>
  <conditionalFormatting sqref="A8">
    <cfRule type="expression" dxfId="110" priority="41" stopIfTrue="1">
      <formula>ISBLANK(A8)</formula>
    </cfRule>
  </conditionalFormatting>
  <conditionalFormatting sqref="B8">
    <cfRule type="expression" dxfId="109" priority="42" stopIfTrue="1">
      <formula>ISBLANK(B8)</formula>
    </cfRule>
  </conditionalFormatting>
  <conditionalFormatting sqref="F8">
    <cfRule type="cellIs" dxfId="108" priority="43" stopIfTrue="1" operator="greaterThan">
      <formula>G8-$I$8</formula>
    </cfRule>
  </conditionalFormatting>
  <conditionalFormatting sqref="G8">
    <cfRule type="cellIs" dxfId="107" priority="44" stopIfTrue="1" operator="lessThan">
      <formula>F8+$I$8</formula>
    </cfRule>
  </conditionalFormatting>
  <conditionalFormatting sqref="H8">
    <cfRule type="cellIs" dxfId="106" priority="45" stopIfTrue="1" operator="equal">
      <formula>"Pode ser visitado"</formula>
    </cfRule>
  </conditionalFormatting>
  <conditionalFormatting sqref="H8">
    <cfRule type="cellIs" dxfId="105" priority="46" stopIfTrue="1" operator="equal">
      <formula>"Não visite"</formula>
    </cfRule>
  </conditionalFormatting>
  <conditionalFormatting sqref="I8">
    <cfRule type="cellIs" dxfId="104" priority="47" stopIfTrue="1" operator="greaterThan">
      <formula>G8-F8 + 0.0001</formula>
    </cfRule>
  </conditionalFormatting>
  <conditionalFormatting sqref="A9">
    <cfRule type="expression" dxfId="103" priority="48" stopIfTrue="1">
      <formula>ISBLANK(A9)</formula>
    </cfRule>
  </conditionalFormatting>
  <conditionalFormatting sqref="B9">
    <cfRule type="expression" dxfId="102" priority="49" stopIfTrue="1">
      <formula>ISBLANK(B9)</formula>
    </cfRule>
  </conditionalFormatting>
  <conditionalFormatting sqref="F9">
    <cfRule type="cellIs" dxfId="101" priority="50" stopIfTrue="1" operator="greaterThan">
      <formula>G9-$I$9</formula>
    </cfRule>
  </conditionalFormatting>
  <conditionalFormatting sqref="G9">
    <cfRule type="cellIs" dxfId="100" priority="51" stopIfTrue="1" operator="lessThan">
      <formula>F9+$I$9</formula>
    </cfRule>
  </conditionalFormatting>
  <conditionalFormatting sqref="H9">
    <cfRule type="cellIs" dxfId="99" priority="52" stopIfTrue="1" operator="equal">
      <formula>"Pode ser visitado"</formula>
    </cfRule>
  </conditionalFormatting>
  <conditionalFormatting sqref="H9">
    <cfRule type="cellIs" dxfId="98" priority="53" stopIfTrue="1" operator="equal">
      <formula>"Não visite"</formula>
    </cfRule>
  </conditionalFormatting>
  <conditionalFormatting sqref="I9">
    <cfRule type="cellIs" dxfId="97" priority="54" stopIfTrue="1" operator="greaterThan">
      <formula>G9-F9 + 0.0001</formula>
    </cfRule>
  </conditionalFormatting>
  <conditionalFormatting sqref="A10">
    <cfRule type="expression" dxfId="96" priority="55" stopIfTrue="1">
      <formula>ISBLANK(A10)</formula>
    </cfRule>
  </conditionalFormatting>
  <conditionalFormatting sqref="B10">
    <cfRule type="expression" dxfId="95" priority="56" stopIfTrue="1">
      <formula>ISBLANK(B10)</formula>
    </cfRule>
  </conditionalFormatting>
  <conditionalFormatting sqref="F10">
    <cfRule type="cellIs" dxfId="94" priority="57" stopIfTrue="1" operator="greaterThan">
      <formula>G10-$I$10</formula>
    </cfRule>
  </conditionalFormatting>
  <conditionalFormatting sqref="G10">
    <cfRule type="cellIs" dxfId="93" priority="58" stopIfTrue="1" operator="lessThan">
      <formula>F10+$I$10</formula>
    </cfRule>
  </conditionalFormatting>
  <conditionalFormatting sqref="H10">
    <cfRule type="cellIs" dxfId="92" priority="59" stopIfTrue="1" operator="equal">
      <formula>"Pode ser visitado"</formula>
    </cfRule>
  </conditionalFormatting>
  <conditionalFormatting sqref="H10">
    <cfRule type="cellIs" dxfId="91" priority="60" stopIfTrue="1" operator="equal">
      <formula>"Não visite"</formula>
    </cfRule>
  </conditionalFormatting>
  <conditionalFormatting sqref="I10">
    <cfRule type="cellIs" dxfId="90" priority="61" stopIfTrue="1" operator="greaterThan">
      <formula>G10-F10 + 0.0001</formula>
    </cfRule>
  </conditionalFormatting>
  <conditionalFormatting sqref="J3:J10">
    <cfRule type="cellIs" dxfId="89" priority="62" stopIfTrue="1" operator="lessThan">
      <formula>0</formula>
    </cfRule>
  </conditionalFormatting>
  <conditionalFormatting sqref="B2:B10">
    <cfRule type="duplicateValues" dxfId="88" priority="63"/>
  </conditionalFormatting>
  <dataValidations count="10">
    <dataValidation type="decimal" operator="greaterThan" allowBlank="1" showInputMessage="1" showErrorMessage="1" error="Insira um valor não negativo" sqref="K2" xr:uid="{938B53CB-EC25-45F2-BBC8-175DA896FFF7}">
      <formula1>-0.0001</formula1>
    </dataValidation>
    <dataValidation type="list" allowBlank="1" showInputMessage="1" showErrorMessage="1" sqref="H3:H10" xr:uid="{6E0D5242-614F-4405-8B7A-165A5B5E06AC}">
      <formula1>"Deve ser visitado,Pode ser visitado,Não visite"</formula1>
    </dataValidation>
    <dataValidation type="decimal" operator="greaterThan" allowBlank="1" showInputMessage="1" showErrorMessage="1" error="Insira um valor não negativo" sqref="K3" xr:uid="{3D6A7DD1-1E5D-4D81-9506-D8401A024219}">
      <formula1>-0.0001</formula1>
    </dataValidation>
    <dataValidation type="decimal" operator="greaterThan" allowBlank="1" showInputMessage="1" showErrorMessage="1" error="Insira um valor não negativo" sqref="K4" xr:uid="{CA8F2E34-A9EA-48A0-BB1E-CE0C1CBB8E6E}">
      <formula1>-0.0001</formula1>
    </dataValidation>
    <dataValidation type="decimal" operator="greaterThan" allowBlank="1" showInputMessage="1" showErrorMessage="1" error="Insira um valor não negativo" sqref="K5" xr:uid="{1A587976-B075-4328-87E2-EBF6922C7F99}">
      <formula1>-0.0001</formula1>
    </dataValidation>
    <dataValidation type="decimal" operator="greaterThan" allowBlank="1" showInputMessage="1" showErrorMessage="1" error="Insira um valor não negativo" sqref="K6" xr:uid="{EF0CFB2F-AC1C-4186-8284-FBBE3BFDDA0D}">
      <formula1>-0.0001</formula1>
    </dataValidation>
    <dataValidation type="decimal" operator="greaterThan" allowBlank="1" showInputMessage="1" showErrorMessage="1" error="Insira um valor não negativo" sqref="K7" xr:uid="{15979D4B-F263-4948-8D37-845B00874097}">
      <formula1>-0.0001</formula1>
    </dataValidation>
    <dataValidation type="decimal" operator="greaterThan" allowBlank="1" showInputMessage="1" showErrorMessage="1" error="Insira um valor não negativo" sqref="K8" xr:uid="{5877D551-7245-4DB9-899E-B6C36D45CEA0}">
      <formula1>-0.0001</formula1>
    </dataValidation>
    <dataValidation type="decimal" operator="greaterThan" allowBlank="1" showInputMessage="1" showErrorMessage="1" error="Insira um valor não negativo" sqref="K9" xr:uid="{53760022-08D4-4A9B-8E74-946F4D76E958}">
      <formula1>-0.0001</formula1>
    </dataValidation>
    <dataValidation type="decimal" operator="greaterThan" allowBlank="1" showInputMessage="1" showErrorMessage="1" error="Insira um valor não negativo" sqref="K10" xr:uid="{A1524E15-02C2-42B3-9822-ABF9AF607158}">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26467-EA08-43BD-93F7-2D568A84FB35}">
  <dimension ref="A1:F82"/>
  <sheetViews>
    <sheetView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4011</v>
      </c>
    </row>
    <row r="2" spans="1:6" x14ac:dyDescent="0.25">
      <c r="A2" s="21" t="s">
        <v>1119</v>
      </c>
      <c r="B2" s="21" t="s">
        <v>1119</v>
      </c>
      <c r="C2" s="54">
        <v>0</v>
      </c>
      <c r="D2" s="55">
        <v>0</v>
      </c>
    </row>
    <row r="3" spans="1:6" x14ac:dyDescent="0.25">
      <c r="A3" s="26" t="s">
        <v>1119</v>
      </c>
      <c r="B3" s="26" t="s">
        <v>4003</v>
      </c>
      <c r="C3" s="56">
        <v>2.7709999999999999</v>
      </c>
      <c r="D3" s="28">
        <v>3.472222222222222E-3</v>
      </c>
    </row>
    <row r="4" spans="1:6" x14ac:dyDescent="0.25">
      <c r="A4" s="26" t="s">
        <v>1119</v>
      </c>
      <c r="B4" s="26" t="s">
        <v>4004</v>
      </c>
      <c r="C4" s="58">
        <v>2.6930000000000001</v>
      </c>
      <c r="D4" s="31">
        <v>3.472222222222222E-3</v>
      </c>
    </row>
    <row r="5" spans="1:6" x14ac:dyDescent="0.25">
      <c r="A5" s="26" t="s">
        <v>1119</v>
      </c>
      <c r="B5" s="26" t="s">
        <v>4005</v>
      </c>
      <c r="C5" s="56">
        <v>1.9390000000000001</v>
      </c>
      <c r="D5" s="28">
        <v>2.7777777777777779E-3</v>
      </c>
    </row>
    <row r="6" spans="1:6" x14ac:dyDescent="0.25">
      <c r="A6" s="26" t="s">
        <v>1119</v>
      </c>
      <c r="B6" s="26" t="s">
        <v>4006</v>
      </c>
      <c r="C6" s="58">
        <v>2.9350000000000001</v>
      </c>
      <c r="D6" s="31">
        <v>4.1666666666666666E-3</v>
      </c>
    </row>
    <row r="7" spans="1:6" x14ac:dyDescent="0.25">
      <c r="A7" s="26" t="s">
        <v>1119</v>
      </c>
      <c r="B7" s="26" t="s">
        <v>4007</v>
      </c>
      <c r="C7" s="56">
        <v>2.7709999999999999</v>
      </c>
      <c r="D7" s="28">
        <v>3.472222222222222E-3</v>
      </c>
    </row>
    <row r="8" spans="1:6" x14ac:dyDescent="0.25">
      <c r="A8" s="26" t="s">
        <v>1119</v>
      </c>
      <c r="B8" s="26" t="s">
        <v>4008</v>
      </c>
      <c r="C8" s="58">
        <v>2.6930000000000001</v>
      </c>
      <c r="D8" s="31">
        <v>3.472222222222222E-3</v>
      </c>
    </row>
    <row r="9" spans="1:6" x14ac:dyDescent="0.25">
      <c r="A9" s="26" t="s">
        <v>1119</v>
      </c>
      <c r="B9" s="26" t="s">
        <v>4009</v>
      </c>
      <c r="C9" s="56">
        <v>1.764</v>
      </c>
      <c r="D9" s="28">
        <v>3.472222222222222E-3</v>
      </c>
    </row>
    <row r="10" spans="1:6" x14ac:dyDescent="0.25">
      <c r="A10" s="26" t="s">
        <v>1119</v>
      </c>
      <c r="B10" s="26" t="s">
        <v>4010</v>
      </c>
      <c r="C10" s="58">
        <v>1.8959999999999999</v>
      </c>
      <c r="D10" s="31">
        <v>2.7777777777777779E-3</v>
      </c>
    </row>
    <row r="11" spans="1:6" x14ac:dyDescent="0.25">
      <c r="A11" s="26" t="s">
        <v>4003</v>
      </c>
      <c r="B11" s="26" t="s">
        <v>1119</v>
      </c>
      <c r="C11" s="56">
        <v>1.988</v>
      </c>
      <c r="D11" s="28">
        <v>3.472222222222222E-3</v>
      </c>
    </row>
    <row r="12" spans="1:6" x14ac:dyDescent="0.25">
      <c r="A12" s="26" t="s">
        <v>4003</v>
      </c>
      <c r="B12" s="26" t="s">
        <v>4003</v>
      </c>
      <c r="C12" s="58">
        <v>0</v>
      </c>
      <c r="D12" s="31">
        <v>0</v>
      </c>
    </row>
    <row r="13" spans="1:6" x14ac:dyDescent="0.25">
      <c r="A13" s="26" t="s">
        <v>4003</v>
      </c>
      <c r="B13" s="26" t="s">
        <v>4004</v>
      </c>
      <c r="C13" s="56">
        <v>9.9000000000000005E-2</v>
      </c>
      <c r="D13" s="28">
        <v>0</v>
      </c>
    </row>
    <row r="14" spans="1:6" x14ac:dyDescent="0.25">
      <c r="A14" s="26" t="s">
        <v>4003</v>
      </c>
      <c r="B14" s="26" t="s">
        <v>4005</v>
      </c>
      <c r="C14" s="58">
        <v>1.266</v>
      </c>
      <c r="D14" s="31">
        <v>2.7777777777777779E-3</v>
      </c>
    </row>
    <row r="15" spans="1:6" x14ac:dyDescent="0.25">
      <c r="A15" s="26" t="s">
        <v>4003</v>
      </c>
      <c r="B15" s="26" t="s">
        <v>4006</v>
      </c>
      <c r="C15" s="56">
        <v>0.21199999999999999</v>
      </c>
      <c r="D15" s="28">
        <v>6.9444444444444447E-4</v>
      </c>
    </row>
    <row r="16" spans="1:6" x14ac:dyDescent="0.25">
      <c r="A16" s="26" t="s">
        <v>4003</v>
      </c>
      <c r="B16" s="26" t="s">
        <v>4007</v>
      </c>
      <c r="C16" s="58">
        <v>0</v>
      </c>
      <c r="D16" s="31">
        <v>0</v>
      </c>
    </row>
    <row r="17" spans="1:4" x14ac:dyDescent="0.25">
      <c r="A17" s="26" t="s">
        <v>4003</v>
      </c>
      <c r="B17" s="26" t="s">
        <v>4008</v>
      </c>
      <c r="C17" s="56">
        <v>9.9000000000000005E-2</v>
      </c>
      <c r="D17" s="28">
        <v>0</v>
      </c>
    </row>
    <row r="18" spans="1:4" x14ac:dyDescent="0.25">
      <c r="A18" s="26" t="s">
        <v>4003</v>
      </c>
      <c r="B18" s="26" t="s">
        <v>4009</v>
      </c>
      <c r="C18" s="58">
        <v>1.4670000000000001</v>
      </c>
      <c r="D18" s="31">
        <v>2.7777777777777779E-3</v>
      </c>
    </row>
    <row r="19" spans="1:4" x14ac:dyDescent="0.25">
      <c r="A19" s="26" t="s">
        <v>4003</v>
      </c>
      <c r="B19" s="26" t="s">
        <v>4010</v>
      </c>
      <c r="C19" s="56">
        <v>2.33</v>
      </c>
      <c r="D19" s="28">
        <v>4.1666666666666666E-3</v>
      </c>
    </row>
    <row r="20" spans="1:4" x14ac:dyDescent="0.25">
      <c r="A20" s="26" t="s">
        <v>4004</v>
      </c>
      <c r="B20" s="26" t="s">
        <v>1119</v>
      </c>
      <c r="C20" s="58">
        <v>1.9530000000000001</v>
      </c>
      <c r="D20" s="31">
        <v>4.1666666666666666E-3</v>
      </c>
    </row>
    <row r="21" spans="1:4" x14ac:dyDescent="0.25">
      <c r="A21" s="26" t="s">
        <v>4004</v>
      </c>
      <c r="B21" s="26" t="s">
        <v>4003</v>
      </c>
      <c r="C21" s="56">
        <v>9.9000000000000005E-2</v>
      </c>
      <c r="D21" s="28">
        <v>0</v>
      </c>
    </row>
    <row r="22" spans="1:4" x14ac:dyDescent="0.25">
      <c r="A22" s="26" t="s">
        <v>4004</v>
      </c>
      <c r="B22" s="26" t="s">
        <v>4004</v>
      </c>
      <c r="C22" s="58">
        <v>0</v>
      </c>
      <c r="D22" s="31">
        <v>0</v>
      </c>
    </row>
    <row r="23" spans="1:4" x14ac:dyDescent="0.25">
      <c r="A23" s="26" t="s">
        <v>4004</v>
      </c>
      <c r="B23" s="26" t="s">
        <v>4005</v>
      </c>
      <c r="C23" s="56">
        <v>1.2310000000000001</v>
      </c>
      <c r="D23" s="28">
        <v>2.7777777777777779E-3</v>
      </c>
    </row>
    <row r="24" spans="1:4" x14ac:dyDescent="0.25">
      <c r="A24" s="26" t="s">
        <v>4004</v>
      </c>
      <c r="B24" s="26" t="s">
        <v>4006</v>
      </c>
      <c r="C24" s="58">
        <v>0.312</v>
      </c>
      <c r="D24" s="31">
        <v>6.9444444444444447E-4</v>
      </c>
    </row>
    <row r="25" spans="1:4" x14ac:dyDescent="0.25">
      <c r="A25" s="26" t="s">
        <v>4004</v>
      </c>
      <c r="B25" s="26" t="s">
        <v>4007</v>
      </c>
      <c r="C25" s="56">
        <v>9.9000000000000005E-2</v>
      </c>
      <c r="D25" s="28">
        <v>0</v>
      </c>
    </row>
    <row r="26" spans="1:4" x14ac:dyDescent="0.25">
      <c r="A26" s="26" t="s">
        <v>4004</v>
      </c>
      <c r="B26" s="26" t="s">
        <v>4008</v>
      </c>
      <c r="C26" s="58">
        <v>0</v>
      </c>
      <c r="D26" s="31">
        <v>0</v>
      </c>
    </row>
    <row r="27" spans="1:4" x14ac:dyDescent="0.25">
      <c r="A27" s="26" t="s">
        <v>4004</v>
      </c>
      <c r="B27" s="26" t="s">
        <v>4009</v>
      </c>
      <c r="C27" s="56">
        <v>1.248</v>
      </c>
      <c r="D27" s="28">
        <v>2.7777777777777779E-3</v>
      </c>
    </row>
    <row r="28" spans="1:4" x14ac:dyDescent="0.25">
      <c r="A28" s="26" t="s">
        <v>4004</v>
      </c>
      <c r="B28" s="26" t="s">
        <v>4010</v>
      </c>
      <c r="C28" s="58">
        <v>2.1680000000000001</v>
      </c>
      <c r="D28" s="31">
        <v>3.472222222222222E-3</v>
      </c>
    </row>
    <row r="29" spans="1:4" x14ac:dyDescent="0.25">
      <c r="A29" s="26" t="s">
        <v>4005</v>
      </c>
      <c r="B29" s="26" t="s">
        <v>1119</v>
      </c>
      <c r="C29" s="56">
        <v>1.9750000000000001</v>
      </c>
      <c r="D29" s="28">
        <v>2.7777777777777779E-3</v>
      </c>
    </row>
    <row r="30" spans="1:4" x14ac:dyDescent="0.25">
      <c r="A30" s="26" t="s">
        <v>4005</v>
      </c>
      <c r="B30" s="26" t="s">
        <v>4003</v>
      </c>
      <c r="C30" s="58">
        <v>1.03</v>
      </c>
      <c r="D30" s="31">
        <v>2.0833333333333333E-3</v>
      </c>
    </row>
    <row r="31" spans="1:4" x14ac:dyDescent="0.25">
      <c r="A31" s="26" t="s">
        <v>4005</v>
      </c>
      <c r="B31" s="26" t="s">
        <v>4004</v>
      </c>
      <c r="C31" s="56">
        <v>0.95199999999999996</v>
      </c>
      <c r="D31" s="28">
        <v>2.0833333333333333E-3</v>
      </c>
    </row>
    <row r="32" spans="1:4" x14ac:dyDescent="0.25">
      <c r="A32" s="26" t="s">
        <v>4005</v>
      </c>
      <c r="B32" s="26" t="s">
        <v>4005</v>
      </c>
      <c r="C32" s="58">
        <v>0</v>
      </c>
      <c r="D32" s="31">
        <v>0</v>
      </c>
    </row>
    <row r="33" spans="1:4" x14ac:dyDescent="0.25">
      <c r="A33" s="26" t="s">
        <v>4005</v>
      </c>
      <c r="B33" s="26" t="s">
        <v>4006</v>
      </c>
      <c r="C33" s="56">
        <v>1.194</v>
      </c>
      <c r="D33" s="28">
        <v>2.7777777777777779E-3</v>
      </c>
    </row>
    <row r="34" spans="1:4" x14ac:dyDescent="0.25">
      <c r="A34" s="26" t="s">
        <v>4005</v>
      </c>
      <c r="B34" s="26" t="s">
        <v>4007</v>
      </c>
      <c r="C34" s="58">
        <v>1.03</v>
      </c>
      <c r="D34" s="31">
        <v>2.0833333333333333E-3</v>
      </c>
    </row>
    <row r="35" spans="1:4" x14ac:dyDescent="0.25">
      <c r="A35" s="26" t="s">
        <v>4005</v>
      </c>
      <c r="B35" s="26" t="s">
        <v>4008</v>
      </c>
      <c r="C35" s="56">
        <v>0.95199999999999996</v>
      </c>
      <c r="D35" s="28">
        <v>2.0833333333333333E-3</v>
      </c>
    </row>
    <row r="36" spans="1:4" x14ac:dyDescent="0.25">
      <c r="A36" s="26" t="s">
        <v>4005</v>
      </c>
      <c r="B36" s="26" t="s">
        <v>4009</v>
      </c>
      <c r="C36" s="58">
        <v>2.194</v>
      </c>
      <c r="D36" s="31">
        <v>4.1666666666666666E-3</v>
      </c>
    </row>
    <row r="37" spans="1:4" x14ac:dyDescent="0.25">
      <c r="A37" s="26" t="s">
        <v>4005</v>
      </c>
      <c r="B37" s="26" t="s">
        <v>4010</v>
      </c>
      <c r="C37" s="56">
        <v>3.7280000000000002</v>
      </c>
      <c r="D37" s="28">
        <v>5.5555555555555558E-3</v>
      </c>
    </row>
    <row r="38" spans="1:4" x14ac:dyDescent="0.25">
      <c r="A38" s="26" t="s">
        <v>4006</v>
      </c>
      <c r="B38" s="26" t="s">
        <v>1119</v>
      </c>
      <c r="C38" s="58">
        <v>2.226</v>
      </c>
      <c r="D38" s="31">
        <v>4.1666666666666666E-3</v>
      </c>
    </row>
    <row r="39" spans="1:4" x14ac:dyDescent="0.25">
      <c r="A39" s="26" t="s">
        <v>4006</v>
      </c>
      <c r="B39" s="26" t="s">
        <v>4003</v>
      </c>
      <c r="C39" s="56">
        <v>0.21199999999999999</v>
      </c>
      <c r="D39" s="28">
        <v>6.9444444444444447E-4</v>
      </c>
    </row>
    <row r="40" spans="1:4" x14ac:dyDescent="0.25">
      <c r="A40" s="26" t="s">
        <v>4006</v>
      </c>
      <c r="B40" s="26" t="s">
        <v>4004</v>
      </c>
      <c r="C40" s="58">
        <v>0.312</v>
      </c>
      <c r="D40" s="31">
        <v>6.9444444444444447E-4</v>
      </c>
    </row>
    <row r="41" spans="1:4" x14ac:dyDescent="0.25">
      <c r="A41" s="26" t="s">
        <v>4006</v>
      </c>
      <c r="B41" s="26" t="s">
        <v>4005</v>
      </c>
      <c r="C41" s="56">
        <v>1.504</v>
      </c>
      <c r="D41" s="28">
        <v>2.7777777777777779E-3</v>
      </c>
    </row>
    <row r="42" spans="1:4" x14ac:dyDescent="0.25">
      <c r="A42" s="26" t="s">
        <v>4006</v>
      </c>
      <c r="B42" s="26" t="s">
        <v>4006</v>
      </c>
      <c r="C42" s="58">
        <v>0</v>
      </c>
      <c r="D42" s="31">
        <v>0</v>
      </c>
    </row>
    <row r="43" spans="1:4" x14ac:dyDescent="0.25">
      <c r="A43" s="26" t="s">
        <v>4006</v>
      </c>
      <c r="B43" s="26" t="s">
        <v>4007</v>
      </c>
      <c r="C43" s="56">
        <v>0.21199999999999999</v>
      </c>
      <c r="D43" s="28">
        <v>6.9444444444444447E-4</v>
      </c>
    </row>
    <row r="44" spans="1:4" x14ac:dyDescent="0.25">
      <c r="A44" s="26" t="s">
        <v>4006</v>
      </c>
      <c r="B44" s="26" t="s">
        <v>4008</v>
      </c>
      <c r="C44" s="58">
        <v>0.312</v>
      </c>
      <c r="D44" s="31">
        <v>6.9444444444444447E-4</v>
      </c>
    </row>
    <row r="45" spans="1:4" x14ac:dyDescent="0.25">
      <c r="A45" s="26" t="s">
        <v>4006</v>
      </c>
      <c r="B45" s="26" t="s">
        <v>4009</v>
      </c>
      <c r="C45" s="56">
        <v>1.2849999999999999</v>
      </c>
      <c r="D45" s="28">
        <v>2.7777777777777779E-3</v>
      </c>
    </row>
    <row r="46" spans="1:4" x14ac:dyDescent="0.25">
      <c r="A46" s="26" t="s">
        <v>4006</v>
      </c>
      <c r="B46" s="26" t="s">
        <v>4010</v>
      </c>
      <c r="C46" s="58">
        <v>2.1480000000000001</v>
      </c>
      <c r="D46" s="31">
        <v>3.472222222222222E-3</v>
      </c>
    </row>
    <row r="47" spans="1:4" x14ac:dyDescent="0.25">
      <c r="A47" s="26" t="s">
        <v>4007</v>
      </c>
      <c r="B47" s="26" t="s">
        <v>1119</v>
      </c>
      <c r="C47" s="56">
        <v>1.988</v>
      </c>
      <c r="D47" s="28">
        <v>3.472222222222222E-3</v>
      </c>
    </row>
    <row r="48" spans="1:4" x14ac:dyDescent="0.25">
      <c r="A48" s="26" t="s">
        <v>4007</v>
      </c>
      <c r="B48" s="26" t="s">
        <v>4003</v>
      </c>
      <c r="C48" s="58">
        <v>0</v>
      </c>
      <c r="D48" s="31">
        <v>0</v>
      </c>
    </row>
    <row r="49" spans="1:4" x14ac:dyDescent="0.25">
      <c r="A49" s="26" t="s">
        <v>4007</v>
      </c>
      <c r="B49" s="26" t="s">
        <v>4004</v>
      </c>
      <c r="C49" s="56">
        <v>9.9000000000000005E-2</v>
      </c>
      <c r="D49" s="28">
        <v>0</v>
      </c>
    </row>
    <row r="50" spans="1:4" x14ac:dyDescent="0.25">
      <c r="A50" s="26" t="s">
        <v>4007</v>
      </c>
      <c r="B50" s="26" t="s">
        <v>4005</v>
      </c>
      <c r="C50" s="58">
        <v>1.266</v>
      </c>
      <c r="D50" s="31">
        <v>2.7777777777777779E-3</v>
      </c>
    </row>
    <row r="51" spans="1:4" x14ac:dyDescent="0.25">
      <c r="A51" s="26" t="s">
        <v>4007</v>
      </c>
      <c r="B51" s="26" t="s">
        <v>4006</v>
      </c>
      <c r="C51" s="56">
        <v>0.21199999999999999</v>
      </c>
      <c r="D51" s="28">
        <v>6.9444444444444447E-4</v>
      </c>
    </row>
    <row r="52" spans="1:4" x14ac:dyDescent="0.25">
      <c r="A52" s="26" t="s">
        <v>4007</v>
      </c>
      <c r="B52" s="26" t="s">
        <v>4007</v>
      </c>
      <c r="C52" s="58">
        <v>0</v>
      </c>
      <c r="D52" s="31">
        <v>0</v>
      </c>
    </row>
    <row r="53" spans="1:4" x14ac:dyDescent="0.25">
      <c r="A53" s="26" t="s">
        <v>4007</v>
      </c>
      <c r="B53" s="26" t="s">
        <v>4008</v>
      </c>
      <c r="C53" s="56">
        <v>9.9000000000000005E-2</v>
      </c>
      <c r="D53" s="28">
        <v>0</v>
      </c>
    </row>
    <row r="54" spans="1:4" x14ac:dyDescent="0.25">
      <c r="A54" s="26" t="s">
        <v>4007</v>
      </c>
      <c r="B54" s="26" t="s">
        <v>4009</v>
      </c>
      <c r="C54" s="58">
        <v>1.4670000000000001</v>
      </c>
      <c r="D54" s="31">
        <v>2.7777777777777779E-3</v>
      </c>
    </row>
    <row r="55" spans="1:4" x14ac:dyDescent="0.25">
      <c r="A55" s="26" t="s">
        <v>4007</v>
      </c>
      <c r="B55" s="26" t="s">
        <v>4010</v>
      </c>
      <c r="C55" s="56">
        <v>2.33</v>
      </c>
      <c r="D55" s="28">
        <v>4.1666666666666666E-3</v>
      </c>
    </row>
    <row r="56" spans="1:4" x14ac:dyDescent="0.25">
      <c r="A56" s="26" t="s">
        <v>4008</v>
      </c>
      <c r="B56" s="26" t="s">
        <v>1119</v>
      </c>
      <c r="C56" s="58">
        <v>1.9530000000000001</v>
      </c>
      <c r="D56" s="31">
        <v>4.1666666666666666E-3</v>
      </c>
    </row>
    <row r="57" spans="1:4" x14ac:dyDescent="0.25">
      <c r="A57" s="26" t="s">
        <v>4008</v>
      </c>
      <c r="B57" s="26" t="s">
        <v>4003</v>
      </c>
      <c r="C57" s="56">
        <v>9.9000000000000005E-2</v>
      </c>
      <c r="D57" s="28">
        <v>0</v>
      </c>
    </row>
    <row r="58" spans="1:4" x14ac:dyDescent="0.25">
      <c r="A58" s="26" t="s">
        <v>4008</v>
      </c>
      <c r="B58" s="26" t="s">
        <v>4004</v>
      </c>
      <c r="C58" s="58">
        <v>0</v>
      </c>
      <c r="D58" s="31">
        <v>0</v>
      </c>
    </row>
    <row r="59" spans="1:4" x14ac:dyDescent="0.25">
      <c r="A59" s="26" t="s">
        <v>4008</v>
      </c>
      <c r="B59" s="26" t="s">
        <v>4005</v>
      </c>
      <c r="C59" s="56">
        <v>1.2310000000000001</v>
      </c>
      <c r="D59" s="28">
        <v>2.7777777777777779E-3</v>
      </c>
    </row>
    <row r="60" spans="1:4" x14ac:dyDescent="0.25">
      <c r="A60" s="26" t="s">
        <v>4008</v>
      </c>
      <c r="B60" s="26" t="s">
        <v>4006</v>
      </c>
      <c r="C60" s="58">
        <v>0.312</v>
      </c>
      <c r="D60" s="31">
        <v>6.9444444444444447E-4</v>
      </c>
    </row>
    <row r="61" spans="1:4" x14ac:dyDescent="0.25">
      <c r="A61" s="26" t="s">
        <v>4008</v>
      </c>
      <c r="B61" s="26" t="s">
        <v>4007</v>
      </c>
      <c r="C61" s="56">
        <v>9.9000000000000005E-2</v>
      </c>
      <c r="D61" s="28">
        <v>0</v>
      </c>
    </row>
    <row r="62" spans="1:4" x14ac:dyDescent="0.25">
      <c r="A62" s="26" t="s">
        <v>4008</v>
      </c>
      <c r="B62" s="26" t="s">
        <v>4008</v>
      </c>
      <c r="C62" s="58">
        <v>0</v>
      </c>
      <c r="D62" s="31">
        <v>0</v>
      </c>
    </row>
    <row r="63" spans="1:4" x14ac:dyDescent="0.25">
      <c r="A63" s="26" t="s">
        <v>4008</v>
      </c>
      <c r="B63" s="26" t="s">
        <v>4009</v>
      </c>
      <c r="C63" s="56">
        <v>1.248</v>
      </c>
      <c r="D63" s="28">
        <v>2.7777777777777779E-3</v>
      </c>
    </row>
    <row r="64" spans="1:4" x14ac:dyDescent="0.25">
      <c r="A64" s="26" t="s">
        <v>4008</v>
      </c>
      <c r="B64" s="26" t="s">
        <v>4010</v>
      </c>
      <c r="C64" s="58">
        <v>2.1680000000000001</v>
      </c>
      <c r="D64" s="31">
        <v>3.472222222222222E-3</v>
      </c>
    </row>
    <row r="65" spans="1:4" x14ac:dyDescent="0.25">
      <c r="A65" s="26" t="s">
        <v>4009</v>
      </c>
      <c r="B65" s="26" t="s">
        <v>1119</v>
      </c>
      <c r="C65" s="56">
        <v>2.2200000000000002</v>
      </c>
      <c r="D65" s="28">
        <v>3.472222222222222E-3</v>
      </c>
    </row>
    <row r="66" spans="1:4" x14ac:dyDescent="0.25">
      <c r="A66" s="26" t="s">
        <v>4009</v>
      </c>
      <c r="B66" s="26" t="s">
        <v>4003</v>
      </c>
      <c r="C66" s="58">
        <v>1.3560000000000001</v>
      </c>
      <c r="D66" s="31">
        <v>2.7777777777777779E-3</v>
      </c>
    </row>
    <row r="67" spans="1:4" x14ac:dyDescent="0.25">
      <c r="A67" s="26" t="s">
        <v>4009</v>
      </c>
      <c r="B67" s="26" t="s">
        <v>4004</v>
      </c>
      <c r="C67" s="56">
        <v>1.256</v>
      </c>
      <c r="D67" s="28">
        <v>2.7777777777777779E-3</v>
      </c>
    </row>
    <row r="68" spans="1:4" x14ac:dyDescent="0.25">
      <c r="A68" s="26" t="s">
        <v>4009</v>
      </c>
      <c r="B68" s="26" t="s">
        <v>4005</v>
      </c>
      <c r="C68" s="58">
        <v>1.788</v>
      </c>
      <c r="D68" s="31">
        <v>4.1666666666666666E-3</v>
      </c>
    </row>
    <row r="69" spans="1:4" x14ac:dyDescent="0.25">
      <c r="A69" s="26" t="s">
        <v>4009</v>
      </c>
      <c r="B69" s="26" t="s">
        <v>4006</v>
      </c>
      <c r="C69" s="56">
        <v>1.2729999999999999</v>
      </c>
      <c r="D69" s="28">
        <v>2.7777777777777779E-3</v>
      </c>
    </row>
    <row r="70" spans="1:4" x14ac:dyDescent="0.25">
      <c r="A70" s="26" t="s">
        <v>4009</v>
      </c>
      <c r="B70" s="26" t="s">
        <v>4007</v>
      </c>
      <c r="C70" s="58">
        <v>1.3560000000000001</v>
      </c>
      <c r="D70" s="31">
        <v>2.7777777777777779E-3</v>
      </c>
    </row>
    <row r="71" spans="1:4" x14ac:dyDescent="0.25">
      <c r="A71" s="26" t="s">
        <v>4009</v>
      </c>
      <c r="B71" s="26" t="s">
        <v>4008</v>
      </c>
      <c r="C71" s="56">
        <v>1.256</v>
      </c>
      <c r="D71" s="28">
        <v>2.7777777777777779E-3</v>
      </c>
    </row>
    <row r="72" spans="1:4" x14ac:dyDescent="0.25">
      <c r="A72" s="26" t="s">
        <v>4009</v>
      </c>
      <c r="B72" s="26" t="s">
        <v>4009</v>
      </c>
      <c r="C72" s="58">
        <v>0</v>
      </c>
      <c r="D72" s="31">
        <v>0</v>
      </c>
    </row>
    <row r="73" spans="1:4" x14ac:dyDescent="0.25">
      <c r="A73" s="26" t="s">
        <v>4009</v>
      </c>
      <c r="B73" s="26" t="s">
        <v>4010</v>
      </c>
      <c r="C73" s="56">
        <v>1.085</v>
      </c>
      <c r="D73" s="28">
        <v>2.0833333333333333E-3</v>
      </c>
    </row>
    <row r="74" spans="1:4" x14ac:dyDescent="0.25">
      <c r="A74" s="26" t="s">
        <v>4010</v>
      </c>
      <c r="B74" s="26" t="s">
        <v>1119</v>
      </c>
      <c r="C74" s="58">
        <v>1.859</v>
      </c>
      <c r="D74" s="31">
        <v>2.7777777777777779E-3</v>
      </c>
    </row>
    <row r="75" spans="1:4" x14ac:dyDescent="0.25">
      <c r="A75" s="26" t="s">
        <v>4010</v>
      </c>
      <c r="B75" s="26" t="s">
        <v>4003</v>
      </c>
      <c r="C75" s="56">
        <v>2.2330000000000001</v>
      </c>
      <c r="D75" s="28">
        <v>3.472222222222222E-3</v>
      </c>
    </row>
    <row r="76" spans="1:4" x14ac:dyDescent="0.25">
      <c r="A76" s="26" t="s">
        <v>4010</v>
      </c>
      <c r="B76" s="26" t="s">
        <v>4004</v>
      </c>
      <c r="C76" s="58">
        <v>2.133</v>
      </c>
      <c r="D76" s="31">
        <v>3.472222222222222E-3</v>
      </c>
    </row>
    <row r="77" spans="1:4" x14ac:dyDescent="0.25">
      <c r="A77" s="26" t="s">
        <v>4010</v>
      </c>
      <c r="B77" s="26" t="s">
        <v>4005</v>
      </c>
      <c r="C77" s="56">
        <v>3.298</v>
      </c>
      <c r="D77" s="28">
        <v>4.8611111111111112E-3</v>
      </c>
    </row>
    <row r="78" spans="1:4" x14ac:dyDescent="0.25">
      <c r="A78" s="26" t="s">
        <v>4010</v>
      </c>
      <c r="B78" s="26" t="s">
        <v>4006</v>
      </c>
      <c r="C78" s="58">
        <v>2.1110000000000002</v>
      </c>
      <c r="D78" s="31">
        <v>3.472222222222222E-3</v>
      </c>
    </row>
    <row r="79" spans="1:4" x14ac:dyDescent="0.25">
      <c r="A79" s="26" t="s">
        <v>4010</v>
      </c>
      <c r="B79" s="26" t="s">
        <v>4007</v>
      </c>
      <c r="C79" s="56">
        <v>2.2330000000000001</v>
      </c>
      <c r="D79" s="28">
        <v>3.472222222222222E-3</v>
      </c>
    </row>
    <row r="80" spans="1:4" x14ac:dyDescent="0.25">
      <c r="A80" s="26" t="s">
        <v>4010</v>
      </c>
      <c r="B80" s="26" t="s">
        <v>4008</v>
      </c>
      <c r="C80" s="58">
        <v>2.133</v>
      </c>
      <c r="D80" s="31">
        <v>3.472222222222222E-3</v>
      </c>
    </row>
    <row r="81" spans="1:4" x14ac:dyDescent="0.25">
      <c r="A81" s="26" t="s">
        <v>4010</v>
      </c>
      <c r="B81" s="26" t="s">
        <v>4009</v>
      </c>
      <c r="C81" s="56">
        <v>1.0569999999999999</v>
      </c>
      <c r="D81" s="28">
        <v>1.3888888888888889E-3</v>
      </c>
    </row>
    <row r="82" spans="1:4" x14ac:dyDescent="0.25">
      <c r="A82" s="25" t="s">
        <v>4010</v>
      </c>
      <c r="B82" s="25" t="s">
        <v>4010</v>
      </c>
      <c r="C82" s="57">
        <v>0</v>
      </c>
      <c r="D82" s="29">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7856A-94C9-4A04-8CFC-CA2CFF72ED75}">
  <dimension ref="A1:M4"/>
  <sheetViews>
    <sheetView workbookViewId="0">
      <selection activeCell="K3" sqref="K3"/>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5703125" customWidth="1"/>
    <col min="12" max="12" width="0.2851562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x14ac:dyDescent="0.25">
      <c r="A2" s="68" t="s">
        <v>1119</v>
      </c>
      <c r="B2" s="19" t="s">
        <v>4012</v>
      </c>
      <c r="C2" s="19">
        <v>44</v>
      </c>
      <c r="D2" s="59">
        <v>1</v>
      </c>
      <c r="E2" s="59">
        <v>11.22</v>
      </c>
      <c r="F2" s="59">
        <v>1</v>
      </c>
      <c r="G2" s="59">
        <v>100</v>
      </c>
      <c r="H2" s="60">
        <v>0.25</v>
      </c>
      <c r="I2" s="61">
        <v>0.25</v>
      </c>
      <c r="J2" s="61">
        <v>0.5</v>
      </c>
      <c r="K2" s="19" t="s">
        <v>1119</v>
      </c>
      <c r="L2" s="62">
        <f>IFERROR(MATCH(K2,'1. Locais'!$B$2:$B$2,0) - 1," ")</f>
        <v>0</v>
      </c>
      <c r="M2" s="19">
        <v>1</v>
      </c>
    </row>
    <row r="3" spans="1:13" ht="15.75" thickBot="1" x14ac:dyDescent="0.3">
      <c r="A3" s="69"/>
      <c r="B3" s="63" t="s">
        <v>4013</v>
      </c>
      <c r="C3" s="63">
        <v>44</v>
      </c>
      <c r="D3" s="64">
        <v>1</v>
      </c>
      <c r="E3" s="64">
        <v>11.22</v>
      </c>
      <c r="F3" s="64">
        <v>1</v>
      </c>
      <c r="G3" s="64">
        <v>100</v>
      </c>
      <c r="H3" s="65">
        <v>0.25</v>
      </c>
      <c r="I3" s="66">
        <v>0.25</v>
      </c>
      <c r="J3" s="66">
        <v>0.5</v>
      </c>
      <c r="K3" s="63" t="s">
        <v>1119</v>
      </c>
      <c r="L3" s="67">
        <f>IFERROR(MATCH(K3,'1. Locais'!$B$2:$B$2,0) - 1," ")</f>
        <v>0</v>
      </c>
      <c r="M3" s="63">
        <v>1</v>
      </c>
    </row>
    <row r="4" spans="1:13" ht="15.75" thickTop="1" x14ac:dyDescent="0.25"/>
  </sheetData>
  <mergeCells count="1">
    <mergeCell ref="A2:A3"/>
  </mergeCells>
  <dataValidations count="12">
    <dataValidation type="decimal" operator="greaterThan" allowBlank="1" showInputMessage="1" showErrorMessage="1" error="Insira um valor não negativo" sqref="C2" xr:uid="{E8476A92-8D3B-45A2-94C6-46FFF56C7FB6}">
      <formula1>-0.0001</formula1>
    </dataValidation>
    <dataValidation type="decimal" operator="greaterThan" allowBlank="1" showInputMessage="1" showErrorMessage="1" error="Insira um valor não negativo" sqref="D2" xr:uid="{907626A1-71E2-462A-91A0-B55EDC0EFFEC}">
      <formula1>-0.0001</formula1>
    </dataValidation>
    <dataValidation type="decimal" operator="greaterThan" allowBlank="1" showInputMessage="1" showErrorMessage="1" error="Insira um valor não negativo" sqref="E2" xr:uid="{E536EEBB-CC69-4D1C-93A3-5C2D9FDA9C99}">
      <formula1>-0.0001</formula1>
    </dataValidation>
    <dataValidation type="decimal" operator="greaterThan" allowBlank="1" showInputMessage="1" showErrorMessage="1" error="Insira um valor positivo" sqref="F2" xr:uid="{E132966E-EE52-41F3-B366-F2C17A9D0FBF}">
      <formula1>0</formula1>
    </dataValidation>
    <dataValidation type="whole" operator="greaterThan" allowBlank="1" showInputMessage="1" showErrorMessage="1" error="Insira um valor inteiro não negativo" sqref="G2" xr:uid="{9A6707C1-5610-4C64-8746-397F02AAE98B}">
      <formula1>-1</formula1>
    </dataValidation>
    <dataValidation type="decimal" operator="greaterThan" allowBlank="1" showInputMessage="1" showErrorMessage="1" error="Insira um valor positivo" sqref="J2" xr:uid="{59DF3064-89B6-40CE-BF9E-3E61E46649EA}">
      <formula1>0</formula1>
    </dataValidation>
    <dataValidation type="decimal" operator="greaterThan" allowBlank="1" showInputMessage="1" showErrorMessage="1" error="Insira um valor não negativo" sqref="C3" xr:uid="{D0918903-AEAA-4F3C-BE2B-D2D433A6E140}">
      <formula1>-0.0001</formula1>
    </dataValidation>
    <dataValidation type="decimal" operator="greaterThan" allowBlank="1" showInputMessage="1" showErrorMessage="1" error="Insira um valor não negativo" sqref="D3" xr:uid="{7CDEEA04-C097-4B89-B792-E10605E7D6DD}">
      <formula1>-0.0001</formula1>
    </dataValidation>
    <dataValidation type="decimal" operator="greaterThan" allowBlank="1" showInputMessage="1" showErrorMessage="1" error="Insira um valor não negativo" sqref="E3" xr:uid="{F4B994A2-8EC7-4301-80E7-3815887741AF}">
      <formula1>-0.0001</formula1>
    </dataValidation>
    <dataValidation type="decimal" operator="greaterThan" allowBlank="1" showInputMessage="1" showErrorMessage="1" error="Insira um valor positivo" sqref="F3" xr:uid="{16D91564-1D3C-4E62-BC2C-40E45DB6A106}">
      <formula1>0</formula1>
    </dataValidation>
    <dataValidation type="whole" operator="greaterThan" allowBlank="1" showInputMessage="1" showErrorMessage="1" error="Insira um valor inteiro não negativo" sqref="G3" xr:uid="{5D6B7531-1E0C-4CDE-A845-9E1ED947FC0C}">
      <formula1>-1</formula1>
    </dataValidation>
    <dataValidation type="decimal" operator="greaterThan" allowBlank="1" showInputMessage="1" showErrorMessage="1" error="Insira um valor positivo" sqref="J3" xr:uid="{630D6EC9-3440-43E8-967F-22BF72639224}">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2">
        <x14:dataValidation type="list" allowBlank="1" showInputMessage="1" showErrorMessage="1" errorTitle="Atenção" error="Selecione um valor da lista disponível na célula selecionada." xr:uid="{C73AB045-ADEE-461F-882B-B8B2B5D669DC}">
          <x14:formula1>
            <xm:f>'1. Locais'!$B$2:$B$2</xm:f>
          </x14:formula1>
          <xm:sqref>K2</xm:sqref>
        </x14:dataValidation>
        <x14:dataValidation type="list" allowBlank="1" showInputMessage="1" showErrorMessage="1" errorTitle="Atenção" error="Selecione um valor da lista disponível na célula selecionada." xr:uid="{A2B119F9-4ACE-4F6F-9B60-795387F1A7EF}">
          <x14:formula1>
            <xm:f>'1. Locais'!$B$2:$B$2</xm:f>
          </x14:formula1>
          <xm:sqref>K3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F8E2A-17E9-4A24-BE2D-1EED5D9C5678}">
  <dimension ref="A1:D10"/>
  <sheetViews>
    <sheetView workbookViewId="0">
      <selection activeCell="D8" sqref="D8"/>
    </sheetView>
  </sheetViews>
  <sheetFormatPr defaultRowHeight="15" x14ac:dyDescent="0.25"/>
  <cols>
    <col min="1" max="1" width="15.7109375" bestFit="1" customWidth="1"/>
    <col min="2" max="2" width="13.85546875" bestFit="1" customWidth="1"/>
    <col min="3" max="4" width="13.7109375" customWidth="1"/>
  </cols>
  <sheetData>
    <row r="1" spans="1:4" x14ac:dyDescent="0.25">
      <c r="A1" s="18" t="s">
        <v>1144</v>
      </c>
      <c r="B1" s="18" t="s">
        <v>1147</v>
      </c>
      <c r="C1" s="18" t="str">
        <f>'3. Veículos'!B2</f>
        <v>Ônibus1</v>
      </c>
      <c r="D1" s="18" t="str">
        <f>'3. Veículos'!B3</f>
        <v>Ônibus2</v>
      </c>
    </row>
    <row r="2" spans="1:4" ht="15.75" thickBot="1" x14ac:dyDescent="0.3">
      <c r="A2" s="21">
        <f>'1. Locais'!A2</f>
        <v>0</v>
      </c>
      <c r="B2" s="21" t="str">
        <f>'1. Locais'!B2</f>
        <v>depósito</v>
      </c>
      <c r="C2" s="88" t="s">
        <v>1114</v>
      </c>
      <c r="D2" s="88" t="s">
        <v>1114</v>
      </c>
    </row>
    <row r="3" spans="1:4" ht="15.75" thickTop="1" x14ac:dyDescent="0.25">
      <c r="A3" s="22">
        <f>'1. Locais'!A3</f>
        <v>1</v>
      </c>
      <c r="B3" s="22" t="str">
        <f>'1. Locais'!B3</f>
        <v>Ponto1</v>
      </c>
      <c r="C3" s="23" t="s">
        <v>1114</v>
      </c>
      <c r="D3" s="23" t="s">
        <v>2207</v>
      </c>
    </row>
    <row r="4" spans="1:4" x14ac:dyDescent="0.25">
      <c r="A4" s="26">
        <f>'1. Locais'!A4</f>
        <v>2</v>
      </c>
      <c r="B4" s="26" t="str">
        <f>'1. Locais'!B4</f>
        <v>Ponto2</v>
      </c>
      <c r="C4" s="27" t="s">
        <v>1114</v>
      </c>
      <c r="D4" s="27" t="s">
        <v>2207</v>
      </c>
    </row>
    <row r="5" spans="1:4" x14ac:dyDescent="0.25">
      <c r="A5" s="26">
        <f>'1. Locais'!A5</f>
        <v>3</v>
      </c>
      <c r="B5" s="26" t="str">
        <f>'1. Locais'!B5</f>
        <v>Ponto3</v>
      </c>
      <c r="C5" s="30" t="s">
        <v>1114</v>
      </c>
      <c r="D5" s="30" t="s">
        <v>2207</v>
      </c>
    </row>
    <row r="6" spans="1:4" x14ac:dyDescent="0.25">
      <c r="A6" s="26">
        <f>'1. Locais'!A6</f>
        <v>4</v>
      </c>
      <c r="B6" s="26" t="str">
        <f>'1. Locais'!B6</f>
        <v>Ponto4</v>
      </c>
      <c r="C6" s="27" t="s">
        <v>2207</v>
      </c>
      <c r="D6" s="27" t="s">
        <v>1114</v>
      </c>
    </row>
    <row r="7" spans="1:4" x14ac:dyDescent="0.25">
      <c r="A7" s="26">
        <f>'1. Locais'!A7</f>
        <v>5</v>
      </c>
      <c r="B7" s="26" t="str">
        <f>'1. Locais'!B7</f>
        <v>Ponto5</v>
      </c>
      <c r="C7" s="30" t="s">
        <v>2207</v>
      </c>
      <c r="D7" s="30" t="s">
        <v>1114</v>
      </c>
    </row>
    <row r="8" spans="1:4" x14ac:dyDescent="0.25">
      <c r="A8" s="26">
        <f>'1. Locais'!A8</f>
        <v>6</v>
      </c>
      <c r="B8" s="26" t="str">
        <f>'1. Locais'!B8</f>
        <v>Ponto6</v>
      </c>
      <c r="C8" s="27" t="s">
        <v>2207</v>
      </c>
      <c r="D8" s="27" t="s">
        <v>1114</v>
      </c>
    </row>
    <row r="9" spans="1:4" x14ac:dyDescent="0.25">
      <c r="A9" s="26">
        <f>'1. Locais'!A9</f>
        <v>7</v>
      </c>
      <c r="B9" s="26" t="str">
        <f>'1. Locais'!B9</f>
        <v>Escola1</v>
      </c>
      <c r="C9" s="30" t="s">
        <v>1114</v>
      </c>
      <c r="D9" s="30" t="s">
        <v>2207</v>
      </c>
    </row>
    <row r="10" spans="1:4" x14ac:dyDescent="0.25">
      <c r="A10" s="25">
        <f>'1. Locais'!A10</f>
        <v>8</v>
      </c>
      <c r="B10" s="25" t="str">
        <f>'1. Locais'!B10</f>
        <v>Escola2</v>
      </c>
      <c r="C10" s="24" t="s">
        <v>2207</v>
      </c>
      <c r="D10" s="24" t="s">
        <v>1114</v>
      </c>
    </row>
  </sheetData>
  <conditionalFormatting sqref="C2:D2">
    <cfRule type="cellIs" dxfId="87" priority="1" stopIfTrue="1" operator="equal">
      <formula>"Incompatível"</formula>
    </cfRule>
  </conditionalFormatting>
  <conditionalFormatting sqref="C3:D3">
    <cfRule type="cellIs" dxfId="86" priority="2" stopIfTrue="1" operator="equal">
      <formula>"Incompatível"</formula>
    </cfRule>
  </conditionalFormatting>
  <conditionalFormatting sqref="C4:D4">
    <cfRule type="cellIs" dxfId="85" priority="3" stopIfTrue="1" operator="equal">
      <formula>"Incompatível"</formula>
    </cfRule>
  </conditionalFormatting>
  <conditionalFormatting sqref="C5:D5">
    <cfRule type="cellIs" dxfId="84" priority="4" stopIfTrue="1" operator="equal">
      <formula>"Incompatível"</formula>
    </cfRule>
  </conditionalFormatting>
  <conditionalFormatting sqref="C6:D6">
    <cfRule type="cellIs" dxfId="83" priority="5" stopIfTrue="1" operator="equal">
      <formula>"Incompatível"</formula>
    </cfRule>
  </conditionalFormatting>
  <conditionalFormatting sqref="C7:D7">
    <cfRule type="cellIs" dxfId="82" priority="6" stopIfTrue="1" operator="equal">
      <formula>"Incompatível"</formula>
    </cfRule>
  </conditionalFormatting>
  <conditionalFormatting sqref="C8:D8">
    <cfRule type="cellIs" dxfId="81" priority="7" stopIfTrue="1" operator="equal">
      <formula>"Incompatível"</formula>
    </cfRule>
  </conditionalFormatting>
  <conditionalFormatting sqref="C9:D9">
    <cfRule type="cellIs" dxfId="80" priority="8" stopIfTrue="1" operator="equal">
      <formula>"Incompatível"</formula>
    </cfRule>
  </conditionalFormatting>
  <conditionalFormatting sqref="C10:D10">
    <cfRule type="cellIs" dxfId="79" priority="9" stopIfTrue="1" operator="equal">
      <formula>"Incompatível"</formula>
    </cfRule>
  </conditionalFormatting>
  <dataValidations count="1">
    <dataValidation type="list" allowBlank="1" showInputMessage="1" showErrorMessage="1" sqref="C3:D3 C4:D4 C5:D5 C6:D6 C7:D7 C8:D8 C9:D9 C10:D10" xr:uid="{E1DB1BE4-9D28-4723-8ACF-1B9DAFFFE018}">
      <formula1>"Compatível,Incompatível"</formula1>
    </dataValidation>
  </dataValidation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74165-8B16-45A2-B71E-797B89A65F25}">
  <dimension ref="A1:AG16"/>
  <sheetViews>
    <sheetView tabSelected="1" workbookViewId="0">
      <selection activeCell="P6" sqref="P6"/>
    </sheetView>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customWidth="1"/>
    <col min="12" max="12" width="4.42578125" customWidth="1"/>
    <col min="13" max="13" width="9.140625" customWidth="1"/>
    <col min="14" max="14" width="12.85546875" customWidth="1"/>
    <col min="15" max="15" width="13.7109375" customWidth="1"/>
    <col min="16" max="16" width="5.85546875" bestFit="1" customWidth="1"/>
    <col min="18" max="18" width="16.28515625" bestFit="1" customWidth="1"/>
    <col min="19" max="19" width="13.85546875" bestFit="1" customWidth="1"/>
    <col min="20" max="20" width="15.7109375" hidden="1" customWidth="1"/>
    <col min="21" max="21" width="11.140625" hidden="1" customWidth="1"/>
    <col min="22" max="22" width="12.7109375" hidden="1" customWidth="1"/>
    <col min="23" max="23" width="15.85546875" bestFit="1" customWidth="1"/>
    <col min="24" max="24" width="19" bestFit="1" customWidth="1"/>
    <col min="25" max="25" width="17.85546875" bestFit="1" customWidth="1"/>
    <col min="26" max="26" width="14.7109375" bestFit="1" customWidth="1"/>
    <col min="27" max="27" width="11.140625" bestFit="1" customWidth="1"/>
    <col min="28" max="28" width="14" bestFit="1" customWidth="1"/>
    <col min="29" max="29" width="16" hidden="1" customWidth="1"/>
    <col min="30" max="30" width="21.85546875" hidden="1" customWidth="1"/>
    <col min="31" max="31" width="17" hidden="1" customWidth="1"/>
    <col min="32" max="32" width="17.28515625" hidden="1" customWidth="1"/>
    <col min="33" max="33" width="5.85546875" bestFit="1" customWidth="1"/>
  </cols>
  <sheetData>
    <row r="1" spans="1:33" s="18" customFormat="1" x14ac:dyDescent="0.25">
      <c r="A1" s="18" t="s">
        <v>253</v>
      </c>
      <c r="B1" s="84">
        <f ca="1">+I3+Z3</f>
        <v>-153.99734000000004</v>
      </c>
    </row>
    <row r="2" spans="1:33" s="18" customFormat="1" x14ac:dyDescent="0.25">
      <c r="A2" s="87"/>
      <c r="B2" s="87"/>
      <c r="C2" s="87"/>
      <c r="D2" s="87"/>
      <c r="E2" s="87"/>
      <c r="F2" s="87"/>
      <c r="G2" s="87"/>
      <c r="H2" s="87"/>
      <c r="I2" s="87"/>
      <c r="J2" s="87"/>
      <c r="K2" s="87"/>
      <c r="L2" s="87"/>
      <c r="M2" s="87"/>
      <c r="N2" s="87"/>
      <c r="O2" s="87"/>
      <c r="P2" s="87"/>
    </row>
    <row r="3" spans="1:33" s="18" customFormat="1" x14ac:dyDescent="0.25">
      <c r="A3" s="18" t="s">
        <v>1647</v>
      </c>
      <c r="B3" s="18" t="s">
        <v>4014</v>
      </c>
      <c r="F3" s="18" t="s">
        <v>1630</v>
      </c>
      <c r="G3" s="85">
        <f>COUNTA(B6:B14)</f>
        <v>5</v>
      </c>
      <c r="H3" s="18" t="s">
        <v>1154</v>
      </c>
      <c r="I3" s="86">
        <f ca="1">INDEX(K5:K14,G3 + 1)-(INDEX(F5:$F$14,G3+ 1) * '3. Veículos'!E2)- IF(INDIRECT("G3") &gt; 1, INDIRECT("'3. Veículos'!D2"), 0)</f>
        <v>-74.33392000000002</v>
      </c>
      <c r="R3" s="18" t="s">
        <v>1647</v>
      </c>
      <c r="S3" s="18" t="s">
        <v>4015</v>
      </c>
      <c r="W3" s="18" t="s">
        <v>1630</v>
      </c>
      <c r="X3" s="85">
        <f>COUNTA(S6:S14)</f>
        <v>5</v>
      </c>
      <c r="Y3" s="18" t="s">
        <v>1154</v>
      </c>
      <c r="Z3" s="86">
        <f ca="1">INDEX(AB5:AB14,X3 + 1)-(INDEX(W5:$W$14,X3+ 1) * '3. Veículos'!E3)- IF(INDIRECT("X3") &gt; 1, INDIRECT("'3. Veículos'!D3"), 0)</f>
        <v>-79.663420000000016</v>
      </c>
    </row>
    <row r="4" spans="1:33"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c r="R4" s="18" t="s">
        <v>1629</v>
      </c>
      <c r="S4" s="18" t="s">
        <v>1147</v>
      </c>
      <c r="T4" s="18" t="s">
        <v>1144</v>
      </c>
      <c r="U4" s="18" t="s">
        <v>552</v>
      </c>
      <c r="V4" s="18" t="s">
        <v>559</v>
      </c>
      <c r="W4" s="18" t="s">
        <v>1125</v>
      </c>
      <c r="X4" s="18" t="s">
        <v>1131</v>
      </c>
      <c r="Y4" s="18" t="s">
        <v>1104</v>
      </c>
      <c r="Z4" s="18" t="s">
        <v>1118</v>
      </c>
      <c r="AA4" s="18" t="s">
        <v>1663</v>
      </c>
      <c r="AB4" s="18" t="s">
        <v>1615</v>
      </c>
      <c r="AC4" s="18" t="s">
        <v>1609</v>
      </c>
      <c r="AD4" s="18" t="s">
        <v>1117</v>
      </c>
      <c r="AE4" s="18" t="s">
        <v>1116</v>
      </c>
      <c r="AF4" s="18" t="s">
        <v>1631</v>
      </c>
      <c r="AG4" s="18" t="s">
        <v>884</v>
      </c>
    </row>
    <row r="5" spans="1:33" x14ac:dyDescent="0.25">
      <c r="A5" s="21">
        <v>0</v>
      </c>
      <c r="B5" s="21" t="str">
        <f>'1. Locais'!B2</f>
        <v>depósito</v>
      </c>
      <c r="C5" s="21">
        <f ca="1">IFERROR(MATCH(INDIRECT("B5"),'1. Locais'!B2:B10, 0) - 1," ")</f>
        <v>0</v>
      </c>
      <c r="D5" s="62">
        <f ca="1">IFERROR(IF(ISNUMBER(C5),INDEX('1. Locais'!D2:D10,C5 + 1),NA()),NA())</f>
        <v>-10.349356500000001</v>
      </c>
      <c r="E5" s="62">
        <f ca="1">IFERROR(IF(ISNUMBER(C5),INDEX('1. Locais'!E2:E10,C5 + 1),NA()),NA())</f>
        <v>-48.297334300000003</v>
      </c>
      <c r="F5" s="70">
        <v>0</v>
      </c>
      <c r="G5" s="71">
        <v>0</v>
      </c>
      <c r="H5" s="72"/>
      <c r="I5" s="72">
        <f>'3. Veículos'!H2</f>
        <v>0.25</v>
      </c>
      <c r="J5" s="71">
        <v>0</v>
      </c>
      <c r="K5" s="62">
        <v>0</v>
      </c>
      <c r="L5" s="70">
        <v>0</v>
      </c>
      <c r="M5" s="70">
        <v>0</v>
      </c>
      <c r="N5" s="70">
        <v>0</v>
      </c>
      <c r="O5" s="70">
        <f ca="1">IFERROR(IF(ISNUMBER(C5),IF(B6 = B5, 0, IF(B6 = "", 0, O6 + M6))," ")," ")</f>
        <v>10</v>
      </c>
      <c r="P5" s="62">
        <f ca="1">IFERROR(IF(ISNUMBER(C5),N5 + O5," ")," ")</f>
        <v>10</v>
      </c>
      <c r="R5" s="21">
        <v>0</v>
      </c>
      <c r="S5" s="21" t="str">
        <f>'1. Locais'!B2</f>
        <v>depósito</v>
      </c>
      <c r="T5" s="21">
        <f ca="1">IFERROR(MATCH(INDIRECT("S5"),'1. Locais'!B2:B10, 0) - 1," ")</f>
        <v>0</v>
      </c>
      <c r="U5" s="62">
        <f ca="1">IFERROR(IF(ISNUMBER(T5),INDEX('1. Locais'!D2:D10,T5 + 1),NA()),NA())</f>
        <v>-10.349356500000001</v>
      </c>
      <c r="V5" s="62">
        <f ca="1">IFERROR(IF(ISNUMBER(T5),INDEX('1. Locais'!E2:E10,T5 + 1),NA()),NA())</f>
        <v>-48.297334300000003</v>
      </c>
      <c r="W5" s="70">
        <v>0</v>
      </c>
      <c r="X5" s="71">
        <v>0</v>
      </c>
      <c r="Y5" s="72"/>
      <c r="Z5" s="72">
        <f>'3. Veículos'!H3</f>
        <v>0.25</v>
      </c>
      <c r="AA5" s="71">
        <v>0</v>
      </c>
      <c r="AB5" s="62">
        <v>0</v>
      </c>
      <c r="AC5" s="70">
        <v>0</v>
      </c>
      <c r="AD5" s="70">
        <v>0</v>
      </c>
      <c r="AE5" s="70">
        <v>0</v>
      </c>
      <c r="AF5" s="70">
        <f ca="1">IFERROR(IF(ISNUMBER(T5),IF(S6 = S5, 0, IF(S6 = "", 0, AF6 + AD6))," ")," ")</f>
        <v>12</v>
      </c>
      <c r="AG5" s="62">
        <f ca="1">IFERROR(IF(ISNUMBER(T5),AE5 + AF5," ")," ")</f>
        <v>12</v>
      </c>
    </row>
    <row r="6" spans="1:33" x14ac:dyDescent="0.25">
      <c r="A6" s="26">
        <v>1</v>
      </c>
      <c r="B6" s="78" t="s">
        <v>4005</v>
      </c>
      <c r="C6" s="79">
        <f ca="1">IFERROR(MATCH(INDIRECT("B6"),'1. Locais'!B2:B10, 0) - 1," ")</f>
        <v>3</v>
      </c>
      <c r="D6" s="79">
        <f ca="1">IFERROR(IF(ISNUMBER(C6),INDEX('1. Locais'!D2:D10,C6 + 1),NA()),NA())</f>
        <v>-10.338366499999999</v>
      </c>
      <c r="E6" s="79">
        <f ca="1">IFERROR(IF(ISNUMBER(C6),INDEX('1. Locais'!E2:E10,C6 + 1),NA()),NA())</f>
        <v>-48.299785399999998</v>
      </c>
      <c r="F6" s="80">
        <f ca="1">IFERROR(IF(ISNUMBER(C6),INDEX('2. Distâncias'!C2:C82,C5*9+C6+ 1) +F5," ")," ")</f>
        <v>1.9390000000000001</v>
      </c>
      <c r="G6" s="81">
        <f ca="1">IFERROR(IF(ISNUMBER(C6),'3. Veículos'!F2 * INDEX('2. Distâncias'!D2:D82,C5*9+C6 + 1) +G5," ")," ")</f>
        <v>2.7777777777777779E-3</v>
      </c>
      <c r="H6" s="82">
        <f ca="1">IFERROR(IF(ISNUMBER(C6),'3. Veículos'!F2 * INDEX('2. Distâncias'!D2:D82,C5*9+C6 + 1) +I5," ")," ")</f>
        <v>0.25277777777777777</v>
      </c>
      <c r="I6" s="82">
        <f ca="1">IFERROR(IF(AND(C5&lt;&gt;C6,ISNUMBER(H6)),INDEX('1. Locais'!I2:I10,C6 + 1) + MAX(H6,INDEX('1. Locais'!F2:F10,C6 + 1))," ")," ")</f>
        <v>0.25277777777777777</v>
      </c>
      <c r="J6" s="81">
        <f ca="1">IFERROR(IF(AND(B6 = B5, B7 = ""), H6 - I5, I6 - I5)," ")</f>
        <v>2.7777777777777679E-3</v>
      </c>
      <c r="K6" s="79">
        <f ca="1">IFERROR(IF(ISNUMBER(C6),INDEX('1. Locais'!L2:L10,C6 + 1) + K5," ")," ")</f>
        <v>0</v>
      </c>
      <c r="L6" s="80">
        <f ca="1">IFERROR(IF(ISNUMBER(C6),INDEX('1. Locais'!J2:J10,C6 + 1)," ")," ")</f>
        <v>0</v>
      </c>
      <c r="M6" s="80">
        <f ca="1">IFERROR(IF(ISNUMBER(C6),INDEX('1. Locais'!K2:K10,C6 + 1)," ")," ")</f>
        <v>3</v>
      </c>
      <c r="N6" s="80">
        <f ca="1">IFERROR(IF(ISNUMBER(C6),IF(B6 = B5, 0, L6 + N5)," ")," ")</f>
        <v>0</v>
      </c>
      <c r="O6" s="80">
        <f ca="1">IFERROR(IF(ISNUMBER(C6),IF(B7 = B5, 0, IF(B7 = "", 0, O7 + M7))," ")," ")</f>
        <v>7</v>
      </c>
      <c r="P6" s="79">
        <f ca="1">IFERROR(IF(ISNUMBER(C6),N6 + O6," ")," ")</f>
        <v>7</v>
      </c>
      <c r="R6" s="26">
        <v>1</v>
      </c>
      <c r="S6" s="78" t="s">
        <v>4008</v>
      </c>
      <c r="T6" s="79">
        <f ca="1">IFERROR(MATCH(INDIRECT("S6"),'1. Locais'!B2:B10, 0) - 1," ")</f>
        <v>6</v>
      </c>
      <c r="U6" s="79">
        <f ca="1">IFERROR(IF(ISNUMBER(T6),INDEX('1. Locais'!D2:D10,T6 + 1),NA()),NA())</f>
        <v>-10.3352001</v>
      </c>
      <c r="V6" s="79">
        <f ca="1">IFERROR(IF(ISNUMBER(T6),INDEX('1. Locais'!E2:E10,T6 + 1),NA()),NA())</f>
        <v>-48.294421</v>
      </c>
      <c r="W6" s="80">
        <f ca="1">IFERROR(IF(ISNUMBER(T6),INDEX('2. Distâncias'!C2:C82,T5*9+T6+ 1) +W5," ")," ")</f>
        <v>2.6930000000000001</v>
      </c>
      <c r="X6" s="81">
        <f ca="1">IFERROR(IF(ISNUMBER(T6),'3. Veículos'!F3 * INDEX('2. Distâncias'!D2:D82,T5*9+T6 + 1) +X5," ")," ")</f>
        <v>3.472222222222222E-3</v>
      </c>
      <c r="Y6" s="82">
        <f ca="1">IFERROR(IF(ISNUMBER(T6),'3. Veículos'!F3 * INDEX('2. Distâncias'!D2:D82,T5*9+T6 + 1) +Z5," ")," ")</f>
        <v>0.25347222222222221</v>
      </c>
      <c r="Z6" s="82">
        <f ca="1">IFERROR(IF(AND(T5&lt;&gt;T6,ISNUMBER(Y6)),INDEX('1. Locais'!I2:I10,T6 + 1) + MAX(Y6,INDEX('1. Locais'!F2:F10,T6 + 1))," ")," ")</f>
        <v>0.25347222222222221</v>
      </c>
      <c r="AA6" s="81">
        <f ca="1">IFERROR(IF(AND(S6 = S5, S7 = ""), Y6 - Z5, Z6 - Z5)," ")</f>
        <v>3.4722222222222099E-3</v>
      </c>
      <c r="AB6" s="79">
        <f ca="1">IFERROR(IF(ISNUMBER(T6),INDEX('1. Locais'!L2:L10,T6 + 1) + AB5," ")," ")</f>
        <v>0</v>
      </c>
      <c r="AC6" s="80">
        <f ca="1">IFERROR(IF(ISNUMBER(T6),INDEX('1. Locais'!J2:J10,T6 + 1)," ")," ")</f>
        <v>0</v>
      </c>
      <c r="AD6" s="80">
        <f ca="1">IFERROR(IF(ISNUMBER(T6),INDEX('1. Locais'!K2:K10,T6 + 1)," ")," ")</f>
        <v>5</v>
      </c>
      <c r="AE6" s="80">
        <f ca="1">IFERROR(IF(ISNUMBER(T6),IF(S6 = S5, 0, AC6 + AE5)," ")," ")</f>
        <v>0</v>
      </c>
      <c r="AF6" s="80">
        <f ca="1">IFERROR(IF(ISNUMBER(T6),IF(S7 = S5, 0, IF(S7 = "", 0, AF7 + AD7))," ")," ")</f>
        <v>7</v>
      </c>
      <c r="AG6" s="79">
        <f ca="1">IFERROR(IF(ISNUMBER(T6),AE6 + AF6," ")," ")</f>
        <v>7</v>
      </c>
    </row>
    <row r="7" spans="1:33" x14ac:dyDescent="0.25">
      <c r="A7" s="26">
        <v>2</v>
      </c>
      <c r="B7" s="83" t="s">
        <v>4003</v>
      </c>
      <c r="C7" s="79">
        <f ca="1">IFERROR(MATCH(INDIRECT("B7"),'1. Locais'!B2:B10, 0) - 1," ")</f>
        <v>1</v>
      </c>
      <c r="D7" s="79">
        <f ca="1">IFERROR(IF(ISNUMBER(C7),INDEX('1. Locais'!D2:D10,C7 + 1),NA()),NA())</f>
        <v>-10.3343136</v>
      </c>
      <c r="E7" s="79">
        <f ca="1">IFERROR(IF(ISNUMBER(C7),INDEX('1. Locais'!E2:E10,C7 + 1),NA()),NA())</f>
        <v>-48.294635599999999</v>
      </c>
      <c r="F7" s="80">
        <f ca="1">IFERROR(IF(ISNUMBER(C7),INDEX('2. Distâncias'!C2:C82,C6*9+C7+ 1) +F6," ")," ")</f>
        <v>2.9690000000000003</v>
      </c>
      <c r="G7" s="81">
        <f ca="1">IFERROR(IF(ISNUMBER(C7),'3. Veículos'!F2 * INDEX('2. Distâncias'!D2:D82,C6*9+C7 + 1) +G6," ")," ")</f>
        <v>4.8611111111111112E-3</v>
      </c>
      <c r="H7" s="82">
        <f ca="1">IFERROR(IF(ISNUMBER(C7),'3. Veículos'!F2 * INDEX('2. Distâncias'!D2:D82,C6*9+C7 + 1) +I6," ")," ")</f>
        <v>0.25486111111111109</v>
      </c>
      <c r="I7" s="82">
        <f ca="1">IFERROR(IF(AND(C5&lt;&gt;C7,ISNUMBER(H7)),INDEX('1. Locais'!I2:I10,C7 + 1) + MAX(H7,INDEX('1. Locais'!F2:F10,C7 + 1))," ")," ")</f>
        <v>0.25486111111111109</v>
      </c>
      <c r="J7" s="81">
        <f ca="1">IFERROR(IF(AND(B7 = B5, B8 = ""), H7 - I5, I7 - I5)," ")</f>
        <v>4.8611111111110938E-3</v>
      </c>
      <c r="K7" s="79">
        <f ca="1">IFERROR(IF(ISNUMBER(C7),INDEX('1. Locais'!L2:L10,C7 + 1) + K6," ")," ")</f>
        <v>0</v>
      </c>
      <c r="L7" s="80">
        <f ca="1">IFERROR(IF(ISNUMBER(C7),INDEX('1. Locais'!J2:J10,C7 + 1)," ")," ")</f>
        <v>0</v>
      </c>
      <c r="M7" s="80">
        <f ca="1">IFERROR(IF(ISNUMBER(C7),INDEX('1. Locais'!K2:K10,C7 + 1)," ")," ")</f>
        <v>5</v>
      </c>
      <c r="N7" s="80">
        <f ca="1">IFERROR(IF(ISNUMBER(C7),IF(B7 = B5, 0, L7 + N6)," ")," ")</f>
        <v>0</v>
      </c>
      <c r="O7" s="80">
        <f ca="1">IFERROR(IF(ISNUMBER(C7),IF(B8 = B5, 0, IF(B8 = "", 0, O8 + M8))," ")," ")</f>
        <v>2</v>
      </c>
      <c r="P7" s="79">
        <f ca="1">IFERROR(IF(ISNUMBER(C7),N7 + O7," ")," ")</f>
        <v>2</v>
      </c>
      <c r="R7" s="26">
        <v>2</v>
      </c>
      <c r="S7" s="83" t="s">
        <v>4007</v>
      </c>
      <c r="T7" s="79">
        <f ca="1">IFERROR(MATCH(INDIRECT("S7"),'1. Locais'!B2:B10, 0) - 1," ")</f>
        <v>5</v>
      </c>
      <c r="U7" s="79">
        <f ca="1">IFERROR(IF(ISNUMBER(T7),INDEX('1. Locais'!D2:D10,T7 + 1),NA()),NA())</f>
        <v>-10.3343136</v>
      </c>
      <c r="V7" s="79">
        <f ca="1">IFERROR(IF(ISNUMBER(T7),INDEX('1. Locais'!E2:E10,T7 + 1),NA()),NA())</f>
        <v>-48.294635599999999</v>
      </c>
      <c r="W7" s="80">
        <f ca="1">IFERROR(IF(ISNUMBER(T7),INDEX('2. Distâncias'!C2:C82,T6*9+T7+ 1) +W6," ")," ")</f>
        <v>2.7920000000000003</v>
      </c>
      <c r="X7" s="81">
        <f ca="1">IFERROR(IF(ISNUMBER(T7),'3. Veículos'!F3 * INDEX('2. Distâncias'!D2:D82,T6*9+T7 + 1) +X6," ")," ")</f>
        <v>3.472222222222222E-3</v>
      </c>
      <c r="Y7" s="82">
        <f ca="1">IFERROR(IF(ISNUMBER(T7),'3. Veículos'!F3 * INDEX('2. Distâncias'!D2:D82,T6*9+T7 + 1) +Z6," ")," ")</f>
        <v>0.25347222222222221</v>
      </c>
      <c r="Z7" s="82">
        <f ca="1">IFERROR(IF(AND(T5&lt;&gt;T7,ISNUMBER(Y7)),INDEX('1. Locais'!I2:I10,T7 + 1) + MAX(Y7,INDEX('1. Locais'!F2:F10,T7 + 1))," ")," ")</f>
        <v>0.25347222222222221</v>
      </c>
      <c r="AA7" s="81">
        <f ca="1">IFERROR(IF(AND(S7 = S5, S8 = ""), Y7 - Z5, Z7 - Z5)," ")</f>
        <v>3.4722222222222099E-3</v>
      </c>
      <c r="AB7" s="79">
        <f ca="1">IFERROR(IF(ISNUMBER(T7),INDEX('1. Locais'!L2:L10,T7 + 1) + AB6," ")," ")</f>
        <v>0</v>
      </c>
      <c r="AC7" s="80">
        <f ca="1">IFERROR(IF(ISNUMBER(T7),INDEX('1. Locais'!J2:J10,T7 + 1)," ")," ")</f>
        <v>0</v>
      </c>
      <c r="AD7" s="80">
        <f ca="1">IFERROR(IF(ISNUMBER(T7),INDEX('1. Locais'!K2:K10,T7 + 1)," ")," ")</f>
        <v>5</v>
      </c>
      <c r="AE7" s="80">
        <f ca="1">IFERROR(IF(ISNUMBER(T7),IF(S7 = S5, 0, AC7 + AE6)," ")," ")</f>
        <v>0</v>
      </c>
      <c r="AF7" s="80">
        <f ca="1">IFERROR(IF(ISNUMBER(T7),IF(S8 = S5, 0, IF(S8 = "", 0, AF8 + AD8))," ")," ")</f>
        <v>2</v>
      </c>
      <c r="AG7" s="79">
        <f ca="1">IFERROR(IF(ISNUMBER(T7),AE7 + AF7," ")," ")</f>
        <v>2</v>
      </c>
    </row>
    <row r="8" spans="1:33" x14ac:dyDescent="0.25">
      <c r="A8" s="26">
        <v>3</v>
      </c>
      <c r="B8" s="78" t="s">
        <v>4004</v>
      </c>
      <c r="C8" s="79">
        <f ca="1">IFERROR(MATCH(INDIRECT("B8"),'1. Locais'!B2:B10, 0) - 1," ")</f>
        <v>2</v>
      </c>
      <c r="D8" s="79">
        <f ca="1">IFERROR(IF(ISNUMBER(C8),INDEX('1. Locais'!D2:D10,C8 + 1),NA()),NA())</f>
        <v>-10.3352001</v>
      </c>
      <c r="E8" s="79">
        <f ca="1">IFERROR(IF(ISNUMBER(C8),INDEX('1. Locais'!E2:E10,C8 + 1),NA()),NA())</f>
        <v>-48.294421</v>
      </c>
      <c r="F8" s="80">
        <f ca="1">IFERROR(IF(ISNUMBER(C8),INDEX('2. Distâncias'!C2:C82,C7*9+C8+ 1) +F7," ")," ")</f>
        <v>3.0680000000000005</v>
      </c>
      <c r="G8" s="81">
        <f ca="1">IFERROR(IF(ISNUMBER(C8),'3. Veículos'!F2 * INDEX('2. Distâncias'!D2:D82,C7*9+C8 + 1) +G7," ")," ")</f>
        <v>4.8611111111111112E-3</v>
      </c>
      <c r="H8" s="82">
        <f ca="1">IFERROR(IF(ISNUMBER(C8),'3. Veículos'!F2 * INDEX('2. Distâncias'!D2:D82,C7*9+C8 + 1) +I7," ")," ")</f>
        <v>0.25486111111111109</v>
      </c>
      <c r="I8" s="82">
        <f ca="1">IFERROR(IF(AND(C5&lt;&gt;C8,ISNUMBER(H8)),INDEX('1. Locais'!I2:I10,C8 + 1) + MAX(H8,INDEX('1. Locais'!F2:F10,C8 + 1))," ")," ")</f>
        <v>0.25486111111111109</v>
      </c>
      <c r="J8" s="81">
        <f ca="1">IFERROR(IF(AND(B8 = B5, B9 = ""), H8 - I5, I8 - I5)," ")</f>
        <v>4.8611111111110938E-3</v>
      </c>
      <c r="K8" s="79">
        <f ca="1">IFERROR(IF(ISNUMBER(C8),INDEX('1. Locais'!L2:L10,C8 + 1) + K7," ")," ")</f>
        <v>0</v>
      </c>
      <c r="L8" s="80">
        <f ca="1">IFERROR(IF(ISNUMBER(C8),INDEX('1. Locais'!J2:J10,C8 + 1)," ")," ")</f>
        <v>0</v>
      </c>
      <c r="M8" s="80">
        <f ca="1">IFERROR(IF(ISNUMBER(C8),INDEX('1. Locais'!K2:K10,C8 + 1)," ")," ")</f>
        <v>2</v>
      </c>
      <c r="N8" s="80">
        <f ca="1">IFERROR(IF(ISNUMBER(C8),IF(B8 = B5, 0, L8 + N7)," ")," ")</f>
        <v>0</v>
      </c>
      <c r="O8" s="80">
        <f ca="1">IFERROR(IF(ISNUMBER(C8),IF(B9 = B5, 0, IF(B9 = "", 0, O9 + M9))," ")," ")</f>
        <v>0</v>
      </c>
      <c r="P8" s="79">
        <f ca="1">IFERROR(IF(ISNUMBER(C8),N8 + O8," ")," ")</f>
        <v>0</v>
      </c>
      <c r="R8" s="26">
        <v>3</v>
      </c>
      <c r="S8" s="78" t="s">
        <v>4006</v>
      </c>
      <c r="T8" s="79">
        <f ca="1">IFERROR(MATCH(INDIRECT("S8"),'1. Locais'!B2:B10, 0) - 1," ")</f>
        <v>4</v>
      </c>
      <c r="U8" s="79">
        <f ca="1">IFERROR(IF(ISNUMBER(T8),INDEX('1. Locais'!D2:D10,T8 + 1),NA()),NA())</f>
        <v>-10.3338395</v>
      </c>
      <c r="V8" s="79">
        <f ca="1">IFERROR(IF(ISNUMBER(T8),INDEX('1. Locais'!E2:E10,T8 + 1),NA()),NA())</f>
        <v>-48.293009499999997</v>
      </c>
      <c r="W8" s="80">
        <f ca="1">IFERROR(IF(ISNUMBER(T8),INDEX('2. Distâncias'!C2:C82,T7*9+T8+ 1) +W7," ")," ")</f>
        <v>3.0040000000000004</v>
      </c>
      <c r="X8" s="81">
        <f ca="1">IFERROR(IF(ISNUMBER(T8),'3. Veículos'!F3 * INDEX('2. Distâncias'!D2:D82,T7*9+T8 + 1) +X7," ")," ")</f>
        <v>4.1666666666666666E-3</v>
      </c>
      <c r="Y8" s="82">
        <f ca="1">IFERROR(IF(ISNUMBER(T8),'3. Veículos'!F3 * INDEX('2. Distâncias'!D2:D82,T7*9+T8 + 1) +Z7," ")," ")</f>
        <v>0.25416666666666665</v>
      </c>
      <c r="Z8" s="82">
        <f ca="1">IFERROR(IF(AND(T5&lt;&gt;T8,ISNUMBER(Y8)),INDEX('1. Locais'!I2:I10,T8 + 1) + MAX(Y8,INDEX('1. Locais'!F2:F10,T8 + 1))," ")," ")</f>
        <v>0.25416666666666665</v>
      </c>
      <c r="AA8" s="81">
        <f ca="1">IFERROR(IF(AND(S8 = S5, S9 = ""), Y8 - Z5, Z8 - Z5)," ")</f>
        <v>4.1666666666666519E-3</v>
      </c>
      <c r="AB8" s="79">
        <f ca="1">IFERROR(IF(ISNUMBER(T8),INDEX('1. Locais'!L2:L10,T8 + 1) + AB7," ")," ")</f>
        <v>0</v>
      </c>
      <c r="AC8" s="80">
        <f ca="1">IFERROR(IF(ISNUMBER(T8),INDEX('1. Locais'!J2:J10,T8 + 1)," ")," ")</f>
        <v>0</v>
      </c>
      <c r="AD8" s="80">
        <f ca="1">IFERROR(IF(ISNUMBER(T8),INDEX('1. Locais'!K2:K10,T8 + 1)," ")," ")</f>
        <v>2</v>
      </c>
      <c r="AE8" s="80">
        <f ca="1">IFERROR(IF(ISNUMBER(T8),IF(S8 = S5, 0, AC8 + AE7)," ")," ")</f>
        <v>0</v>
      </c>
      <c r="AF8" s="80">
        <f ca="1">IFERROR(IF(ISNUMBER(T8),IF(S9 = S5, 0, IF(S9 = "", 0, AF9 + AD9))," ")," ")</f>
        <v>0</v>
      </c>
      <c r="AG8" s="79">
        <f ca="1">IFERROR(IF(ISNUMBER(T8),AE8 + AF8," ")," ")</f>
        <v>0</v>
      </c>
    </row>
    <row r="9" spans="1:33" x14ac:dyDescent="0.25">
      <c r="A9" s="26">
        <v>4</v>
      </c>
      <c r="B9" s="83" t="s">
        <v>4009</v>
      </c>
      <c r="C9" s="79">
        <f ca="1">IFERROR(MATCH(INDIRECT("B9"),'1. Locais'!B2:B10, 0) - 1," ")</f>
        <v>7</v>
      </c>
      <c r="D9" s="79">
        <f ca="1">IFERROR(IF(ISNUMBER(C9),INDEX('1. Locais'!D2:D10,C9 + 1),NA()),NA())</f>
        <v>-10.3419097</v>
      </c>
      <c r="E9" s="79">
        <f ca="1">IFERROR(IF(ISNUMBER(C9),INDEX('1. Locais'!E2:E10,C9 + 1),NA()),NA())</f>
        <v>-48.288843900000003</v>
      </c>
      <c r="F9" s="80">
        <f ca="1">IFERROR(IF(ISNUMBER(C9),INDEX('2. Distâncias'!C2:C82,C8*9+C9+ 1) +F8," ")," ")</f>
        <v>4.3160000000000007</v>
      </c>
      <c r="G9" s="81">
        <f ca="1">IFERROR(IF(ISNUMBER(C9),'3. Veículos'!F2 * INDEX('2. Distâncias'!D2:D82,C8*9+C9 + 1) +G8," ")," ")</f>
        <v>7.6388888888888895E-3</v>
      </c>
      <c r="H9" s="82">
        <f ca="1">IFERROR(IF(ISNUMBER(C9),'3. Veículos'!F2 * INDEX('2. Distâncias'!D2:D82,C8*9+C9 + 1) +I8," ")," ")</f>
        <v>0.25763888888888886</v>
      </c>
      <c r="I9" s="82">
        <f ca="1">IFERROR(IF(AND(C5&lt;&gt;C9,ISNUMBER(H9)),INDEX('1. Locais'!I2:I10,C9 + 1) + MAX(H9,INDEX('1. Locais'!F2:F10,C9 + 1))," ")," ")</f>
        <v>0.25763888888888886</v>
      </c>
      <c r="J9" s="81">
        <f ca="1">IFERROR(IF(AND(B9 = B5, B10 = ""), H9 - I5, I9 - I5)," ")</f>
        <v>7.6388888888888618E-3</v>
      </c>
      <c r="K9" s="79">
        <f ca="1">IFERROR(IF(ISNUMBER(C9),INDEX('1. Locais'!L2:L10,C9 + 1) + K8," ")," ")</f>
        <v>0</v>
      </c>
      <c r="L9" s="80">
        <f ca="1">IFERROR(IF(ISNUMBER(C9),INDEX('1. Locais'!J2:J10,C9 + 1)," ")," ")</f>
        <v>10</v>
      </c>
      <c r="M9" s="80">
        <f ca="1">IFERROR(IF(ISNUMBER(C9),INDEX('1. Locais'!K2:K10,C9 + 1)," ")," ")</f>
        <v>0</v>
      </c>
      <c r="N9" s="80">
        <f ca="1">IFERROR(IF(ISNUMBER(C9),IF(B9 = B5, 0, L9 + N8)," ")," ")</f>
        <v>10</v>
      </c>
      <c r="O9" s="80">
        <f ca="1">IFERROR(IF(ISNUMBER(C9),IF(B10 = B5, 0, IF(B10 = "", 0, O10 + M10))," ")," ")</f>
        <v>0</v>
      </c>
      <c r="P9" s="79">
        <f ca="1">IFERROR(IF(ISNUMBER(C9),N9 + O9," ")," ")</f>
        <v>10</v>
      </c>
      <c r="R9" s="26">
        <v>4</v>
      </c>
      <c r="S9" s="83" t="s">
        <v>4010</v>
      </c>
      <c r="T9" s="79">
        <f ca="1">IFERROR(MATCH(INDIRECT("S9"),'1. Locais'!B2:B10, 0) - 1," ")</f>
        <v>8</v>
      </c>
      <c r="U9" s="79">
        <f ca="1">IFERROR(IF(ISNUMBER(T9),INDEX('1. Locais'!D2:D10,T9 + 1),NA()),NA())</f>
        <v>-10.345169800000001</v>
      </c>
      <c r="V9" s="79">
        <f ca="1">IFERROR(IF(ISNUMBER(T9),INDEX('1. Locais'!E2:E10,T9 + 1),NA()),NA())</f>
        <v>-48.282046800000003</v>
      </c>
      <c r="W9" s="80">
        <f ca="1">IFERROR(IF(ISNUMBER(T9),INDEX('2. Distâncias'!C2:C82,T8*9+T9+ 1) +W8," ")," ")</f>
        <v>5.152000000000001</v>
      </c>
      <c r="X9" s="81">
        <f ca="1">IFERROR(IF(ISNUMBER(T9),'3. Veículos'!F3 * INDEX('2. Distâncias'!D2:D82,T8*9+T9 + 1) +X8," ")," ")</f>
        <v>7.6388888888888886E-3</v>
      </c>
      <c r="Y9" s="82">
        <f ca="1">IFERROR(IF(ISNUMBER(T9),'3. Veículos'!F3 * INDEX('2. Distâncias'!D2:D82,T8*9+T9 + 1) +Z8," ")," ")</f>
        <v>0.25763888888888886</v>
      </c>
      <c r="Z9" s="82">
        <f ca="1">IFERROR(IF(AND(T5&lt;&gt;T9,ISNUMBER(Y9)),INDEX('1. Locais'!I2:I10,T9 + 1) + MAX(Y9,INDEX('1. Locais'!F2:F10,T9 + 1))," ")," ")</f>
        <v>0.25763888888888886</v>
      </c>
      <c r="AA9" s="81">
        <f ca="1">IFERROR(IF(AND(S9 = S5, S10 = ""), Y9 - Z5, Z9 - Z5)," ")</f>
        <v>7.6388888888888618E-3</v>
      </c>
      <c r="AB9" s="79">
        <f ca="1">IFERROR(IF(ISNUMBER(T9),INDEX('1. Locais'!L2:L10,T9 + 1) + AB8," ")," ")</f>
        <v>0</v>
      </c>
      <c r="AC9" s="80">
        <f ca="1">IFERROR(IF(ISNUMBER(T9),INDEX('1. Locais'!J2:J10,T9 + 1)," ")," ")</f>
        <v>12</v>
      </c>
      <c r="AD9" s="80">
        <f ca="1">IFERROR(IF(ISNUMBER(T9),INDEX('1. Locais'!K2:K10,T9 + 1)," ")," ")</f>
        <v>0</v>
      </c>
      <c r="AE9" s="80">
        <f ca="1">IFERROR(IF(ISNUMBER(T9),IF(S9 = S5, 0, AC9 + AE8)," ")," ")</f>
        <v>12</v>
      </c>
      <c r="AF9" s="80">
        <f ca="1">IFERROR(IF(ISNUMBER(T9),IF(S10 = S5, 0, IF(S10 = "", 0, AF10 + AD10))," ")," ")</f>
        <v>0</v>
      </c>
      <c r="AG9" s="79">
        <f ca="1">IFERROR(IF(ISNUMBER(T9),AE9 + AF9," ")," ")</f>
        <v>12</v>
      </c>
    </row>
    <row r="10" spans="1:33" x14ac:dyDescent="0.25">
      <c r="A10" s="26">
        <v>5</v>
      </c>
      <c r="B10" s="78" t="s">
        <v>1119</v>
      </c>
      <c r="C10" s="79">
        <f ca="1">IFERROR(MATCH(INDIRECT("B10"),'1. Locais'!B2:B10, 0) - 1," ")</f>
        <v>0</v>
      </c>
      <c r="D10" s="79">
        <f ca="1">IFERROR(IF(ISNUMBER(C10),INDEX('1. Locais'!D2:D10,C10 + 1),NA()),NA())</f>
        <v>-10.349356500000001</v>
      </c>
      <c r="E10" s="79">
        <f ca="1">IFERROR(IF(ISNUMBER(C10),INDEX('1. Locais'!E2:E10,C10 + 1),NA()),NA())</f>
        <v>-48.297334300000003</v>
      </c>
      <c r="F10" s="80">
        <f ca="1">IFERROR(IF(ISNUMBER(C10),INDEX('2. Distâncias'!C2:C82,C9*9+C10+ 1) +F9," ")," ")</f>
        <v>6.5360000000000014</v>
      </c>
      <c r="G10" s="81">
        <f ca="1">IFERROR(IF(ISNUMBER(C10),'3. Veículos'!F2 * INDEX('2. Distâncias'!D2:D82,C9*9+C10 + 1) +G9," ")," ")</f>
        <v>1.1111111111111112E-2</v>
      </c>
      <c r="H10" s="82">
        <f ca="1">IFERROR(IF(ISNUMBER(C10),'3. Veículos'!F2 * INDEX('2. Distâncias'!D2:D82,C9*9+C10 + 1) +I9," ")," ")</f>
        <v>0.26111111111111107</v>
      </c>
      <c r="I10" s="82" t="str">
        <f ca="1">IFERROR(IF(AND(C5&lt;&gt;C10,ISNUMBER(H10)),INDEX('1. Locais'!I2:I10,C10 + 1) + MAX(H10,INDEX('1. Locais'!F2:F10,C10 + 1))," ")," ")</f>
        <v xml:space="preserve"> </v>
      </c>
      <c r="J10" s="81">
        <f ca="1">IFERROR(IF(AND(B10 = B5, B11 = ""), H10 - I5, I10 - I5)," ")</f>
        <v>1.1111111111111072E-2</v>
      </c>
      <c r="K10" s="79">
        <f ca="1">IFERROR(IF(ISNUMBER(C10),INDEX('1. Locais'!L2:L10,C10 + 1) + K9," ")," ")</f>
        <v>0</v>
      </c>
      <c r="L10" s="80">
        <f ca="1">IFERROR(IF(ISNUMBER(C10),INDEX('1. Locais'!J2:J10,C10 + 1)," ")," ")</f>
        <v>0</v>
      </c>
      <c r="M10" s="80">
        <f ca="1">IFERROR(IF(ISNUMBER(C10),INDEX('1. Locais'!K2:K10,C10 + 1)," ")," ")</f>
        <v>0</v>
      </c>
      <c r="N10" s="80">
        <f ca="1">IFERROR(IF(ISNUMBER(C10),IF(B10 = B5, 0, L10 + N9)," ")," ")</f>
        <v>0</v>
      </c>
      <c r="O10" s="80">
        <f ca="1">IFERROR(IF(ISNUMBER(C10),IF(B11 = B5, 0, IF(B11 = "", 0, O11 + M11))," ")," ")</f>
        <v>0</v>
      </c>
      <c r="P10" s="79">
        <f ca="1">IFERROR(IF(ISNUMBER(C10),N10 + O10," ")," ")</f>
        <v>0</v>
      </c>
      <c r="R10" s="26">
        <v>5</v>
      </c>
      <c r="S10" s="78" t="s">
        <v>1119</v>
      </c>
      <c r="T10" s="79">
        <f ca="1">IFERROR(MATCH(INDIRECT("S10"),'1. Locais'!B2:B10, 0) - 1," ")</f>
        <v>0</v>
      </c>
      <c r="U10" s="79">
        <f ca="1">IFERROR(IF(ISNUMBER(T10),INDEX('1. Locais'!D2:D10,T10 + 1),NA()),NA())</f>
        <v>-10.349356500000001</v>
      </c>
      <c r="V10" s="79">
        <f ca="1">IFERROR(IF(ISNUMBER(T10),INDEX('1. Locais'!E2:E10,T10 + 1),NA()),NA())</f>
        <v>-48.297334300000003</v>
      </c>
      <c r="W10" s="80">
        <f ca="1">IFERROR(IF(ISNUMBER(T10),INDEX('2. Distâncias'!C2:C82,T9*9+T10+ 1) +W9," ")," ")</f>
        <v>7.011000000000001</v>
      </c>
      <c r="X10" s="81">
        <f ca="1">IFERROR(IF(ISNUMBER(T10),'3. Veículos'!F3 * INDEX('2. Distâncias'!D2:D82,T9*9+T10 + 1) +X9," ")," ")</f>
        <v>1.0416666666666666E-2</v>
      </c>
      <c r="Y10" s="82">
        <f ca="1">IFERROR(IF(ISNUMBER(T10),'3. Veículos'!F3 * INDEX('2. Distâncias'!D2:D82,T9*9+T10 + 1) +Z9," ")," ")</f>
        <v>0.26041666666666663</v>
      </c>
      <c r="Z10" s="82" t="str">
        <f ca="1">IFERROR(IF(AND(T5&lt;&gt;T10,ISNUMBER(Y10)),INDEX('1. Locais'!I2:I10,T10 + 1) + MAX(Y10,INDEX('1. Locais'!F2:F10,T10 + 1))," ")," ")</f>
        <v xml:space="preserve"> </v>
      </c>
      <c r="AA10" s="81">
        <f ca="1">IFERROR(IF(AND(S10 = S5, S11 = ""), Y10 - Z5, Z10 - Z5)," ")</f>
        <v>1.041666666666663E-2</v>
      </c>
      <c r="AB10" s="79">
        <f ca="1">IFERROR(IF(ISNUMBER(T10),INDEX('1. Locais'!L2:L10,T10 + 1) + AB9," ")," ")</f>
        <v>0</v>
      </c>
      <c r="AC10" s="80">
        <f ca="1">IFERROR(IF(ISNUMBER(T10),INDEX('1. Locais'!J2:J10,T10 + 1)," ")," ")</f>
        <v>0</v>
      </c>
      <c r="AD10" s="80">
        <f ca="1">IFERROR(IF(ISNUMBER(T10),INDEX('1. Locais'!K2:K10,T10 + 1)," ")," ")</f>
        <v>0</v>
      </c>
      <c r="AE10" s="80">
        <f ca="1">IFERROR(IF(ISNUMBER(T10),IF(S10 = S5, 0, AC10 + AE9)," ")," ")</f>
        <v>0</v>
      </c>
      <c r="AF10" s="80">
        <f ca="1">IFERROR(IF(ISNUMBER(T10),IF(S11 = S5, 0, IF(S11 = "", 0, AF11 + AD11))," ")," ")</f>
        <v>0</v>
      </c>
      <c r="AG10" s="79">
        <f ca="1">IFERROR(IF(ISNUMBER(T10),AE10 + AF10," ")," ")</f>
        <v>0</v>
      </c>
    </row>
    <row r="11" spans="1:33" x14ac:dyDescent="0.25">
      <c r="A11" s="26">
        <v>6</v>
      </c>
      <c r="B11" s="83"/>
      <c r="C11" s="79" t="str">
        <f ca="1">IFERROR(MATCH(INDIRECT("B11"),'1. Locais'!B2:B10, 0) - 1," ")</f>
        <v xml:space="preserve"> </v>
      </c>
      <c r="D11" s="79" t="e">
        <f ca="1">IFERROR(IF(ISNUMBER(C11),INDEX('1. Locais'!D2:D10,C11 + 1),NA()),NA())</f>
        <v>#N/A</v>
      </c>
      <c r="E11" s="79" t="e">
        <f ca="1">IFERROR(IF(ISNUMBER(C11),INDEX('1. Locais'!E2:E10,C11 + 1),NA()),NA())</f>
        <v>#N/A</v>
      </c>
      <c r="F11" s="80" t="str">
        <f ca="1">IFERROR(IF(ISNUMBER(C11),INDEX('2. Distâncias'!C2:C82,C10*9+C11+ 1) +F10," ")," ")</f>
        <v xml:space="preserve"> </v>
      </c>
      <c r="G11" s="81" t="str">
        <f ca="1">IFERROR(IF(ISNUMBER(C11),'3. Veículos'!F2 * INDEX('2. Distâncias'!D2:D82,C10*9+C11 + 1) +G10," ")," ")</f>
        <v xml:space="preserve"> </v>
      </c>
      <c r="H11" s="82" t="str">
        <f ca="1">IFERROR(IF(ISNUMBER(C11),'3. Veículos'!F2 * INDEX('2. Distâncias'!D2:D82,C10*9+C11 + 1) +I10," ")," ")</f>
        <v xml:space="preserve"> </v>
      </c>
      <c r="I11" s="82" t="str">
        <f ca="1">IFERROR(IF(AND(C5&lt;&gt;C11,ISNUMBER(H11)),INDEX('1. Locais'!I2:I10,C11 + 1) + MAX(H11,INDEX('1. Locais'!F2:F10,C11 + 1))," ")," ")</f>
        <v xml:space="preserve"> </v>
      </c>
      <c r="J11" s="81" t="str">
        <f ca="1">IFERROR(IF(AND(B11 = B5, B12 = ""), H11 - I5, I11 - I5)," ")</f>
        <v xml:space="preserve"> </v>
      </c>
      <c r="K11" s="79" t="str">
        <f ca="1">IFERROR(IF(ISNUMBER(C11),INDEX('1. Locais'!L2:L10,C11 + 1) + K10," ")," ")</f>
        <v xml:space="preserve"> </v>
      </c>
      <c r="L11" s="80" t="str">
        <f ca="1">IFERROR(IF(ISNUMBER(C11),INDEX('1. Locais'!J2:J10,C11 + 1)," ")," ")</f>
        <v xml:space="preserve"> </v>
      </c>
      <c r="M11" s="80" t="str">
        <f ca="1">IFERROR(IF(ISNUMBER(C11),INDEX('1. Locais'!K2:K10,C11 + 1)," ")," ")</f>
        <v xml:space="preserve"> </v>
      </c>
      <c r="N11" s="80" t="str">
        <f ca="1">IFERROR(IF(ISNUMBER(C11),IF(B11 = B5, 0, L11 + N10)," ")," ")</f>
        <v xml:space="preserve"> </v>
      </c>
      <c r="O11" s="80" t="str">
        <f ca="1">IFERROR(IF(ISNUMBER(C11),IF(B12 = B5, 0, IF(B12 = "", 0, O12 + M12))," ")," ")</f>
        <v xml:space="preserve"> </v>
      </c>
      <c r="P11" s="79" t="str">
        <f ca="1">IFERROR(IF(ISNUMBER(C11),N11 + O11," ")," ")</f>
        <v xml:space="preserve"> </v>
      </c>
      <c r="R11" s="26">
        <v>6</v>
      </c>
      <c r="S11" s="83"/>
      <c r="T11" s="79" t="str">
        <f ca="1">IFERROR(MATCH(INDIRECT("S11"),'1. Locais'!B2:B10, 0) - 1," ")</f>
        <v xml:space="preserve"> </v>
      </c>
      <c r="U11" s="79" t="e">
        <f ca="1">IFERROR(IF(ISNUMBER(T11),INDEX('1. Locais'!D2:D10,T11 + 1),NA()),NA())</f>
        <v>#N/A</v>
      </c>
      <c r="V11" s="79" t="e">
        <f ca="1">IFERROR(IF(ISNUMBER(T11),INDEX('1. Locais'!E2:E10,T11 + 1),NA()),NA())</f>
        <v>#N/A</v>
      </c>
      <c r="W11" s="80" t="str">
        <f ca="1">IFERROR(IF(ISNUMBER(T11),INDEX('2. Distâncias'!C2:C82,T10*9+T11+ 1) +W10," ")," ")</f>
        <v xml:space="preserve"> </v>
      </c>
      <c r="X11" s="81" t="str">
        <f ca="1">IFERROR(IF(ISNUMBER(T11),'3. Veículos'!F3 * INDEX('2. Distâncias'!D2:D82,T10*9+T11 + 1) +X10," ")," ")</f>
        <v xml:space="preserve"> </v>
      </c>
      <c r="Y11" s="82" t="str">
        <f ca="1">IFERROR(IF(ISNUMBER(T11),'3. Veículos'!F3 * INDEX('2. Distâncias'!D2:D82,T10*9+T11 + 1) +Z10," ")," ")</f>
        <v xml:space="preserve"> </v>
      </c>
      <c r="Z11" s="82" t="str">
        <f ca="1">IFERROR(IF(AND(T5&lt;&gt;T11,ISNUMBER(Y11)),INDEX('1. Locais'!I2:I10,T11 + 1) + MAX(Y11,INDEX('1. Locais'!F2:F10,T11 + 1))," ")," ")</f>
        <v xml:space="preserve"> </v>
      </c>
      <c r="AA11" s="81" t="str">
        <f ca="1">IFERROR(IF(AND(S11 = S5, S12 = ""), Y11 - Z5, Z11 - Z5)," ")</f>
        <v xml:space="preserve"> </v>
      </c>
      <c r="AB11" s="79" t="str">
        <f ca="1">IFERROR(IF(ISNUMBER(T11),INDEX('1. Locais'!L2:L10,T11 + 1) + AB10," ")," ")</f>
        <v xml:space="preserve"> </v>
      </c>
      <c r="AC11" s="80" t="str">
        <f ca="1">IFERROR(IF(ISNUMBER(T11),INDEX('1. Locais'!J2:J10,T11 + 1)," ")," ")</f>
        <v xml:space="preserve"> </v>
      </c>
      <c r="AD11" s="80" t="str">
        <f ca="1">IFERROR(IF(ISNUMBER(T11),INDEX('1. Locais'!K2:K10,T11 + 1)," ")," ")</f>
        <v xml:space="preserve"> </v>
      </c>
      <c r="AE11" s="80" t="str">
        <f ca="1">IFERROR(IF(ISNUMBER(T11),IF(S11 = S5, 0, AC11 + AE10)," ")," ")</f>
        <v xml:space="preserve"> </v>
      </c>
      <c r="AF11" s="80" t="str">
        <f ca="1">IFERROR(IF(ISNUMBER(T11),IF(S12 = S5, 0, IF(S12 = "", 0, AF12 + AD12))," ")," ")</f>
        <v xml:space="preserve"> </v>
      </c>
      <c r="AG11" s="79" t="str">
        <f ca="1">IFERROR(IF(ISNUMBER(T11),AE11 + AF11," ")," ")</f>
        <v xml:space="preserve"> </v>
      </c>
    </row>
    <row r="12" spans="1:33" x14ac:dyDescent="0.25">
      <c r="A12" s="26">
        <v>7</v>
      </c>
      <c r="B12" s="78"/>
      <c r="C12" s="79" t="str">
        <f ca="1">IFERROR(MATCH(INDIRECT("B12"),'1. Locais'!B2:B10, 0) - 1," ")</f>
        <v xml:space="preserve"> </v>
      </c>
      <c r="D12" s="79" t="e">
        <f ca="1">IFERROR(IF(ISNUMBER(C12),INDEX('1. Locais'!D2:D10,C12 + 1),NA()),NA())</f>
        <v>#N/A</v>
      </c>
      <c r="E12" s="79" t="e">
        <f ca="1">IFERROR(IF(ISNUMBER(C12),INDEX('1. Locais'!E2:E10,C12 + 1),NA()),NA())</f>
        <v>#N/A</v>
      </c>
      <c r="F12" s="80" t="str">
        <f ca="1">IFERROR(IF(ISNUMBER(C12),INDEX('2. Distâncias'!C2:C82,C11*9+C12+ 1) +F11," ")," ")</f>
        <v xml:space="preserve"> </v>
      </c>
      <c r="G12" s="81" t="str">
        <f ca="1">IFERROR(IF(ISNUMBER(C12),'3. Veículos'!F2 * INDEX('2. Distâncias'!D2:D82,C11*9+C12 + 1) +G11," ")," ")</f>
        <v xml:space="preserve"> </v>
      </c>
      <c r="H12" s="82" t="str">
        <f ca="1">IFERROR(IF(ISNUMBER(C12),'3. Veículos'!F2 * INDEX('2. Distâncias'!D2:D82,C11*9+C12 + 1) +I11," ")," ")</f>
        <v xml:space="preserve"> </v>
      </c>
      <c r="I12" s="82" t="str">
        <f ca="1">IFERROR(IF(AND(C5&lt;&gt;C12,ISNUMBER(H12)),INDEX('1. Locais'!I2:I10,C12 + 1) + MAX(H12,INDEX('1. Locais'!F2:F10,C12 + 1))," ")," ")</f>
        <v xml:space="preserve"> </v>
      </c>
      <c r="J12" s="81" t="str">
        <f ca="1">IFERROR(IF(AND(B12 = B5, B13 = ""), H12 - I5, I12 - I5)," ")</f>
        <v xml:space="preserve"> </v>
      </c>
      <c r="K12" s="79" t="str">
        <f ca="1">IFERROR(IF(ISNUMBER(C12),INDEX('1. Locais'!L2:L10,C12 + 1) + K11," ")," ")</f>
        <v xml:space="preserve"> </v>
      </c>
      <c r="L12" s="80" t="str">
        <f ca="1">IFERROR(IF(ISNUMBER(C12),INDEX('1. Locais'!J2:J10,C12 + 1)," ")," ")</f>
        <v xml:space="preserve"> </v>
      </c>
      <c r="M12" s="80" t="str">
        <f ca="1">IFERROR(IF(ISNUMBER(C12),INDEX('1. Locais'!K2:K10,C12 + 1)," ")," ")</f>
        <v xml:space="preserve"> </v>
      </c>
      <c r="N12" s="80" t="str">
        <f ca="1">IFERROR(IF(ISNUMBER(C12),IF(B12 = B5, 0, L12 + N11)," ")," ")</f>
        <v xml:space="preserve"> </v>
      </c>
      <c r="O12" s="80" t="str">
        <f ca="1">IFERROR(IF(ISNUMBER(C12),IF(B13 = B5, 0, IF(B13 = "", 0, O13 + M13))," ")," ")</f>
        <v xml:space="preserve"> </v>
      </c>
      <c r="P12" s="79" t="str">
        <f ca="1">IFERROR(IF(ISNUMBER(C12),N12 + O12," ")," ")</f>
        <v xml:space="preserve"> </v>
      </c>
      <c r="R12" s="26">
        <v>7</v>
      </c>
      <c r="S12" s="78"/>
      <c r="T12" s="79" t="str">
        <f ca="1">IFERROR(MATCH(INDIRECT("S12"),'1. Locais'!B2:B10, 0) - 1," ")</f>
        <v xml:space="preserve"> </v>
      </c>
      <c r="U12" s="79" t="e">
        <f ca="1">IFERROR(IF(ISNUMBER(T12),INDEX('1. Locais'!D2:D10,T12 + 1),NA()),NA())</f>
        <v>#N/A</v>
      </c>
      <c r="V12" s="79" t="e">
        <f ca="1">IFERROR(IF(ISNUMBER(T12),INDEX('1. Locais'!E2:E10,T12 + 1),NA()),NA())</f>
        <v>#N/A</v>
      </c>
      <c r="W12" s="80" t="str">
        <f ca="1">IFERROR(IF(ISNUMBER(T12),INDEX('2. Distâncias'!C2:C82,T11*9+T12+ 1) +W11," ")," ")</f>
        <v xml:space="preserve"> </v>
      </c>
      <c r="X12" s="81" t="str">
        <f ca="1">IFERROR(IF(ISNUMBER(T12),'3. Veículos'!F3 * INDEX('2. Distâncias'!D2:D82,T11*9+T12 + 1) +X11," ")," ")</f>
        <v xml:space="preserve"> </v>
      </c>
      <c r="Y12" s="82" t="str">
        <f ca="1">IFERROR(IF(ISNUMBER(T12),'3. Veículos'!F3 * INDEX('2. Distâncias'!D2:D82,T11*9+T12 + 1) +Z11," ")," ")</f>
        <v xml:space="preserve"> </v>
      </c>
      <c r="Z12" s="82" t="str">
        <f ca="1">IFERROR(IF(AND(T5&lt;&gt;T12,ISNUMBER(Y12)),INDEX('1. Locais'!I2:I10,T12 + 1) + MAX(Y12,INDEX('1. Locais'!F2:F10,T12 + 1))," ")," ")</f>
        <v xml:space="preserve"> </v>
      </c>
      <c r="AA12" s="81" t="str">
        <f ca="1">IFERROR(IF(AND(S12 = S5, S13 = ""), Y12 - Z5, Z12 - Z5)," ")</f>
        <v xml:space="preserve"> </v>
      </c>
      <c r="AB12" s="79" t="str">
        <f ca="1">IFERROR(IF(ISNUMBER(T12),INDEX('1. Locais'!L2:L10,T12 + 1) + AB11," ")," ")</f>
        <v xml:space="preserve"> </v>
      </c>
      <c r="AC12" s="80" t="str">
        <f ca="1">IFERROR(IF(ISNUMBER(T12),INDEX('1. Locais'!J2:J10,T12 + 1)," ")," ")</f>
        <v xml:space="preserve"> </v>
      </c>
      <c r="AD12" s="80" t="str">
        <f ca="1">IFERROR(IF(ISNUMBER(T12),INDEX('1. Locais'!K2:K10,T12 + 1)," ")," ")</f>
        <v xml:space="preserve"> </v>
      </c>
      <c r="AE12" s="80" t="str">
        <f ca="1">IFERROR(IF(ISNUMBER(T12),IF(S12 = S5, 0, AC12 + AE11)," ")," ")</f>
        <v xml:space="preserve"> </v>
      </c>
      <c r="AF12" s="80" t="str">
        <f ca="1">IFERROR(IF(ISNUMBER(T12),IF(S13 = S5, 0, IF(S13 = "", 0, AF13 + AD13))," ")," ")</f>
        <v xml:space="preserve"> </v>
      </c>
      <c r="AG12" s="79" t="str">
        <f ca="1">IFERROR(IF(ISNUMBER(T12),AE12 + AF12," ")," ")</f>
        <v xml:space="preserve"> </v>
      </c>
    </row>
    <row r="13" spans="1:33" x14ac:dyDescent="0.25">
      <c r="A13" s="26">
        <v>8</v>
      </c>
      <c r="B13" s="83"/>
      <c r="C13" s="79" t="str">
        <f ca="1">IFERROR(MATCH(INDIRECT("B13"),'1. Locais'!B2:B10, 0) - 1," ")</f>
        <v xml:space="preserve"> </v>
      </c>
      <c r="D13" s="79" t="e">
        <f ca="1">IFERROR(IF(ISNUMBER(C13),INDEX('1. Locais'!D2:D10,C13 + 1),NA()),NA())</f>
        <v>#N/A</v>
      </c>
      <c r="E13" s="79" t="e">
        <f ca="1">IFERROR(IF(ISNUMBER(C13),INDEX('1. Locais'!E2:E10,C13 + 1),NA()),NA())</f>
        <v>#N/A</v>
      </c>
      <c r="F13" s="80" t="str">
        <f ca="1">IFERROR(IF(ISNUMBER(C13),INDEX('2. Distâncias'!C2:C82,C12*9+C13+ 1) +F12," ")," ")</f>
        <v xml:space="preserve"> </v>
      </c>
      <c r="G13" s="81" t="str">
        <f ca="1">IFERROR(IF(ISNUMBER(C13),'3. Veículos'!F2 * INDEX('2. Distâncias'!D2:D82,C12*9+C13 + 1) +G12," ")," ")</f>
        <v xml:space="preserve"> </v>
      </c>
      <c r="H13" s="82" t="str">
        <f ca="1">IFERROR(IF(ISNUMBER(C13),'3. Veículos'!F2 * INDEX('2. Distâncias'!D2:D82,C12*9+C13 + 1) +I12," ")," ")</f>
        <v xml:space="preserve"> </v>
      </c>
      <c r="I13" s="82" t="str">
        <f ca="1">IFERROR(IF(AND(C5&lt;&gt;C13,ISNUMBER(H13)),INDEX('1. Locais'!I2:I10,C13 + 1) + MAX(H13,INDEX('1. Locais'!F2:F10,C13 + 1))," ")," ")</f>
        <v xml:space="preserve"> </v>
      </c>
      <c r="J13" s="81" t="str">
        <f ca="1">IFERROR(IF(AND(B13 = B5, B14 = ""), H13 - I5, I13 - I5)," ")</f>
        <v xml:space="preserve"> </v>
      </c>
      <c r="K13" s="79" t="str">
        <f ca="1">IFERROR(IF(ISNUMBER(C13),INDEX('1. Locais'!L2:L10,C13 + 1) + K12," ")," ")</f>
        <v xml:space="preserve"> </v>
      </c>
      <c r="L13" s="80" t="str">
        <f ca="1">IFERROR(IF(ISNUMBER(C13),INDEX('1. Locais'!J2:J10,C13 + 1)," ")," ")</f>
        <v xml:space="preserve"> </v>
      </c>
      <c r="M13" s="80" t="str">
        <f ca="1">IFERROR(IF(ISNUMBER(C13),INDEX('1. Locais'!K2:K10,C13 + 1)," ")," ")</f>
        <v xml:space="preserve"> </v>
      </c>
      <c r="N13" s="80" t="str">
        <f ca="1">IFERROR(IF(ISNUMBER(C13),IF(B13 = B5, 0, L13 + N12)," ")," ")</f>
        <v xml:space="preserve"> </v>
      </c>
      <c r="O13" s="80" t="str">
        <f ca="1">IFERROR(IF(ISNUMBER(C13),IF(B14 = B5, 0, IF(B14 = "", 0, O14 + M14))," ")," ")</f>
        <v xml:space="preserve"> </v>
      </c>
      <c r="P13" s="79" t="str">
        <f ca="1">IFERROR(IF(ISNUMBER(C13),N13 + O13," ")," ")</f>
        <v xml:space="preserve"> </v>
      </c>
      <c r="R13" s="26">
        <v>8</v>
      </c>
      <c r="S13" s="83"/>
      <c r="T13" s="79" t="str">
        <f ca="1">IFERROR(MATCH(INDIRECT("S13"),'1. Locais'!B2:B10, 0) - 1," ")</f>
        <v xml:space="preserve"> </v>
      </c>
      <c r="U13" s="79" t="e">
        <f ca="1">IFERROR(IF(ISNUMBER(T13),INDEX('1. Locais'!D2:D10,T13 + 1),NA()),NA())</f>
        <v>#N/A</v>
      </c>
      <c r="V13" s="79" t="e">
        <f ca="1">IFERROR(IF(ISNUMBER(T13),INDEX('1. Locais'!E2:E10,T13 + 1),NA()),NA())</f>
        <v>#N/A</v>
      </c>
      <c r="W13" s="80" t="str">
        <f ca="1">IFERROR(IF(ISNUMBER(T13),INDEX('2. Distâncias'!C2:C82,T12*9+T13+ 1) +W12," ")," ")</f>
        <v xml:space="preserve"> </v>
      </c>
      <c r="X13" s="81" t="str">
        <f ca="1">IFERROR(IF(ISNUMBER(T13),'3. Veículos'!F3 * INDEX('2. Distâncias'!D2:D82,T12*9+T13 + 1) +X12," ")," ")</f>
        <v xml:space="preserve"> </v>
      </c>
      <c r="Y13" s="82" t="str">
        <f ca="1">IFERROR(IF(ISNUMBER(T13),'3. Veículos'!F3 * INDEX('2. Distâncias'!D2:D82,T12*9+T13 + 1) +Z12," ")," ")</f>
        <v xml:space="preserve"> </v>
      </c>
      <c r="Z13" s="82" t="str">
        <f ca="1">IFERROR(IF(AND(T5&lt;&gt;T13,ISNUMBER(Y13)),INDEX('1. Locais'!I2:I10,T13 + 1) + MAX(Y13,INDEX('1. Locais'!F2:F10,T13 + 1))," ")," ")</f>
        <v xml:space="preserve"> </v>
      </c>
      <c r="AA13" s="81" t="str">
        <f ca="1">IFERROR(IF(AND(S13 = S5, S14 = ""), Y13 - Z5, Z13 - Z5)," ")</f>
        <v xml:space="preserve"> </v>
      </c>
      <c r="AB13" s="79" t="str">
        <f ca="1">IFERROR(IF(ISNUMBER(T13),INDEX('1. Locais'!L2:L10,T13 + 1) + AB12," ")," ")</f>
        <v xml:space="preserve"> </v>
      </c>
      <c r="AC13" s="80" t="str">
        <f ca="1">IFERROR(IF(ISNUMBER(T13),INDEX('1. Locais'!J2:J10,T13 + 1)," ")," ")</f>
        <v xml:space="preserve"> </v>
      </c>
      <c r="AD13" s="80" t="str">
        <f ca="1">IFERROR(IF(ISNUMBER(T13),INDEX('1. Locais'!K2:K10,T13 + 1)," ")," ")</f>
        <v xml:space="preserve"> </v>
      </c>
      <c r="AE13" s="80" t="str">
        <f ca="1">IFERROR(IF(ISNUMBER(T13),IF(S13 = S5, 0, AC13 + AE12)," ")," ")</f>
        <v xml:space="preserve"> </v>
      </c>
      <c r="AF13" s="80" t="str">
        <f ca="1">IFERROR(IF(ISNUMBER(T13),IF(S14 = S5, 0, IF(S14 = "", 0, AF14 + AD14))," ")," ")</f>
        <v xml:space="preserve"> </v>
      </c>
      <c r="AG13" s="79" t="str">
        <f ca="1">IFERROR(IF(ISNUMBER(T13),AE13 + AF13," ")," ")</f>
        <v xml:space="preserve"> </v>
      </c>
    </row>
    <row r="14" spans="1:33" x14ac:dyDescent="0.25">
      <c r="A14" s="25">
        <v>9</v>
      </c>
      <c r="B14" s="77"/>
      <c r="C14" s="73" t="str">
        <f ca="1">IFERROR(MATCH(INDIRECT("B14"),'1. Locais'!B2:B10, 0) - 1," ")</f>
        <v xml:space="preserve"> </v>
      </c>
      <c r="D14" s="73" t="e">
        <f ca="1">IFERROR(IF(ISNUMBER(C14),INDEX('1. Locais'!D2:D10,C14 + 1),NA()),NA())</f>
        <v>#N/A</v>
      </c>
      <c r="E14" s="73" t="e">
        <f ca="1">IFERROR(IF(ISNUMBER(C14),INDEX('1. Locais'!E2:E10,C14 + 1),NA()),NA())</f>
        <v>#N/A</v>
      </c>
      <c r="F14" s="74" t="str">
        <f ca="1">IFERROR(IF(ISNUMBER(C14),INDEX('2. Distâncias'!C2:C82,C13*9+C14+ 1) +F13," ")," ")</f>
        <v xml:space="preserve"> </v>
      </c>
      <c r="G14" s="75" t="str">
        <f ca="1">IFERROR(IF(ISNUMBER(C14),'3. Veículos'!F2 * INDEX('2. Distâncias'!D2:D82,C13*9+C14 + 1) +G13," ")," ")</f>
        <v xml:space="preserve"> </v>
      </c>
      <c r="H14" s="76" t="str">
        <f ca="1">IFERROR(IF(ISNUMBER(C14),'3. Veículos'!F2 * INDEX('2. Distâncias'!D2:D82,C13*9+C14 + 1) +I13," ")," ")</f>
        <v xml:space="preserve"> </v>
      </c>
      <c r="I14" s="76" t="str">
        <f ca="1">IFERROR(IF(AND(C5&lt;&gt;C14,ISNUMBER(H14)),INDEX('1. Locais'!I2:I10,C14 + 1) + MAX(H14,INDEX('1. Locais'!F2:F10,C14 + 1))," ")," ")</f>
        <v xml:space="preserve"> </v>
      </c>
      <c r="J14" s="75" t="str">
        <f ca="1">IFERROR(IF(AND(B14 = B5, B15 = ""), H14 - I5, I14 - I5)," ")</f>
        <v xml:space="preserve"> </v>
      </c>
      <c r="K14" s="73" t="str">
        <f ca="1">IFERROR(IF(ISNUMBER(C14),INDEX('1. Locais'!L2:L10,C14 + 1) + K13," ")," ")</f>
        <v xml:space="preserve"> </v>
      </c>
      <c r="L14" s="74" t="str">
        <f ca="1">IFERROR(IF(ISNUMBER(C14),INDEX('1. Locais'!J2:J10,C14 + 1)," ")," ")</f>
        <v xml:space="preserve"> </v>
      </c>
      <c r="M14" s="74" t="str">
        <f ca="1">IFERROR(IF(ISNUMBER(C14),INDEX('1. Locais'!K2:K10,C14 + 1)," ")," ")</f>
        <v xml:space="preserve"> </v>
      </c>
      <c r="N14" s="74" t="str">
        <f ca="1">IFERROR(IF(ISNUMBER(C14),IF(B14 = B5, 0, L14 + N13)," ")," ")</f>
        <v xml:space="preserve"> </v>
      </c>
      <c r="O14" s="74" t="str">
        <f ca="1">IFERROR(IF(ISNUMBER(C14),IF(B15 = B5, 0, IF(B15 = "", 0, O15 + M15))," ")," ")</f>
        <v xml:space="preserve"> </v>
      </c>
      <c r="P14" s="73" t="str">
        <f ca="1">IFERROR(IF(ISNUMBER(C14),N14 + O14," ")," ")</f>
        <v xml:space="preserve"> </v>
      </c>
      <c r="R14" s="25">
        <v>9</v>
      </c>
      <c r="S14" s="77"/>
      <c r="T14" s="73" t="str">
        <f ca="1">IFERROR(MATCH(INDIRECT("S14"),'1. Locais'!B2:B10, 0) - 1," ")</f>
        <v xml:space="preserve"> </v>
      </c>
      <c r="U14" s="73" t="e">
        <f ca="1">IFERROR(IF(ISNUMBER(T14),INDEX('1. Locais'!D2:D10,T14 + 1),NA()),NA())</f>
        <v>#N/A</v>
      </c>
      <c r="V14" s="73" t="e">
        <f ca="1">IFERROR(IF(ISNUMBER(T14),INDEX('1. Locais'!E2:E10,T14 + 1),NA()),NA())</f>
        <v>#N/A</v>
      </c>
      <c r="W14" s="74" t="str">
        <f ca="1">IFERROR(IF(ISNUMBER(T14),INDEX('2. Distâncias'!C2:C82,T13*9+T14+ 1) +W13," ")," ")</f>
        <v xml:space="preserve"> </v>
      </c>
      <c r="X14" s="75" t="str">
        <f ca="1">IFERROR(IF(ISNUMBER(T14),'3. Veículos'!F3 * INDEX('2. Distâncias'!D2:D82,T13*9+T14 + 1) +X13," ")," ")</f>
        <v xml:space="preserve"> </v>
      </c>
      <c r="Y14" s="76" t="str">
        <f ca="1">IFERROR(IF(ISNUMBER(T14),'3. Veículos'!F3 * INDEX('2. Distâncias'!D2:D82,T13*9+T14 + 1) +Z13," ")," ")</f>
        <v xml:space="preserve"> </v>
      </c>
      <c r="Z14" s="76" t="str">
        <f ca="1">IFERROR(IF(AND(T5&lt;&gt;T14,ISNUMBER(Y14)),INDEX('1. Locais'!I2:I10,T14 + 1) + MAX(Y14,INDEX('1. Locais'!F2:F10,T14 + 1))," ")," ")</f>
        <v xml:space="preserve"> </v>
      </c>
      <c r="AA14" s="75" t="str">
        <f ca="1">IFERROR(IF(AND(S14 = S5, S15 = ""), Y14 - Z5, Z14 - Z5)," ")</f>
        <v xml:space="preserve"> </v>
      </c>
      <c r="AB14" s="73" t="str">
        <f ca="1">IFERROR(IF(ISNUMBER(T14),INDEX('1. Locais'!L2:L10,T14 + 1) + AB13," ")," ")</f>
        <v xml:space="preserve"> </v>
      </c>
      <c r="AC14" s="74" t="str">
        <f ca="1">IFERROR(IF(ISNUMBER(T14),INDEX('1. Locais'!J2:J10,T14 + 1)," ")," ")</f>
        <v xml:space="preserve"> </v>
      </c>
      <c r="AD14" s="74" t="str">
        <f ca="1">IFERROR(IF(ISNUMBER(T14),INDEX('1. Locais'!K2:K10,T14 + 1)," ")," ")</f>
        <v xml:space="preserve"> </v>
      </c>
      <c r="AE14" s="74" t="str">
        <f ca="1">IFERROR(IF(ISNUMBER(T14),IF(S14 = S5, 0, AC14 + AE13)," ")," ")</f>
        <v xml:space="preserve"> </v>
      </c>
      <c r="AF14" s="74" t="str">
        <f ca="1">IFERROR(IF(ISNUMBER(T14),IF(S15 = S5, 0, IF(S15 = "", 0, AF15 + AD15))," ")," ")</f>
        <v xml:space="preserve"> </v>
      </c>
      <c r="AG14" s="73" t="str">
        <f ca="1">IFERROR(IF(ISNUMBER(T14),AE14 + AF14," ")," ")</f>
        <v xml:space="preserve"> </v>
      </c>
    </row>
    <row r="16" spans="1:33" x14ac:dyDescent="0.25">
      <c r="A16" s="18" t="s">
        <v>1120</v>
      </c>
    </row>
  </sheetData>
  <conditionalFormatting sqref="F6:F14">
    <cfRule type="cellIs" dxfId="49" priority="8" stopIfTrue="1" operator="equal">
      <formula>" "</formula>
    </cfRule>
  </conditionalFormatting>
  <conditionalFormatting sqref="P6:P14">
    <cfRule type="cellIs" dxfId="47" priority="7" stopIfTrue="1" operator="equal">
      <formula>" "</formula>
    </cfRule>
  </conditionalFormatting>
  <conditionalFormatting sqref="P6:P14">
    <cfRule type="cellIs" dxfId="45" priority="40" stopIfTrue="1" operator="lessThan">
      <formula>0</formula>
    </cfRule>
  </conditionalFormatting>
  <conditionalFormatting sqref="G6:G14">
    <cfRule type="cellIs" dxfId="44" priority="6" stopIfTrue="1" operator="equal">
      <formula>" "</formula>
    </cfRule>
  </conditionalFormatting>
  <conditionalFormatting sqref="J6:J14">
    <cfRule type="cellIs" dxfId="42" priority="5" stopIfTrue="1" operator="equal">
      <formula>" "</formula>
    </cfRule>
  </conditionalFormatting>
  <conditionalFormatting sqref="I3">
    <cfRule type="expression" dxfId="40" priority="43" stopIfTrue="1">
      <formula>ISERROR(I3)</formula>
    </cfRule>
  </conditionalFormatting>
  <conditionalFormatting sqref="W6:W14">
    <cfRule type="cellIs" dxfId="10" priority="4" stopIfTrue="1" operator="equal">
      <formula>" "</formula>
    </cfRule>
  </conditionalFormatting>
  <conditionalFormatting sqref="AG6:AG14">
    <cfRule type="cellIs" dxfId="8" priority="3" stopIfTrue="1" operator="equal">
      <formula>" "</formula>
    </cfRule>
  </conditionalFormatting>
  <conditionalFormatting sqref="AG6:AG14">
    <cfRule type="cellIs" dxfId="6" priority="75" stopIfTrue="1" operator="lessThan">
      <formula>0</formula>
    </cfRule>
  </conditionalFormatting>
  <conditionalFormatting sqref="X6:X14">
    <cfRule type="cellIs" dxfId="5" priority="2" stopIfTrue="1" operator="equal">
      <formula>" "</formula>
    </cfRule>
  </conditionalFormatting>
  <conditionalFormatting sqref="AA6:AA14">
    <cfRule type="cellIs" dxfId="3" priority="1" stopIfTrue="1" operator="equal">
      <formula>" "</formula>
    </cfRule>
  </conditionalFormatting>
  <conditionalFormatting sqref="Z3">
    <cfRule type="expression" dxfId="1" priority="78" stopIfTrue="1">
      <formula>ISERROR(Z3)</formula>
    </cfRule>
  </conditionalFormatting>
  <conditionalFormatting sqref="B1">
    <cfRule type="expression" dxfId="0" priority="79"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9" stopIfTrue="1" id="{05C741A3-7CB6-4DF3-A29B-A791B50A93BC}">
            <xm:f>(60 * HOUR(H5) + MINUTE(H5)) &gt;(60 * HOUR(INDEX('1. Locais'!G2:G10,C5 + 1)) +MINUTE(INDEX('1. Locais'!G2:G10,C5 + 1)))</xm:f>
            <x14:dxf>
              <fill>
                <patternFill>
                  <bgColor indexed="10"/>
                </patternFill>
              </fill>
            </x14:dxf>
          </x14:cfRule>
          <xm:sqref>H5</xm:sqref>
        </x14:conditionalFormatting>
        <x14:conditionalFormatting xmlns:xm="http://schemas.microsoft.com/office/excel/2006/main">
          <x14:cfRule type="expression" priority="10" stopIfTrue="1" id="{69AA21A4-C02E-4551-A5A4-DBAD213C75CB}">
            <xm:f>(60 * HOUR(I5) + MINUTE(I5)) &gt;(60 * HOUR(INDEX('1. Locais'!G2:G10,C5 + 1)) +MINUTE(INDEX('1. Locais'!G2:G10,C5 + 1)))</xm:f>
            <x14:dxf>
              <fill>
                <patternFill>
                  <bgColor indexed="10"/>
                </patternFill>
              </fill>
            </x14:dxf>
          </x14:cfRule>
          <xm:sqref>I5</xm:sqref>
        </x14:conditionalFormatting>
        <x14:conditionalFormatting xmlns:xm="http://schemas.microsoft.com/office/excel/2006/main">
          <x14:cfRule type="cellIs" priority="11" stopIfTrue="1" operator="lessThan" id="{CBB729C2-7CE8-46EA-9F50-3734181D5574}">
            <xm:f>INDEX('1. Locais'!F2:F10,C6 + 1)</xm:f>
            <x14:dxf>
              <fill>
                <patternFill>
                  <bgColor indexed="52"/>
                </patternFill>
              </fill>
            </x14:dxf>
          </x14:cfRule>
          <x14:cfRule type="expression" priority="12" stopIfTrue="1" id="{289F601A-4593-4B58-B9B6-5AFBA1A69061}">
            <xm:f>(60 * HOUR(H6) + MINUTE(H6)) &gt;(60 * HOUR(INDEX('1. Locais'!G2:G10,C6 + 1)) +MINUTE(INDEX('1. Locais'!G2:G10,C6 + 1)))</xm:f>
            <x14:dxf>
              <fill>
                <patternFill>
                  <bgColor indexed="10"/>
                </patternFill>
              </fill>
            </x14:dxf>
          </x14:cfRule>
          <xm:sqref>H6</xm:sqref>
        </x14:conditionalFormatting>
        <x14:conditionalFormatting xmlns:xm="http://schemas.microsoft.com/office/excel/2006/main">
          <x14:cfRule type="expression" priority="13" stopIfTrue="1" id="{BF7F5383-44F4-4DBF-B36B-FD4BB808FE00}">
            <xm:f>(60 * HOUR(I6) + MINUTE(I6)) &gt;(60 * HOUR(INDEX('1. Locais'!G2:G10,C6 + 1)) +MINUTE(INDEX('1. Locais'!G2:G10,C6 + 1)))</xm:f>
            <x14:dxf>
              <fill>
                <patternFill>
                  <bgColor indexed="10"/>
                </patternFill>
              </fill>
            </x14:dxf>
          </x14:cfRule>
          <xm:sqref>I6</xm:sqref>
        </x14:conditionalFormatting>
        <x14:conditionalFormatting xmlns:xm="http://schemas.microsoft.com/office/excel/2006/main">
          <x14:cfRule type="cellIs" priority="14" stopIfTrue="1" operator="lessThan" id="{21E3F8EC-101F-40CE-BF5B-C31F09EDF22B}">
            <xm:f>INDEX('1. Locais'!F2:F10,C7 + 1)</xm:f>
            <x14:dxf>
              <fill>
                <patternFill>
                  <bgColor indexed="52"/>
                </patternFill>
              </fill>
            </x14:dxf>
          </x14:cfRule>
          <x14:cfRule type="expression" priority="15" stopIfTrue="1" id="{EF8F72CE-553D-4983-9A4F-CC39D26D8634}">
            <xm:f>(60 * HOUR(H7) + MINUTE(H7)) &gt;(60 * HOUR(INDEX('1. Locais'!G2:G10,C7 + 1)) +MINUTE(INDEX('1. Locais'!G2:G10,C7 + 1)))</xm:f>
            <x14:dxf>
              <fill>
                <patternFill>
                  <bgColor indexed="10"/>
                </patternFill>
              </fill>
            </x14:dxf>
          </x14:cfRule>
          <xm:sqref>H7</xm:sqref>
        </x14:conditionalFormatting>
        <x14:conditionalFormatting xmlns:xm="http://schemas.microsoft.com/office/excel/2006/main">
          <x14:cfRule type="expression" priority="16" stopIfTrue="1" id="{37FE5E52-9E7F-4363-B35B-8154A3BC6EBC}">
            <xm:f>(60 * HOUR(I7) + MINUTE(I7)) &gt;(60 * HOUR(INDEX('1. Locais'!G2:G10,C7 + 1)) +MINUTE(INDEX('1. Locais'!G2:G10,C7 + 1)))</xm:f>
            <x14:dxf>
              <fill>
                <patternFill>
                  <bgColor indexed="10"/>
                </patternFill>
              </fill>
            </x14:dxf>
          </x14:cfRule>
          <xm:sqref>I7</xm:sqref>
        </x14:conditionalFormatting>
        <x14:conditionalFormatting xmlns:xm="http://schemas.microsoft.com/office/excel/2006/main">
          <x14:cfRule type="cellIs" priority="17" stopIfTrue="1" operator="lessThan" id="{15B8AC56-7B09-4729-B157-882747C283CD}">
            <xm:f>INDEX('1. Locais'!F2:F10,C8 + 1)</xm:f>
            <x14:dxf>
              <fill>
                <patternFill>
                  <bgColor indexed="52"/>
                </patternFill>
              </fill>
            </x14:dxf>
          </x14:cfRule>
          <x14:cfRule type="expression" priority="18" stopIfTrue="1" id="{7CD537BE-AC4A-4F3A-BE12-1019FE956A53}">
            <xm:f>(60 * HOUR(H8) + MINUTE(H8)) &gt;(60 * HOUR(INDEX('1. Locais'!G2:G10,C8 + 1)) +MINUTE(INDEX('1. Locais'!G2:G10,C8 + 1)))</xm:f>
            <x14:dxf>
              <fill>
                <patternFill>
                  <bgColor indexed="10"/>
                </patternFill>
              </fill>
            </x14:dxf>
          </x14:cfRule>
          <xm:sqref>H8</xm:sqref>
        </x14:conditionalFormatting>
        <x14:conditionalFormatting xmlns:xm="http://schemas.microsoft.com/office/excel/2006/main">
          <x14:cfRule type="expression" priority="19" stopIfTrue="1" id="{FF593C1C-7DCF-4A30-ACDA-F9DA684D5529}">
            <xm:f>(60 * HOUR(I8) + MINUTE(I8)) &gt;(60 * HOUR(INDEX('1. Locais'!G2:G10,C8 + 1)) +MINUTE(INDEX('1. Locais'!G2:G10,C8 + 1)))</xm:f>
            <x14:dxf>
              <fill>
                <patternFill>
                  <bgColor indexed="10"/>
                </patternFill>
              </fill>
            </x14:dxf>
          </x14:cfRule>
          <xm:sqref>I8</xm:sqref>
        </x14:conditionalFormatting>
        <x14:conditionalFormatting xmlns:xm="http://schemas.microsoft.com/office/excel/2006/main">
          <x14:cfRule type="cellIs" priority="20" stopIfTrue="1" operator="lessThan" id="{8E828222-D9E9-4E4C-B8D1-77F599F73207}">
            <xm:f>INDEX('1. Locais'!F2:F10,C9 + 1)</xm:f>
            <x14:dxf>
              <fill>
                <patternFill>
                  <bgColor indexed="52"/>
                </patternFill>
              </fill>
            </x14:dxf>
          </x14:cfRule>
          <x14:cfRule type="expression" priority="21" stopIfTrue="1" id="{03943C15-DDFB-4D75-8468-CD7B518073E7}">
            <xm:f>(60 * HOUR(H9) + MINUTE(H9)) &gt;(60 * HOUR(INDEX('1. Locais'!G2:G10,C9 + 1)) +MINUTE(INDEX('1. Locais'!G2:G10,C9 + 1)))</xm:f>
            <x14:dxf>
              <fill>
                <patternFill>
                  <bgColor indexed="10"/>
                </patternFill>
              </fill>
            </x14:dxf>
          </x14:cfRule>
          <xm:sqref>H9</xm:sqref>
        </x14:conditionalFormatting>
        <x14:conditionalFormatting xmlns:xm="http://schemas.microsoft.com/office/excel/2006/main">
          <x14:cfRule type="expression" priority="22" stopIfTrue="1" id="{B5C5E53D-58B8-45C7-B4F7-887AD31D77C5}">
            <xm:f>(60 * HOUR(I9) + MINUTE(I9)) &gt;(60 * HOUR(INDEX('1. Locais'!G2:G10,C9 + 1)) +MINUTE(INDEX('1. Locais'!G2:G10,C9 + 1)))</xm:f>
            <x14:dxf>
              <fill>
                <patternFill>
                  <bgColor indexed="10"/>
                </patternFill>
              </fill>
            </x14:dxf>
          </x14:cfRule>
          <xm:sqref>I9</xm:sqref>
        </x14:conditionalFormatting>
        <x14:conditionalFormatting xmlns:xm="http://schemas.microsoft.com/office/excel/2006/main">
          <x14:cfRule type="cellIs" priority="23" stopIfTrue="1" operator="lessThan" id="{E537F5DC-C0FE-4AB2-ACB5-A3AC3B44EA0D}">
            <xm:f>INDEX('1. Locais'!F2:F10,C10 + 1)</xm:f>
            <x14:dxf>
              <fill>
                <patternFill>
                  <bgColor indexed="52"/>
                </patternFill>
              </fill>
            </x14:dxf>
          </x14:cfRule>
          <x14:cfRule type="expression" priority="24" stopIfTrue="1" id="{F2B492D4-7A53-48D2-B5B1-8708B8EAF3A5}">
            <xm:f>(60 * HOUR(H10) + MINUTE(H10)) &gt;(60 * HOUR(INDEX('1. Locais'!G2:G10,C10 + 1)) +MINUTE(INDEX('1. Locais'!G2:G10,C10 + 1)))</xm:f>
            <x14:dxf>
              <fill>
                <patternFill>
                  <bgColor indexed="10"/>
                </patternFill>
              </fill>
            </x14:dxf>
          </x14:cfRule>
          <xm:sqref>H10</xm:sqref>
        </x14:conditionalFormatting>
        <x14:conditionalFormatting xmlns:xm="http://schemas.microsoft.com/office/excel/2006/main">
          <x14:cfRule type="expression" priority="25" stopIfTrue="1" id="{73B1015F-7804-4E37-97B2-6886D5844BD4}">
            <xm:f>(60 * HOUR(I10) + MINUTE(I10)) &gt;(60 * HOUR(INDEX('1. Locais'!G2:G10,C10 + 1)) +MINUTE(INDEX('1. Locais'!G2:G10,C10 + 1)))</xm:f>
            <x14:dxf>
              <fill>
                <patternFill>
                  <bgColor indexed="10"/>
                </patternFill>
              </fill>
            </x14:dxf>
          </x14:cfRule>
          <xm:sqref>I10</xm:sqref>
        </x14:conditionalFormatting>
        <x14:conditionalFormatting xmlns:xm="http://schemas.microsoft.com/office/excel/2006/main">
          <x14:cfRule type="cellIs" priority="26" stopIfTrue="1" operator="lessThan" id="{4FF5980F-0BE8-48CD-B4EC-BE8F92C440CC}">
            <xm:f>INDEX('1. Locais'!F2:F10,C11 + 1)</xm:f>
            <x14:dxf>
              <fill>
                <patternFill>
                  <bgColor indexed="52"/>
                </patternFill>
              </fill>
            </x14:dxf>
          </x14:cfRule>
          <x14:cfRule type="expression" priority="27" stopIfTrue="1" id="{1FC6CE68-6E50-40C6-9F2C-FA3D9FF036A0}">
            <xm:f>(60 * HOUR(H11) + MINUTE(H11)) &gt;(60 * HOUR(INDEX('1. Locais'!G2:G10,C11 + 1)) +MINUTE(INDEX('1. Locais'!G2:G10,C11 + 1)))</xm:f>
            <x14:dxf>
              <fill>
                <patternFill>
                  <bgColor indexed="10"/>
                </patternFill>
              </fill>
            </x14:dxf>
          </x14:cfRule>
          <xm:sqref>H11</xm:sqref>
        </x14:conditionalFormatting>
        <x14:conditionalFormatting xmlns:xm="http://schemas.microsoft.com/office/excel/2006/main">
          <x14:cfRule type="expression" priority="28" stopIfTrue="1" id="{D6888BAB-9705-43D1-B5C5-7F9B080BE273}">
            <xm:f>(60 * HOUR(I11) + MINUTE(I11)) &gt;(60 * HOUR(INDEX('1. Locais'!G2:G10,C11 + 1)) +MINUTE(INDEX('1. Locais'!G2:G10,C11 + 1)))</xm:f>
            <x14:dxf>
              <fill>
                <patternFill>
                  <bgColor indexed="10"/>
                </patternFill>
              </fill>
            </x14:dxf>
          </x14:cfRule>
          <xm:sqref>I11</xm:sqref>
        </x14:conditionalFormatting>
        <x14:conditionalFormatting xmlns:xm="http://schemas.microsoft.com/office/excel/2006/main">
          <x14:cfRule type="cellIs" priority="29" stopIfTrue="1" operator="lessThan" id="{4B80E054-76E1-4A2B-B0E9-98C9C3A318CF}">
            <xm:f>INDEX('1. Locais'!F2:F10,C12 + 1)</xm:f>
            <x14:dxf>
              <fill>
                <patternFill>
                  <bgColor indexed="52"/>
                </patternFill>
              </fill>
            </x14:dxf>
          </x14:cfRule>
          <x14:cfRule type="expression" priority="30" stopIfTrue="1" id="{98823DD8-9C41-4DA5-92AB-503D3E93A594}">
            <xm:f>(60 * HOUR(H12) + MINUTE(H12)) &gt;(60 * HOUR(INDEX('1. Locais'!G2:G10,C12 + 1)) +MINUTE(INDEX('1. Locais'!G2:G10,C12 + 1)))</xm:f>
            <x14:dxf>
              <fill>
                <patternFill>
                  <bgColor indexed="10"/>
                </patternFill>
              </fill>
            </x14:dxf>
          </x14:cfRule>
          <xm:sqref>H12</xm:sqref>
        </x14:conditionalFormatting>
        <x14:conditionalFormatting xmlns:xm="http://schemas.microsoft.com/office/excel/2006/main">
          <x14:cfRule type="expression" priority="31" stopIfTrue="1" id="{A54658D0-7DF9-40C0-84A0-F6E8C8F29CC7}">
            <xm:f>(60 * HOUR(I12) + MINUTE(I12)) &gt;(60 * HOUR(INDEX('1. Locais'!G2:G10,C12 + 1)) +MINUTE(INDEX('1. Locais'!G2:G10,C12 + 1)))</xm:f>
            <x14:dxf>
              <fill>
                <patternFill>
                  <bgColor indexed="10"/>
                </patternFill>
              </fill>
            </x14:dxf>
          </x14:cfRule>
          <xm:sqref>I12</xm:sqref>
        </x14:conditionalFormatting>
        <x14:conditionalFormatting xmlns:xm="http://schemas.microsoft.com/office/excel/2006/main">
          <x14:cfRule type="cellIs" priority="32" stopIfTrue="1" operator="lessThan" id="{0A5ED7FC-4EB1-441B-9057-953297EFD802}">
            <xm:f>INDEX('1. Locais'!F2:F10,C13 + 1)</xm:f>
            <x14:dxf>
              <fill>
                <patternFill>
                  <bgColor indexed="52"/>
                </patternFill>
              </fill>
            </x14:dxf>
          </x14:cfRule>
          <x14:cfRule type="expression" priority="33" stopIfTrue="1" id="{EF761FB4-C053-44F5-A9A6-AD93BB9D8ED8}">
            <xm:f>(60 * HOUR(H13) + MINUTE(H13)) &gt;(60 * HOUR(INDEX('1. Locais'!G2:G10,C13 + 1)) +MINUTE(INDEX('1. Locais'!G2:G10,C13 + 1)))</xm:f>
            <x14:dxf>
              <fill>
                <patternFill>
                  <bgColor indexed="10"/>
                </patternFill>
              </fill>
            </x14:dxf>
          </x14:cfRule>
          <xm:sqref>H13</xm:sqref>
        </x14:conditionalFormatting>
        <x14:conditionalFormatting xmlns:xm="http://schemas.microsoft.com/office/excel/2006/main">
          <x14:cfRule type="expression" priority="34" stopIfTrue="1" id="{CAC867A1-A946-40E8-9AFA-32BF7AB104AD}">
            <xm:f>(60 * HOUR(I13) + MINUTE(I13)) &gt;(60 * HOUR(INDEX('1. Locais'!G2:G10,C13 + 1)) +MINUTE(INDEX('1. Locais'!G2:G10,C13 + 1)))</xm:f>
            <x14:dxf>
              <fill>
                <patternFill>
                  <bgColor indexed="10"/>
                </patternFill>
              </fill>
            </x14:dxf>
          </x14:cfRule>
          <xm:sqref>I13</xm:sqref>
        </x14:conditionalFormatting>
        <x14:conditionalFormatting xmlns:xm="http://schemas.microsoft.com/office/excel/2006/main">
          <x14:cfRule type="cellIs" priority="35" stopIfTrue="1" operator="lessThan" id="{9383DD73-60F8-40E5-89F0-198118930103}">
            <xm:f>INDEX('1. Locais'!F2:F10,C14 + 1)</xm:f>
            <x14:dxf>
              <fill>
                <patternFill>
                  <bgColor indexed="52"/>
                </patternFill>
              </fill>
            </x14:dxf>
          </x14:cfRule>
          <x14:cfRule type="expression" priority="36" stopIfTrue="1" id="{F2AEB195-233D-4B7D-93B0-39EB283A2634}">
            <xm:f>(60 * HOUR(H14) + MINUTE(H14)) &gt;(60 * HOUR(INDEX('1. Locais'!G2:G10,C14 + 1)) +MINUTE(INDEX('1. Locais'!G2:G10,C14 + 1)))</xm:f>
            <x14:dxf>
              <fill>
                <patternFill>
                  <bgColor indexed="10"/>
                </patternFill>
              </fill>
            </x14:dxf>
          </x14:cfRule>
          <xm:sqref>H14</xm:sqref>
        </x14:conditionalFormatting>
        <x14:conditionalFormatting xmlns:xm="http://schemas.microsoft.com/office/excel/2006/main">
          <x14:cfRule type="expression" priority="37" stopIfTrue="1" id="{8351FC1F-F6C4-4057-A222-3476FA2330F5}">
            <xm:f>(60 * HOUR(I14) + MINUTE(I14)) &gt;(60 * HOUR(INDEX('1. Locais'!G2:G10,C14 + 1)) +MINUTE(INDEX('1. Locais'!G2:G10,C14 + 1)))</xm:f>
            <x14:dxf>
              <fill>
                <patternFill>
                  <bgColor indexed="10"/>
                </patternFill>
              </fill>
            </x14:dxf>
          </x14:cfRule>
          <xm:sqref>I14</xm:sqref>
        </x14:conditionalFormatting>
        <x14:conditionalFormatting xmlns:xm="http://schemas.microsoft.com/office/excel/2006/main">
          <x14:cfRule type="cellIs" priority="38" stopIfTrue="1" operator="greaterThan" id="{DE1EEDF2-B43A-4BA7-96B1-49D7244205EB}">
            <xm:f>'3. Veículos'!$G$2</xm:f>
            <x14:dxf>
              <fill>
                <patternFill>
                  <bgColor indexed="10"/>
                </patternFill>
              </fill>
            </x14:dxf>
          </x14:cfRule>
          <xm:sqref>F6:F14</xm:sqref>
        </x14:conditionalFormatting>
        <x14:conditionalFormatting xmlns:xm="http://schemas.microsoft.com/office/excel/2006/main">
          <x14:cfRule type="cellIs" priority="39" stopIfTrue="1" operator="greaterThan" id="{9984DA04-E24B-44DC-9820-57E5385FA2B5}">
            <xm:f>'3. Veículos'!$C$2</xm:f>
            <x14:dxf>
              <fill>
                <patternFill>
                  <bgColor indexed="10"/>
                </patternFill>
              </fill>
            </x14:dxf>
          </x14:cfRule>
          <xm:sqref>P6:P14</xm:sqref>
        </x14:conditionalFormatting>
        <x14:conditionalFormatting xmlns:xm="http://schemas.microsoft.com/office/excel/2006/main">
          <x14:cfRule type="cellIs" priority="41" stopIfTrue="1" operator="greaterThan" id="{481C1E28-ED5E-483F-9F70-C435A8BC88FB}">
            <xm:f>'3. Veículos'!$I$2</xm:f>
            <x14:dxf>
              <fill>
                <patternFill>
                  <bgColor indexed="10"/>
                </patternFill>
              </fill>
            </x14:dxf>
          </x14:cfRule>
          <xm:sqref>G6:G14</xm:sqref>
        </x14:conditionalFormatting>
        <x14:conditionalFormatting xmlns:xm="http://schemas.microsoft.com/office/excel/2006/main">
          <x14:cfRule type="cellIs" priority="42" stopIfTrue="1" operator="greaterThan" id="{996274A9-F886-4D4C-B490-77AF34D97C4A}">
            <xm:f>'3. Veículos'!$J$2</xm:f>
            <x14:dxf>
              <fill>
                <patternFill>
                  <bgColor indexed="10"/>
                </patternFill>
              </fill>
            </x14:dxf>
          </x14:cfRule>
          <xm:sqref>J6:J14</xm:sqref>
        </x14:conditionalFormatting>
        <x14:conditionalFormatting xmlns:xm="http://schemas.microsoft.com/office/excel/2006/main">
          <x14:cfRule type="expression" priority="44" stopIfTrue="1" id="{8F3B7B4D-ABFD-4893-B4B9-815CA5429A41}">
            <xm:f>(60 * HOUR(Y5) + MINUTE(Y5)) &gt;(60 * HOUR(INDEX('1. Locais'!G2:G10,T5 + 1)) +MINUTE(INDEX('1. Locais'!G2:G10,T5 + 1)))</xm:f>
            <x14:dxf>
              <fill>
                <patternFill>
                  <bgColor indexed="10"/>
                </patternFill>
              </fill>
            </x14:dxf>
          </x14:cfRule>
          <xm:sqref>Y5</xm:sqref>
        </x14:conditionalFormatting>
        <x14:conditionalFormatting xmlns:xm="http://schemas.microsoft.com/office/excel/2006/main">
          <x14:cfRule type="expression" priority="45" stopIfTrue="1" id="{FD659E2B-4461-4317-90A6-15DD20F0170F}">
            <xm:f>(60 * HOUR(Z5) + MINUTE(Z5)) &gt;(60 * HOUR(INDEX('1. Locais'!G2:G10,T5 + 1)) +MINUTE(INDEX('1. Locais'!G2:G10,T5 + 1)))</xm:f>
            <x14:dxf>
              <fill>
                <patternFill>
                  <bgColor indexed="10"/>
                </patternFill>
              </fill>
            </x14:dxf>
          </x14:cfRule>
          <xm:sqref>Z5</xm:sqref>
        </x14:conditionalFormatting>
        <x14:conditionalFormatting xmlns:xm="http://schemas.microsoft.com/office/excel/2006/main">
          <x14:cfRule type="cellIs" priority="46" stopIfTrue="1" operator="lessThan" id="{D5B95FD7-1C91-4A78-9E22-DDE59400519B}">
            <xm:f>INDEX('1. Locais'!F2:F10,T6 + 1)</xm:f>
            <x14:dxf>
              <fill>
                <patternFill>
                  <bgColor indexed="52"/>
                </patternFill>
              </fill>
            </x14:dxf>
          </x14:cfRule>
          <xm:sqref>Y6</xm:sqref>
        </x14:conditionalFormatting>
        <x14:conditionalFormatting xmlns:xm="http://schemas.microsoft.com/office/excel/2006/main">
          <x14:cfRule type="expression" priority="47" stopIfTrue="1" id="{9052AE2D-744C-461B-BFD1-0208D4431BF0}">
            <xm:f>(60 * HOUR(Y6) + MINUTE(Y6)) &gt;(60 * HOUR(INDEX('1. Locais'!G2:G10,T6 + 1)) +MINUTE(INDEX('1. Locais'!G2:G10,T6 + 1)))</xm:f>
            <x14:dxf>
              <fill>
                <patternFill>
                  <bgColor indexed="10"/>
                </patternFill>
              </fill>
            </x14:dxf>
          </x14:cfRule>
          <xm:sqref>Y6</xm:sqref>
        </x14:conditionalFormatting>
        <x14:conditionalFormatting xmlns:xm="http://schemas.microsoft.com/office/excel/2006/main">
          <x14:cfRule type="expression" priority="48" stopIfTrue="1" id="{6584F3CD-E7A9-4DCC-AFBE-F3F5BAD49A51}">
            <xm:f>(60 * HOUR(Z6) + MINUTE(Z6)) &gt;(60 * HOUR(INDEX('1. Locais'!G2:G10,T6 + 1)) +MINUTE(INDEX('1. Locais'!G2:G10,T6 + 1)))</xm:f>
            <x14:dxf>
              <fill>
                <patternFill>
                  <bgColor indexed="10"/>
                </patternFill>
              </fill>
            </x14:dxf>
          </x14:cfRule>
          <xm:sqref>Z6</xm:sqref>
        </x14:conditionalFormatting>
        <x14:conditionalFormatting xmlns:xm="http://schemas.microsoft.com/office/excel/2006/main">
          <x14:cfRule type="cellIs" priority="49" stopIfTrue="1" operator="lessThan" id="{F1FE0940-3D87-4F7B-A25E-C056C2C77F60}">
            <xm:f>INDEX('1. Locais'!F2:F10,T7 + 1)</xm:f>
            <x14:dxf>
              <fill>
                <patternFill>
                  <bgColor indexed="52"/>
                </patternFill>
              </fill>
            </x14:dxf>
          </x14:cfRule>
          <xm:sqref>Y7</xm:sqref>
        </x14:conditionalFormatting>
        <x14:conditionalFormatting xmlns:xm="http://schemas.microsoft.com/office/excel/2006/main">
          <x14:cfRule type="expression" priority="50" stopIfTrue="1" id="{96882710-143F-46AF-895D-E5A960BA30EC}">
            <xm:f>(60 * HOUR(Y7) + MINUTE(Y7)) &gt;(60 * HOUR(INDEX('1. Locais'!G2:G10,T7 + 1)) +MINUTE(INDEX('1. Locais'!G2:G10,T7 + 1)))</xm:f>
            <x14:dxf>
              <fill>
                <patternFill>
                  <bgColor indexed="10"/>
                </patternFill>
              </fill>
            </x14:dxf>
          </x14:cfRule>
          <xm:sqref>Y7</xm:sqref>
        </x14:conditionalFormatting>
        <x14:conditionalFormatting xmlns:xm="http://schemas.microsoft.com/office/excel/2006/main">
          <x14:cfRule type="expression" priority="51" stopIfTrue="1" id="{F239CEB3-6D9F-4AD2-9C79-7C0FF3B7F2C9}">
            <xm:f>(60 * HOUR(Z7) + MINUTE(Z7)) &gt;(60 * HOUR(INDEX('1. Locais'!G2:G10,T7 + 1)) +MINUTE(INDEX('1. Locais'!G2:G10,T7 + 1)))</xm:f>
            <x14:dxf>
              <fill>
                <patternFill>
                  <bgColor indexed="10"/>
                </patternFill>
              </fill>
            </x14:dxf>
          </x14:cfRule>
          <xm:sqref>Z7</xm:sqref>
        </x14:conditionalFormatting>
        <x14:conditionalFormatting xmlns:xm="http://schemas.microsoft.com/office/excel/2006/main">
          <x14:cfRule type="cellIs" priority="52" stopIfTrue="1" operator="lessThan" id="{486D1969-6E0F-4585-AE33-F9ED04E72936}">
            <xm:f>INDEX('1. Locais'!F2:F10,T8 + 1)</xm:f>
            <x14:dxf>
              <fill>
                <patternFill>
                  <bgColor indexed="52"/>
                </patternFill>
              </fill>
            </x14:dxf>
          </x14:cfRule>
          <xm:sqref>Y8</xm:sqref>
        </x14:conditionalFormatting>
        <x14:conditionalFormatting xmlns:xm="http://schemas.microsoft.com/office/excel/2006/main">
          <x14:cfRule type="expression" priority="53" stopIfTrue="1" id="{5712E352-84C1-4645-8FD3-E1DB466B4C50}">
            <xm:f>(60 * HOUR(Y8) + MINUTE(Y8)) &gt;(60 * HOUR(INDEX('1. Locais'!G2:G10,T8 + 1)) +MINUTE(INDEX('1. Locais'!G2:G10,T8 + 1)))</xm:f>
            <x14:dxf>
              <fill>
                <patternFill>
                  <bgColor indexed="10"/>
                </patternFill>
              </fill>
            </x14:dxf>
          </x14:cfRule>
          <xm:sqref>Y8</xm:sqref>
        </x14:conditionalFormatting>
        <x14:conditionalFormatting xmlns:xm="http://schemas.microsoft.com/office/excel/2006/main">
          <x14:cfRule type="expression" priority="54" stopIfTrue="1" id="{222847C6-4BED-476B-AF7C-5F8B2BD6DDF8}">
            <xm:f>(60 * HOUR(Z8) + MINUTE(Z8)) &gt;(60 * HOUR(INDEX('1. Locais'!G2:G10,T8 + 1)) +MINUTE(INDEX('1. Locais'!G2:G10,T8 + 1)))</xm:f>
            <x14:dxf>
              <fill>
                <patternFill>
                  <bgColor indexed="10"/>
                </patternFill>
              </fill>
            </x14:dxf>
          </x14:cfRule>
          <xm:sqref>Z8</xm:sqref>
        </x14:conditionalFormatting>
        <x14:conditionalFormatting xmlns:xm="http://schemas.microsoft.com/office/excel/2006/main">
          <x14:cfRule type="cellIs" priority="55" stopIfTrue="1" operator="lessThan" id="{A808A7C9-562B-418B-8A5E-6EDBF5B2CCA5}">
            <xm:f>INDEX('1. Locais'!F2:F10,T9 + 1)</xm:f>
            <x14:dxf>
              <fill>
                <patternFill>
                  <bgColor indexed="52"/>
                </patternFill>
              </fill>
            </x14:dxf>
          </x14:cfRule>
          <xm:sqref>Y9</xm:sqref>
        </x14:conditionalFormatting>
        <x14:conditionalFormatting xmlns:xm="http://schemas.microsoft.com/office/excel/2006/main">
          <x14:cfRule type="expression" priority="56" stopIfTrue="1" id="{A444DDA6-F69A-4E61-ACFA-E12BBF659F1F}">
            <xm:f>(60 * HOUR(Y9) + MINUTE(Y9)) &gt;(60 * HOUR(INDEX('1. Locais'!G2:G10,T9 + 1)) +MINUTE(INDEX('1. Locais'!G2:G10,T9 + 1)))</xm:f>
            <x14:dxf>
              <fill>
                <patternFill>
                  <bgColor indexed="10"/>
                </patternFill>
              </fill>
            </x14:dxf>
          </x14:cfRule>
          <xm:sqref>Y9</xm:sqref>
        </x14:conditionalFormatting>
        <x14:conditionalFormatting xmlns:xm="http://schemas.microsoft.com/office/excel/2006/main">
          <x14:cfRule type="expression" priority="57" stopIfTrue="1" id="{23453AD0-36DE-4D00-91D4-3F76583FEA58}">
            <xm:f>(60 * HOUR(Z9) + MINUTE(Z9)) &gt;(60 * HOUR(INDEX('1. Locais'!G2:G10,T9 + 1)) +MINUTE(INDEX('1. Locais'!G2:G10,T9 + 1)))</xm:f>
            <x14:dxf>
              <fill>
                <patternFill>
                  <bgColor indexed="10"/>
                </patternFill>
              </fill>
            </x14:dxf>
          </x14:cfRule>
          <xm:sqref>Z9</xm:sqref>
        </x14:conditionalFormatting>
        <x14:conditionalFormatting xmlns:xm="http://schemas.microsoft.com/office/excel/2006/main">
          <x14:cfRule type="cellIs" priority="58" stopIfTrue="1" operator="lessThan" id="{B6609B5D-E16F-4C4A-A427-C235D5A56345}">
            <xm:f>INDEX('1. Locais'!F2:F10,T10 + 1)</xm:f>
            <x14:dxf>
              <fill>
                <patternFill>
                  <bgColor indexed="52"/>
                </patternFill>
              </fill>
            </x14:dxf>
          </x14:cfRule>
          <xm:sqref>Y10</xm:sqref>
        </x14:conditionalFormatting>
        <x14:conditionalFormatting xmlns:xm="http://schemas.microsoft.com/office/excel/2006/main">
          <x14:cfRule type="expression" priority="59" stopIfTrue="1" id="{AF7E0F6C-7DB9-4288-851B-AF4C4927A255}">
            <xm:f>(60 * HOUR(Y10) + MINUTE(Y10)) &gt;(60 * HOUR(INDEX('1. Locais'!G2:G10,T10 + 1)) +MINUTE(INDEX('1. Locais'!G2:G10,T10 + 1)))</xm:f>
            <x14:dxf>
              <fill>
                <patternFill>
                  <bgColor indexed="10"/>
                </patternFill>
              </fill>
            </x14:dxf>
          </x14:cfRule>
          <xm:sqref>Y10</xm:sqref>
        </x14:conditionalFormatting>
        <x14:conditionalFormatting xmlns:xm="http://schemas.microsoft.com/office/excel/2006/main">
          <x14:cfRule type="expression" priority="60" stopIfTrue="1" id="{517F5A7A-5A77-4468-B28B-0A9CA7C85671}">
            <xm:f>(60 * HOUR(Z10) + MINUTE(Z10)) &gt;(60 * HOUR(INDEX('1. Locais'!G2:G10,T10 + 1)) +MINUTE(INDEX('1. Locais'!G2:G10,T10 + 1)))</xm:f>
            <x14:dxf>
              <fill>
                <patternFill>
                  <bgColor indexed="10"/>
                </patternFill>
              </fill>
            </x14:dxf>
          </x14:cfRule>
          <xm:sqref>Z10</xm:sqref>
        </x14:conditionalFormatting>
        <x14:conditionalFormatting xmlns:xm="http://schemas.microsoft.com/office/excel/2006/main">
          <x14:cfRule type="cellIs" priority="61" stopIfTrue="1" operator="lessThan" id="{565BCF58-61E4-411C-B48C-2DB611CFFFD8}">
            <xm:f>INDEX('1. Locais'!F2:F10,T11 + 1)</xm:f>
            <x14:dxf>
              <fill>
                <patternFill>
                  <bgColor indexed="52"/>
                </patternFill>
              </fill>
            </x14:dxf>
          </x14:cfRule>
          <xm:sqref>Y11</xm:sqref>
        </x14:conditionalFormatting>
        <x14:conditionalFormatting xmlns:xm="http://schemas.microsoft.com/office/excel/2006/main">
          <x14:cfRule type="expression" priority="62" stopIfTrue="1" id="{54527556-8255-435F-8C6A-9ED49CC6D2D7}">
            <xm:f>(60 * HOUR(Y11) + MINUTE(Y11)) &gt;(60 * HOUR(INDEX('1. Locais'!G2:G10,T11 + 1)) +MINUTE(INDEX('1. Locais'!G2:G10,T11 + 1)))</xm:f>
            <x14:dxf>
              <fill>
                <patternFill>
                  <bgColor indexed="10"/>
                </patternFill>
              </fill>
            </x14:dxf>
          </x14:cfRule>
          <xm:sqref>Y11</xm:sqref>
        </x14:conditionalFormatting>
        <x14:conditionalFormatting xmlns:xm="http://schemas.microsoft.com/office/excel/2006/main">
          <x14:cfRule type="expression" priority="63" stopIfTrue="1" id="{E10443AD-2B5F-415E-8AB5-5629D8793C3C}">
            <xm:f>(60 * HOUR(Z11) + MINUTE(Z11)) &gt;(60 * HOUR(INDEX('1. Locais'!G2:G10,T11 + 1)) +MINUTE(INDEX('1. Locais'!G2:G10,T11 + 1)))</xm:f>
            <x14:dxf>
              <fill>
                <patternFill>
                  <bgColor indexed="10"/>
                </patternFill>
              </fill>
            </x14:dxf>
          </x14:cfRule>
          <xm:sqref>Z11</xm:sqref>
        </x14:conditionalFormatting>
        <x14:conditionalFormatting xmlns:xm="http://schemas.microsoft.com/office/excel/2006/main">
          <x14:cfRule type="cellIs" priority="64" stopIfTrue="1" operator="lessThan" id="{A941590A-E664-4DBE-9D74-BC1E6EB58612}">
            <xm:f>INDEX('1. Locais'!F2:F10,T12 + 1)</xm:f>
            <x14:dxf>
              <fill>
                <patternFill>
                  <bgColor indexed="52"/>
                </patternFill>
              </fill>
            </x14:dxf>
          </x14:cfRule>
          <xm:sqref>Y12</xm:sqref>
        </x14:conditionalFormatting>
        <x14:conditionalFormatting xmlns:xm="http://schemas.microsoft.com/office/excel/2006/main">
          <x14:cfRule type="expression" priority="65" stopIfTrue="1" id="{9D9D3C14-8DF3-4971-961D-967761677CD7}">
            <xm:f>(60 * HOUR(Y12) + MINUTE(Y12)) &gt;(60 * HOUR(INDEX('1. Locais'!G2:G10,T12 + 1)) +MINUTE(INDEX('1. Locais'!G2:G10,T12 + 1)))</xm:f>
            <x14:dxf>
              <fill>
                <patternFill>
                  <bgColor indexed="10"/>
                </patternFill>
              </fill>
            </x14:dxf>
          </x14:cfRule>
          <xm:sqref>Y12</xm:sqref>
        </x14:conditionalFormatting>
        <x14:conditionalFormatting xmlns:xm="http://schemas.microsoft.com/office/excel/2006/main">
          <x14:cfRule type="expression" priority="66" stopIfTrue="1" id="{08C0EF69-6E3C-4A39-9683-7196A1A2E3C1}">
            <xm:f>(60 * HOUR(Z12) + MINUTE(Z12)) &gt;(60 * HOUR(INDEX('1. Locais'!G2:G10,T12 + 1)) +MINUTE(INDEX('1. Locais'!G2:G10,T12 + 1)))</xm:f>
            <x14:dxf>
              <fill>
                <patternFill>
                  <bgColor indexed="10"/>
                </patternFill>
              </fill>
            </x14:dxf>
          </x14:cfRule>
          <xm:sqref>Z12</xm:sqref>
        </x14:conditionalFormatting>
        <x14:conditionalFormatting xmlns:xm="http://schemas.microsoft.com/office/excel/2006/main">
          <x14:cfRule type="cellIs" priority="67" stopIfTrue="1" operator="lessThan" id="{8CC7DDC6-F495-4B64-B5BA-EDBC516E0981}">
            <xm:f>INDEX('1. Locais'!F2:F10,T13 + 1)</xm:f>
            <x14:dxf>
              <fill>
                <patternFill>
                  <bgColor indexed="52"/>
                </patternFill>
              </fill>
            </x14:dxf>
          </x14:cfRule>
          <xm:sqref>Y13</xm:sqref>
        </x14:conditionalFormatting>
        <x14:conditionalFormatting xmlns:xm="http://schemas.microsoft.com/office/excel/2006/main">
          <x14:cfRule type="expression" priority="68" stopIfTrue="1" id="{A417B9D9-8FC2-42CA-BEB5-BD8580EB2572}">
            <xm:f>(60 * HOUR(Y13) + MINUTE(Y13)) &gt;(60 * HOUR(INDEX('1. Locais'!G2:G10,T13 + 1)) +MINUTE(INDEX('1. Locais'!G2:G10,T13 + 1)))</xm:f>
            <x14:dxf>
              <fill>
                <patternFill>
                  <bgColor indexed="10"/>
                </patternFill>
              </fill>
            </x14:dxf>
          </x14:cfRule>
          <xm:sqref>Y13</xm:sqref>
        </x14:conditionalFormatting>
        <x14:conditionalFormatting xmlns:xm="http://schemas.microsoft.com/office/excel/2006/main">
          <x14:cfRule type="expression" priority="69" stopIfTrue="1" id="{38F84C5B-7A54-407C-A1C9-26ABC9C56E03}">
            <xm:f>(60 * HOUR(Z13) + MINUTE(Z13)) &gt;(60 * HOUR(INDEX('1. Locais'!G2:G10,T13 + 1)) +MINUTE(INDEX('1. Locais'!G2:G10,T13 + 1)))</xm:f>
            <x14:dxf>
              <fill>
                <patternFill>
                  <bgColor indexed="10"/>
                </patternFill>
              </fill>
            </x14:dxf>
          </x14:cfRule>
          <xm:sqref>Z13</xm:sqref>
        </x14:conditionalFormatting>
        <x14:conditionalFormatting xmlns:xm="http://schemas.microsoft.com/office/excel/2006/main">
          <x14:cfRule type="cellIs" priority="70" stopIfTrue="1" operator="lessThan" id="{20C14CF2-2D6F-4763-9141-D9ADA064FCE5}">
            <xm:f>INDEX('1. Locais'!F2:F10,T14 + 1)</xm:f>
            <x14:dxf>
              <fill>
                <patternFill>
                  <bgColor indexed="52"/>
                </patternFill>
              </fill>
            </x14:dxf>
          </x14:cfRule>
          <xm:sqref>Y14</xm:sqref>
        </x14:conditionalFormatting>
        <x14:conditionalFormatting xmlns:xm="http://schemas.microsoft.com/office/excel/2006/main">
          <x14:cfRule type="expression" priority="71" stopIfTrue="1" id="{734760DA-AFEC-4E0F-B424-5D4325316BA5}">
            <xm:f>(60 * HOUR(Y14) + MINUTE(Y14)) &gt;(60 * HOUR(INDEX('1. Locais'!G2:G10,T14 + 1)) +MINUTE(INDEX('1. Locais'!G2:G10,T14 + 1)))</xm:f>
            <x14:dxf>
              <fill>
                <patternFill>
                  <bgColor indexed="10"/>
                </patternFill>
              </fill>
            </x14:dxf>
          </x14:cfRule>
          <xm:sqref>Y14</xm:sqref>
        </x14:conditionalFormatting>
        <x14:conditionalFormatting xmlns:xm="http://schemas.microsoft.com/office/excel/2006/main">
          <x14:cfRule type="expression" priority="72" stopIfTrue="1" id="{F257DB27-C190-429D-9152-35F6BEB5BC28}">
            <xm:f>(60 * HOUR(Z14) + MINUTE(Z14)) &gt;(60 * HOUR(INDEX('1. Locais'!G2:G10,T14 + 1)) +MINUTE(INDEX('1. Locais'!G2:G10,T14 + 1)))</xm:f>
            <x14:dxf>
              <fill>
                <patternFill>
                  <bgColor indexed="10"/>
                </patternFill>
              </fill>
            </x14:dxf>
          </x14:cfRule>
          <xm:sqref>Z14</xm:sqref>
        </x14:conditionalFormatting>
        <x14:conditionalFormatting xmlns:xm="http://schemas.microsoft.com/office/excel/2006/main">
          <x14:cfRule type="cellIs" priority="73" stopIfTrue="1" operator="greaterThan" id="{B05BEE6C-EAB7-4455-8676-F475D97A3A7E}">
            <xm:f>'3. Veículos'!$G$3</xm:f>
            <x14:dxf>
              <fill>
                <patternFill>
                  <bgColor indexed="10"/>
                </patternFill>
              </fill>
            </x14:dxf>
          </x14:cfRule>
          <xm:sqref>W6:W14</xm:sqref>
        </x14:conditionalFormatting>
        <x14:conditionalFormatting xmlns:xm="http://schemas.microsoft.com/office/excel/2006/main">
          <x14:cfRule type="cellIs" priority="74" stopIfTrue="1" operator="greaterThan" id="{9EF459FB-BC6D-48E9-B7AB-5621B519F1E2}">
            <xm:f>'3. Veículos'!$C$3</xm:f>
            <x14:dxf>
              <fill>
                <patternFill>
                  <bgColor indexed="10"/>
                </patternFill>
              </fill>
            </x14:dxf>
          </x14:cfRule>
          <xm:sqref>AG6:AG14</xm:sqref>
        </x14:conditionalFormatting>
        <x14:conditionalFormatting xmlns:xm="http://schemas.microsoft.com/office/excel/2006/main">
          <x14:cfRule type="cellIs" priority="76" stopIfTrue="1" operator="greaterThan" id="{078CDEA1-CFCE-4DCE-8A4E-7C08217FB8BA}">
            <xm:f>'3. Veículos'!$I$3</xm:f>
            <x14:dxf>
              <fill>
                <patternFill>
                  <bgColor indexed="10"/>
                </patternFill>
              </fill>
            </x14:dxf>
          </x14:cfRule>
          <xm:sqref>X6:X14</xm:sqref>
        </x14:conditionalFormatting>
        <x14:conditionalFormatting xmlns:xm="http://schemas.microsoft.com/office/excel/2006/main">
          <x14:cfRule type="cellIs" priority="77" stopIfTrue="1" operator="greaterThan" id="{1A9ACB44-A10B-4607-BF3A-42914F1DFAD5}">
            <xm:f>'3. Veículos'!$J$3</xm:f>
            <x14:dxf>
              <fill>
                <patternFill>
                  <bgColor indexed="10"/>
                </patternFill>
              </fill>
            </x14:dxf>
          </x14:cfRule>
          <xm:sqref>AA6:AA14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Atenção" error="Selecione um valor da lista disponível na célula selecionada." xr:uid="{50CF7BFB-B91A-4707-8C82-6707ABCCEA03}">
          <x14:formula1>
            <xm:f>'1. Locais'!$B$2:$B$11</xm:f>
          </x14:formula1>
          <xm:sqref>B6:B14</xm:sqref>
        </x14:dataValidation>
        <x14:dataValidation type="list" allowBlank="1" showInputMessage="1" showErrorMessage="1" errorTitle="Atenção" error="Selecione um valor da lista disponível na célula selecionada." xr:uid="{FCF6DDC3-6B18-498B-AE72-DC7179F90EE5}">
          <x14:formula1>
            <xm:f>'1. Locais'!$B$2:$B$11</xm:f>
          </x14:formula1>
          <xm:sqref>S6:S14</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3.1. Compatibilidade do veículo</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2021-07-12T12:55:57Z</dcterms:modified>
</cp:coreProperties>
</file>