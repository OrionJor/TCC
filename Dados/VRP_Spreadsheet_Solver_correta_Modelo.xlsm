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test\Dados\"/>
    </mc:Choice>
  </mc:AlternateContent>
  <xr:revisionPtr revIDLastSave="0" documentId="13_ncr:1_{7ECC2F68-7120-402A-8295-023577EB5977}" xr6:coauthVersionLast="47" xr6:coauthVersionMax="47" xr10:uidLastSave="{00000000-0000-0000-0000-000000000000}"/>
  <bookViews>
    <workbookView minimized="1" xWindow="4755" yWindow="735" windowWidth="12885" windowHeight="8235" tabRatio="705" activeTab="3" xr2:uid="{00000000-000D-0000-FFFF-FFFF00000000}"/>
  </bookViews>
  <sheets>
    <sheet name="VRP Solver Console" sheetId="231" r:id="rId1"/>
    <sheet name="MultiLanguageMenuItems" sheetId="232" state="hidden" r:id="rId2"/>
    <sheet name="MultiLanguageInterface" sheetId="233" state="hidden" r:id="rId3"/>
    <sheet name="1. Locais" sheetId="241" r:id="rId4"/>
    <sheet name="2. Distâncias" sheetId="242" r:id="rId5"/>
    <sheet name="3. Veículos" sheetId="243" r:id="rId6"/>
    <sheet name="4. Solução" sheetId="248" r:id="rId7"/>
    <sheet name="5.Visualização" sheetId="249"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48" l="1"/>
  <c r="I5" i="248"/>
  <c r="B5" i="248"/>
  <c r="L2" i="243"/>
  <c r="D25" i="242"/>
  <c r="D49" i="242"/>
  <c r="D73" i="242"/>
  <c r="D97" i="242"/>
  <c r="D121" i="242"/>
  <c r="D145" i="242"/>
  <c r="D169" i="242"/>
  <c r="D193" i="242"/>
  <c r="D217" i="242"/>
  <c r="D241" i="242"/>
  <c r="D265" i="242"/>
  <c r="D289" i="242"/>
  <c r="D313" i="242"/>
  <c r="D337" i="242"/>
  <c r="D361" i="242"/>
  <c r="D385" i="242"/>
  <c r="D409" i="242"/>
  <c r="D433" i="242"/>
  <c r="D457" i="242"/>
  <c r="D481" i="242"/>
  <c r="D505" i="242"/>
  <c r="D529" i="242"/>
  <c r="D24" i="242"/>
  <c r="D508" i="242"/>
  <c r="D507" i="242"/>
  <c r="D483" i="242"/>
  <c r="D528" i="242"/>
  <c r="D484" i="242"/>
  <c r="D459" i="242"/>
  <c r="D527" i="242"/>
  <c r="D461" i="242"/>
  <c r="D504" i="242"/>
  <c r="D460" i="242"/>
  <c r="D435" i="242"/>
  <c r="D526" i="242"/>
  <c r="D438" i="242"/>
  <c r="D503" i="242"/>
  <c r="D437" i="242"/>
  <c r="D480" i="242"/>
  <c r="D436" i="242"/>
  <c r="D411" i="242"/>
  <c r="D525" i="242"/>
  <c r="D415" i="242"/>
  <c r="D502" i="242"/>
  <c r="D414" i="242"/>
  <c r="D479" i="242"/>
  <c r="D413" i="242"/>
  <c r="D456" i="242"/>
  <c r="D412" i="242"/>
  <c r="D387" i="242"/>
  <c r="D524" i="242"/>
  <c r="D392" i="242"/>
  <c r="D501" i="242"/>
  <c r="D391" i="242"/>
  <c r="D478" i="242"/>
  <c r="D390" i="242"/>
  <c r="D455" i="242"/>
  <c r="D389" i="242"/>
  <c r="D432" i="242"/>
  <c r="D388" i="242"/>
  <c r="D363" i="242"/>
  <c r="D523" i="242"/>
  <c r="D369" i="242"/>
  <c r="D500" i="242"/>
  <c r="D368" i="242"/>
  <c r="D477" i="242"/>
  <c r="D367" i="242"/>
  <c r="D454" i="242"/>
  <c r="D366" i="242"/>
  <c r="D431" i="242"/>
  <c r="D365" i="242"/>
  <c r="D408" i="242"/>
  <c r="D364" i="242"/>
  <c r="D339" i="242"/>
  <c r="D522" i="242"/>
  <c r="D346" i="242"/>
  <c r="D499" i="242"/>
  <c r="D345" i="242"/>
  <c r="D476" i="242"/>
  <c r="D344" i="242"/>
  <c r="D453" i="242"/>
  <c r="D343" i="242"/>
  <c r="D430" i="242"/>
  <c r="D342" i="242"/>
  <c r="D407" i="242"/>
  <c r="D341" i="242"/>
  <c r="D384" i="242"/>
  <c r="D340" i="242"/>
  <c r="D315" i="242"/>
  <c r="D521" i="242"/>
  <c r="D323" i="242"/>
  <c r="D498" i="242"/>
  <c r="D322" i="242"/>
  <c r="D475" i="242"/>
  <c r="D321" i="242"/>
  <c r="D452" i="242"/>
  <c r="D320" i="242"/>
  <c r="D429" i="242"/>
  <c r="D319" i="242"/>
  <c r="D406" i="242"/>
  <c r="D318" i="242"/>
  <c r="D383" i="242"/>
  <c r="D317" i="242"/>
  <c r="D360" i="242"/>
  <c r="D316" i="242"/>
  <c r="D291" i="242"/>
  <c r="D520" i="242"/>
  <c r="D300" i="242"/>
  <c r="D497" i="242"/>
  <c r="D299" i="242"/>
  <c r="D474" i="242"/>
  <c r="D298" i="242"/>
  <c r="D451" i="242"/>
  <c r="D297" i="242"/>
  <c r="D428" i="242"/>
  <c r="D296" i="242"/>
  <c r="D405" i="242"/>
  <c r="D295" i="242"/>
  <c r="D382" i="242"/>
  <c r="D294" i="242"/>
  <c r="D359" i="242"/>
  <c r="D293" i="242"/>
  <c r="D336" i="242"/>
  <c r="D292" i="242"/>
  <c r="D267" i="242"/>
  <c r="D519" i="242"/>
  <c r="D277" i="242"/>
  <c r="D496" i="242"/>
  <c r="D276" i="242"/>
  <c r="D473" i="242"/>
  <c r="D275" i="242"/>
  <c r="D450" i="242"/>
  <c r="D274" i="242"/>
  <c r="D427" i="242"/>
  <c r="D273" i="242"/>
  <c r="D404" i="242"/>
  <c r="D272" i="242"/>
  <c r="D381" i="242"/>
  <c r="D271" i="242"/>
  <c r="D358" i="242"/>
  <c r="D270" i="242"/>
  <c r="D335" i="242"/>
  <c r="D269" i="242"/>
  <c r="D312" i="242"/>
  <c r="D268" i="242"/>
  <c r="D243" i="242"/>
  <c r="D518" i="242"/>
  <c r="D254" i="242"/>
  <c r="D495" i="242"/>
  <c r="D253" i="242"/>
  <c r="D472" i="242"/>
  <c r="D252" i="242"/>
  <c r="D449" i="242"/>
  <c r="D251" i="242"/>
  <c r="D426" i="242"/>
  <c r="D250" i="242"/>
  <c r="D403" i="242"/>
  <c r="D249" i="242"/>
  <c r="D380" i="242"/>
  <c r="D248" i="242"/>
  <c r="D357" i="242"/>
  <c r="D247" i="242"/>
  <c r="D334" i="242"/>
  <c r="D246" i="242"/>
  <c r="D311" i="242"/>
  <c r="D245" i="242"/>
  <c r="D288" i="242"/>
  <c r="D244" i="242"/>
  <c r="D219" i="242"/>
  <c r="D517" i="242"/>
  <c r="D231" i="242"/>
  <c r="D494" i="242"/>
  <c r="D230" i="242"/>
  <c r="D471" i="242"/>
  <c r="D229" i="242"/>
  <c r="D448" i="242"/>
  <c r="D228" i="242"/>
  <c r="D425" i="242"/>
  <c r="D227" i="242"/>
  <c r="D402" i="242"/>
  <c r="D226" i="242"/>
  <c r="D379" i="242"/>
  <c r="D225" i="242"/>
  <c r="D356" i="242"/>
  <c r="D224" i="242"/>
  <c r="D333" i="242"/>
  <c r="D223" i="242"/>
  <c r="D310" i="242"/>
  <c r="D222" i="242"/>
  <c r="D287" i="242"/>
  <c r="D221" i="242"/>
  <c r="D264" i="242"/>
  <c r="D220" i="242"/>
  <c r="D195" i="242"/>
  <c r="D516" i="242"/>
  <c r="D208" i="242"/>
  <c r="D493" i="242"/>
  <c r="D207" i="242"/>
  <c r="D470" i="242"/>
  <c r="D206" i="242"/>
  <c r="D447" i="242"/>
  <c r="D205" i="242"/>
  <c r="D424" i="242"/>
  <c r="D204" i="242"/>
  <c r="D401" i="242"/>
  <c r="D203" i="242"/>
  <c r="D378" i="242"/>
  <c r="D202" i="242"/>
  <c r="D355" i="242"/>
  <c r="D201" i="242"/>
  <c r="D332" i="242"/>
  <c r="D200" i="242"/>
  <c r="D309" i="242"/>
  <c r="D199" i="242"/>
  <c r="D286" i="242"/>
  <c r="D198" i="242"/>
  <c r="D263" i="242"/>
  <c r="D197" i="242"/>
  <c r="D240" i="242"/>
  <c r="D196" i="242"/>
  <c r="D171" i="242"/>
  <c r="D515" i="242"/>
  <c r="D185" i="242"/>
  <c r="D492" i="242"/>
  <c r="D184" i="242"/>
  <c r="D469" i="242"/>
  <c r="D183" i="242"/>
  <c r="D446" i="242"/>
  <c r="D182" i="242"/>
  <c r="D423" i="242"/>
  <c r="D181" i="242"/>
  <c r="D400" i="242"/>
  <c r="D180" i="242"/>
  <c r="D377" i="242"/>
  <c r="D179" i="242"/>
  <c r="D354" i="242"/>
  <c r="D178" i="242"/>
  <c r="D331" i="242"/>
  <c r="D177" i="242"/>
  <c r="D308" i="242"/>
  <c r="D176" i="242"/>
  <c r="D285" i="242"/>
  <c r="D175" i="242"/>
  <c r="D262" i="242"/>
  <c r="D174" i="242"/>
  <c r="D239" i="242"/>
  <c r="D173" i="242"/>
  <c r="D216" i="242"/>
  <c r="D172" i="242"/>
  <c r="D147" i="242"/>
  <c r="D514" i="242"/>
  <c r="D162" i="242"/>
  <c r="D491" i="242"/>
  <c r="D161" i="242"/>
  <c r="D468" i="242"/>
  <c r="D160" i="242"/>
  <c r="D445" i="242"/>
  <c r="D159" i="242"/>
  <c r="D422" i="242"/>
  <c r="D158" i="242"/>
  <c r="D399" i="242"/>
  <c r="D157" i="242"/>
  <c r="D376" i="242"/>
  <c r="D156" i="242"/>
  <c r="D353" i="242"/>
  <c r="D155" i="242"/>
  <c r="D330" i="242"/>
  <c r="D154" i="242"/>
  <c r="D307" i="242"/>
  <c r="D153" i="242"/>
  <c r="D284" i="242"/>
  <c r="D152" i="242"/>
  <c r="D261" i="242"/>
  <c r="D151" i="242"/>
  <c r="D238" i="242"/>
  <c r="D150" i="242"/>
  <c r="D215" i="242"/>
  <c r="D149" i="242"/>
  <c r="D192" i="242"/>
  <c r="D148" i="242"/>
  <c r="D123" i="242"/>
  <c r="D513" i="242"/>
  <c r="D139" i="242"/>
  <c r="D490" i="242"/>
  <c r="D138" i="242"/>
  <c r="D467" i="242"/>
  <c r="D137" i="242"/>
  <c r="D444" i="242"/>
  <c r="D136" i="242"/>
  <c r="D421" i="242"/>
  <c r="D135" i="242"/>
  <c r="D398" i="242"/>
  <c r="D134" i="242"/>
  <c r="D375" i="242"/>
  <c r="D133" i="242"/>
  <c r="D352" i="242"/>
  <c r="D132" i="242"/>
  <c r="D329" i="242"/>
  <c r="D131" i="242"/>
  <c r="D306" i="242"/>
  <c r="D130" i="242"/>
  <c r="D283" i="242"/>
  <c r="D129" i="242"/>
  <c r="D260" i="242"/>
  <c r="D128" i="242"/>
  <c r="D237" i="242"/>
  <c r="D127" i="242"/>
  <c r="D214" i="242"/>
  <c r="D126" i="242"/>
  <c r="D191" i="242"/>
  <c r="D125" i="242"/>
  <c r="D168" i="242"/>
  <c r="D124" i="242"/>
  <c r="D99" i="242"/>
  <c r="D512" i="242"/>
  <c r="D116" i="242"/>
  <c r="D489" i="242"/>
  <c r="D115" i="242"/>
  <c r="D466" i="242"/>
  <c r="D114" i="242"/>
  <c r="D443" i="242"/>
  <c r="D113" i="242"/>
  <c r="D420" i="242"/>
  <c r="D112" i="242"/>
  <c r="D397" i="242"/>
  <c r="D111" i="242"/>
  <c r="D374" i="242"/>
  <c r="D110" i="242"/>
  <c r="D351" i="242"/>
  <c r="D109" i="242"/>
  <c r="D328" i="242"/>
  <c r="D108" i="242"/>
  <c r="D305" i="242"/>
  <c r="D107" i="242"/>
  <c r="D282" i="242"/>
  <c r="D106" i="242"/>
  <c r="D259" i="242"/>
  <c r="D105" i="242"/>
  <c r="D236" i="242"/>
  <c r="D104" i="242"/>
  <c r="D213" i="242"/>
  <c r="D103" i="242"/>
  <c r="D190" i="242"/>
  <c r="D102" i="242"/>
  <c r="D167" i="242"/>
  <c r="D101" i="242"/>
  <c r="D144" i="242"/>
  <c r="D100" i="242"/>
  <c r="D75" i="242"/>
  <c r="D511" i="242"/>
  <c r="D93" i="242"/>
  <c r="D488" i="242"/>
  <c r="D92" i="242"/>
  <c r="D465" i="242"/>
  <c r="D91" i="242"/>
  <c r="D442" i="242"/>
  <c r="D90" i="242"/>
  <c r="D419" i="242"/>
  <c r="D89" i="242"/>
  <c r="D396" i="242"/>
  <c r="D88" i="242"/>
  <c r="D373" i="242"/>
  <c r="D87" i="242"/>
  <c r="D350" i="242"/>
  <c r="D86" i="242"/>
  <c r="D327" i="242"/>
  <c r="D85" i="242"/>
  <c r="D304" i="242"/>
  <c r="D84" i="242"/>
  <c r="D281" i="242"/>
  <c r="D83" i="242"/>
  <c r="D258" i="242"/>
  <c r="D82" i="242"/>
  <c r="D235" i="242"/>
  <c r="D81" i="242"/>
  <c r="D212" i="242"/>
  <c r="D80" i="242"/>
  <c r="D189" i="242"/>
  <c r="D79" i="242"/>
  <c r="D166" i="242"/>
  <c r="D78" i="242"/>
  <c r="D143" i="242"/>
  <c r="D77" i="242"/>
  <c r="D120" i="242"/>
  <c r="D76" i="242"/>
  <c r="D51" i="242"/>
  <c r="D510" i="242"/>
  <c r="D70" i="242"/>
  <c r="D487" i="242"/>
  <c r="D69" i="242"/>
  <c r="D464" i="242"/>
  <c r="D68" i="242"/>
  <c r="D441" i="242"/>
  <c r="D67" i="242"/>
  <c r="D418" i="242"/>
  <c r="D66" i="242"/>
  <c r="D395" i="242"/>
  <c r="D65" i="242"/>
  <c r="D372" i="242"/>
  <c r="D64" i="242"/>
  <c r="D349" i="242"/>
  <c r="D63" i="242"/>
  <c r="D326" i="242"/>
  <c r="D62" i="242"/>
  <c r="D303" i="242"/>
  <c r="D61" i="242"/>
  <c r="D280" i="242"/>
  <c r="D60" i="242"/>
  <c r="D257" i="242"/>
  <c r="D59" i="242"/>
  <c r="D234" i="242"/>
  <c r="D58" i="242"/>
  <c r="D211" i="242"/>
  <c r="D57" i="242"/>
  <c r="D188" i="242"/>
  <c r="D56" i="242"/>
  <c r="D165" i="242"/>
  <c r="D55" i="242"/>
  <c r="D142" i="242"/>
  <c r="D54" i="242"/>
  <c r="D119" i="242"/>
  <c r="D53" i="242"/>
  <c r="D96" i="242"/>
  <c r="D52" i="242"/>
  <c r="D27" i="242"/>
  <c r="D509" i="242"/>
  <c r="D47" i="242"/>
  <c r="D486" i="242"/>
  <c r="D46" i="242"/>
  <c r="D463" i="242"/>
  <c r="D45" i="242"/>
  <c r="D440" i="242"/>
  <c r="D44" i="242"/>
  <c r="D417" i="242"/>
  <c r="D43" i="242"/>
  <c r="D394" i="242"/>
  <c r="D42" i="242"/>
  <c r="D371" i="242"/>
  <c r="D41" i="242"/>
  <c r="D348" i="242"/>
  <c r="D40" i="242"/>
  <c r="D325" i="242"/>
  <c r="D39" i="242"/>
  <c r="D302" i="242"/>
  <c r="D38" i="242"/>
  <c r="D279" i="242"/>
  <c r="D37" i="242"/>
  <c r="D256" i="242"/>
  <c r="D36" i="242"/>
  <c r="D233" i="242"/>
  <c r="D35" i="242"/>
  <c r="D210" i="242"/>
  <c r="D34" i="242"/>
  <c r="D187" i="242"/>
  <c r="D33" i="242"/>
  <c r="D164" i="242"/>
  <c r="D32" i="242"/>
  <c r="D141" i="242"/>
  <c r="D31" i="242"/>
  <c r="D118" i="242"/>
  <c r="D30" i="242"/>
  <c r="D95" i="242"/>
  <c r="D29" i="242"/>
  <c r="D72" i="242"/>
  <c r="D28" i="242"/>
  <c r="D3" i="242"/>
  <c r="D485" i="242"/>
  <c r="D23" i="242"/>
  <c r="D462" i="242"/>
  <c r="D22" i="242"/>
  <c r="D439" i="242"/>
  <c r="D21" i="242"/>
  <c r="D416" i="242"/>
  <c r="D20" i="242"/>
  <c r="D393" i="242"/>
  <c r="D19" i="242"/>
  <c r="D370" i="242"/>
  <c r="D18" i="242"/>
  <c r="D347" i="242"/>
  <c r="D17" i="242"/>
  <c r="D324" i="242"/>
  <c r="D16" i="242"/>
  <c r="D301" i="242"/>
  <c r="D15" i="242"/>
  <c r="D278" i="242"/>
  <c r="D14" i="242"/>
  <c r="D255" i="242"/>
  <c r="D13" i="242"/>
  <c r="D232" i="242"/>
  <c r="D12" i="242"/>
  <c r="D209" i="242"/>
  <c r="D11" i="242"/>
  <c r="D186" i="242"/>
  <c r="D10" i="242"/>
  <c r="D163" i="242"/>
  <c r="D9" i="242"/>
  <c r="D140" i="242"/>
  <c r="D8" i="242"/>
  <c r="D117" i="242"/>
  <c r="D7" i="242"/>
  <c r="D94" i="242"/>
  <c r="D6" i="242"/>
  <c r="D71" i="242"/>
  <c r="D5" i="242"/>
  <c r="D48" i="242"/>
  <c r="D4" i="242"/>
  <c r="D24" i="231"/>
  <c r="C21" i="248"/>
  <c r="C13" i="248"/>
  <c r="C6" i="248"/>
  <c r="C22" i="248"/>
  <c r="C15" i="248"/>
  <c r="C8" i="248"/>
  <c r="C23" i="248"/>
  <c r="C16" i="248"/>
  <c r="C10" i="248"/>
  <c r="C24" i="248"/>
  <c r="C5" i="248"/>
  <c r="C12" i="248"/>
  <c r="C17" i="248"/>
  <c r="C14" i="248"/>
  <c r="C26" i="248"/>
  <c r="C18" i="248"/>
  <c r="C7" i="248"/>
  <c r="C27" i="248"/>
  <c r="C19" i="248"/>
  <c r="C9" i="248"/>
  <c r="C28" i="248"/>
  <c r="C20" i="248"/>
  <c r="C11" i="248"/>
  <c r="C25" i="248"/>
  <c r="L6" i="248" l="1"/>
  <c r="N6" i="248" s="1"/>
  <c r="H6" i="248"/>
  <c r="I6" i="248" s="1"/>
  <c r="J6" i="248" s="1"/>
  <c r="F6" i="248"/>
  <c r="D6" i="248"/>
  <c r="M6" i="248"/>
  <c r="E6" i="248"/>
  <c r="K6" i="248"/>
  <c r="K7" i="248" s="1"/>
  <c r="K8" i="248" s="1"/>
  <c r="K9" i="248" s="1"/>
  <c r="K10" i="248" s="1"/>
  <c r="K11" i="248" s="1"/>
  <c r="G6" i="248"/>
  <c r="G7" i="248" s="1"/>
  <c r="G8" i="248" s="1"/>
  <c r="G9" i="248" s="1"/>
  <c r="G10" i="248" s="1"/>
  <c r="G11" i="248" s="1"/>
  <c r="L8" i="248"/>
  <c r="D8" i="248"/>
  <c r="M8" i="248"/>
  <c r="E8" i="248"/>
  <c r="L10" i="248"/>
  <c r="D10" i="248"/>
  <c r="M10" i="248"/>
  <c r="E10" i="248"/>
  <c r="O10" i="248"/>
  <c r="O9" i="248" s="1"/>
  <c r="P12" i="248"/>
  <c r="N12" i="248"/>
  <c r="L12" i="248"/>
  <c r="H12" i="248"/>
  <c r="I12" i="248" s="1"/>
  <c r="J12" i="248" s="1"/>
  <c r="F12" i="248"/>
  <c r="D12" i="248"/>
  <c r="M12" i="248"/>
  <c r="E12" i="248"/>
  <c r="O12" i="248"/>
  <c r="K12" i="248"/>
  <c r="G12" i="248"/>
  <c r="P14" i="248"/>
  <c r="N14" i="248"/>
  <c r="L14" i="248"/>
  <c r="H14" i="248"/>
  <c r="I14" i="248" s="1"/>
  <c r="J14" i="248" s="1"/>
  <c r="F14" i="248"/>
  <c r="D14" i="248"/>
  <c r="M14" i="248"/>
  <c r="E14" i="248"/>
  <c r="O14" i="248"/>
  <c r="K14" i="248"/>
  <c r="G14" i="248"/>
  <c r="L7" i="248"/>
  <c r="F7" i="248"/>
  <c r="F8" i="248" s="1"/>
  <c r="F9" i="248" s="1"/>
  <c r="F10" i="248" s="1"/>
  <c r="F11" i="248" s="1"/>
  <c r="D7" i="248"/>
  <c r="M7" i="248"/>
  <c r="E7" i="248"/>
  <c r="L9" i="248"/>
  <c r="D9" i="248"/>
  <c r="M9" i="248"/>
  <c r="E9" i="248"/>
  <c r="N11" i="248"/>
  <c r="L11" i="248"/>
  <c r="D11" i="248"/>
  <c r="O11" i="248"/>
  <c r="M11" i="248"/>
  <c r="E11" i="248"/>
  <c r="P13" i="248"/>
  <c r="N13" i="248"/>
  <c r="L13" i="248"/>
  <c r="H13" i="248"/>
  <c r="F13" i="248"/>
  <c r="D13" i="248"/>
  <c r="O13" i="248"/>
  <c r="K13" i="248"/>
  <c r="G13" i="248"/>
  <c r="M13" i="248"/>
  <c r="E13" i="248"/>
  <c r="P15" i="248"/>
  <c r="N15" i="248"/>
  <c r="L15" i="248"/>
  <c r="H15" i="248"/>
  <c r="I15" i="248" s="1"/>
  <c r="J15" i="248" s="1"/>
  <c r="F15" i="248"/>
  <c r="D15" i="248"/>
  <c r="O15" i="248"/>
  <c r="M15" i="248"/>
  <c r="K15" i="248"/>
  <c r="G15" i="248"/>
  <c r="E15" i="248"/>
  <c r="O16" i="248"/>
  <c r="M16" i="248"/>
  <c r="K16" i="248"/>
  <c r="P16" i="248"/>
  <c r="L16" i="248"/>
  <c r="H16" i="248"/>
  <c r="F16" i="248"/>
  <c r="D16" i="248"/>
  <c r="N16" i="248"/>
  <c r="G16" i="248"/>
  <c r="E16" i="248"/>
  <c r="I16" i="248"/>
  <c r="J16" i="248" s="1"/>
  <c r="E5" i="248"/>
  <c r="I13" i="248"/>
  <c r="J13" i="248" s="1"/>
  <c r="D5" i="248"/>
  <c r="O17" i="248"/>
  <c r="M17" i="248"/>
  <c r="K17" i="248"/>
  <c r="G17" i="248"/>
  <c r="E17" i="248"/>
  <c r="N17" i="248"/>
  <c r="F17" i="248"/>
  <c r="P17" i="248"/>
  <c r="L17" i="248"/>
  <c r="H17" i="248"/>
  <c r="I17" i="248" s="1"/>
  <c r="J17" i="248" s="1"/>
  <c r="D17" i="248"/>
  <c r="O18" i="248"/>
  <c r="M18" i="248"/>
  <c r="K18" i="248"/>
  <c r="G18" i="248"/>
  <c r="E18" i="248"/>
  <c r="P18" i="248"/>
  <c r="L18" i="248"/>
  <c r="H18" i="248"/>
  <c r="I18" i="248" s="1"/>
  <c r="J18" i="248" s="1"/>
  <c r="D18" i="248"/>
  <c r="N18" i="248"/>
  <c r="F18" i="248"/>
  <c r="O19" i="248"/>
  <c r="M19" i="248"/>
  <c r="K19" i="248"/>
  <c r="G19" i="248"/>
  <c r="E19" i="248"/>
  <c r="N19" i="248"/>
  <c r="F19" i="248"/>
  <c r="P19" i="248"/>
  <c r="L19" i="248"/>
  <c r="H19" i="248"/>
  <c r="I19" i="248" s="1"/>
  <c r="J19" i="248" s="1"/>
  <c r="D19" i="248"/>
  <c r="O20" i="248"/>
  <c r="M20" i="248"/>
  <c r="K20" i="248"/>
  <c r="G20" i="248"/>
  <c r="E20" i="248"/>
  <c r="P20" i="248"/>
  <c r="L20" i="248"/>
  <c r="H20" i="248"/>
  <c r="I20" i="248" s="1"/>
  <c r="J20" i="248" s="1"/>
  <c r="D20" i="248"/>
  <c r="N20" i="248"/>
  <c r="F20" i="248"/>
  <c r="O21" i="248"/>
  <c r="M21" i="248"/>
  <c r="K21" i="248"/>
  <c r="G21" i="248"/>
  <c r="E21" i="248"/>
  <c r="N21" i="248"/>
  <c r="F21" i="248"/>
  <c r="P21" i="248"/>
  <c r="L21" i="248"/>
  <c r="H21" i="248"/>
  <c r="I21" i="248" s="1"/>
  <c r="J21" i="248" s="1"/>
  <c r="D21" i="248"/>
  <c r="O22" i="248"/>
  <c r="M22" i="248"/>
  <c r="K22" i="248"/>
  <c r="G22" i="248"/>
  <c r="E22" i="248"/>
  <c r="P22" i="248"/>
  <c r="L22" i="248"/>
  <c r="H22" i="248"/>
  <c r="I22" i="248" s="1"/>
  <c r="J22" i="248" s="1"/>
  <c r="D22" i="248"/>
  <c r="N22" i="248"/>
  <c r="F22" i="248"/>
  <c r="O23" i="248"/>
  <c r="M23" i="248"/>
  <c r="K23" i="248"/>
  <c r="G23" i="248"/>
  <c r="E23" i="248"/>
  <c r="N23" i="248"/>
  <c r="F23" i="248"/>
  <c r="P23" i="248"/>
  <c r="L23" i="248"/>
  <c r="H23" i="248"/>
  <c r="I23" i="248" s="1"/>
  <c r="J23" i="248" s="1"/>
  <c r="D23" i="248"/>
  <c r="O24" i="248"/>
  <c r="M24" i="248"/>
  <c r="K24" i="248"/>
  <c r="G24" i="248"/>
  <c r="E24" i="248"/>
  <c r="P24" i="248"/>
  <c r="L24" i="248"/>
  <c r="H24" i="248"/>
  <c r="I24" i="248" s="1"/>
  <c r="J24" i="248" s="1"/>
  <c r="D24" i="248"/>
  <c r="N24" i="248"/>
  <c r="F24" i="248"/>
  <c r="O25" i="248"/>
  <c r="M25" i="248"/>
  <c r="K25" i="248"/>
  <c r="G25" i="248"/>
  <c r="E25" i="248"/>
  <c r="N25" i="248"/>
  <c r="F25" i="248"/>
  <c r="P25" i="248"/>
  <c r="L25" i="248"/>
  <c r="H25" i="248"/>
  <c r="I25" i="248" s="1"/>
  <c r="J25" i="248" s="1"/>
  <c r="D25" i="248"/>
  <c r="O26" i="248"/>
  <c r="M26" i="248"/>
  <c r="K26" i="248"/>
  <c r="G26" i="248"/>
  <c r="E26" i="248"/>
  <c r="P26" i="248"/>
  <c r="L26" i="248"/>
  <c r="H26" i="248"/>
  <c r="I26" i="248" s="1"/>
  <c r="J26" i="248" s="1"/>
  <c r="D26" i="248"/>
  <c r="N26" i="248"/>
  <c r="F26" i="248"/>
  <c r="O27" i="248"/>
  <c r="M27" i="248"/>
  <c r="K27" i="248"/>
  <c r="G27" i="248"/>
  <c r="E27" i="248"/>
  <c r="N27" i="248"/>
  <c r="F27" i="248"/>
  <c r="P27" i="248"/>
  <c r="L27" i="248"/>
  <c r="H27" i="248"/>
  <c r="I27" i="248" s="1"/>
  <c r="J27" i="248" s="1"/>
  <c r="D27" i="248"/>
  <c r="O28" i="248"/>
  <c r="M28" i="248"/>
  <c r="K28" i="248"/>
  <c r="G28" i="248"/>
  <c r="E28" i="248"/>
  <c r="P28" i="248"/>
  <c r="L28" i="248"/>
  <c r="H28" i="248"/>
  <c r="I28" i="248" s="1"/>
  <c r="J28" i="248" s="1"/>
  <c r="D28" i="248"/>
  <c r="N28" i="248"/>
  <c r="F28" i="248"/>
  <c r="I3" i="248"/>
  <c r="O8" i="248" l="1"/>
  <c r="O7" i="248" s="1"/>
  <c r="O6" i="248" s="1"/>
  <c r="O5" i="248" s="1"/>
  <c r="P5" i="248" s="1"/>
  <c r="P11" i="248"/>
  <c r="N7" i="248"/>
  <c r="N8" i="248" s="1"/>
  <c r="B1" i="248"/>
  <c r="P7" i="248"/>
  <c r="H7" i="248"/>
  <c r="I7" i="248" s="1"/>
  <c r="P6" i="248" l="1"/>
  <c r="N9" i="248"/>
  <c r="N10" i="248" s="1"/>
  <c r="P10" i="248" s="1"/>
  <c r="P8" i="248"/>
  <c r="J7" i="248"/>
  <c r="H8" i="248"/>
  <c r="I8" i="248" s="1"/>
  <c r="P9" i="248"/>
  <c r="J8" i="248" l="1"/>
  <c r="H9" i="248"/>
  <c r="I9" i="248" s="1"/>
  <c r="J9" i="248" l="1"/>
  <c r="H10" i="248"/>
  <c r="I10" i="248" s="1"/>
  <c r="J10" i="248" l="1"/>
  <c r="H11" i="248"/>
  <c r="I11" i="248" s="1"/>
  <c r="J11" i="248" s="1"/>
</calcChain>
</file>

<file path=xl/sharedStrings.xml><?xml version="1.0" encoding="utf-8"?>
<sst xmlns="http://schemas.openxmlformats.org/spreadsheetml/2006/main" count="5476" uniqueCount="4047">
  <si>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</si>
  <si>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</si>
  <si>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</si>
  <si>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</si>
  <si>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</si>
  <si>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</si>
  <si>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</si>
  <si>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</si>
  <si>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</si>
  <si>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</si>
  <si>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</si>
  <si>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</si>
  <si>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</si>
  <si>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</si>
  <si>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</si>
  <si>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</si>
  <si>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</si>
  <si>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</si>
  <si>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</si>
  <si>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</si>
  <si>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</si>
  <si>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</si>
  <si>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</si>
  <si>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</si>
  <si>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</si>
  <si>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</si>
  <si>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</si>
  <si>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</si>
  <si>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</si>
  <si>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</si>
  <si>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</si>
  <si>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</si>
  <si>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</si>
  <si>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</si>
  <si>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</si>
  <si>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</si>
  <si>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</si>
  <si>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</si>
  <si>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</si>
  <si>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</si>
  <si>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</si>
  <si>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</si>
  <si>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</si>
  <si>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</si>
  <si>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</si>
  <si>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</si>
  <si>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</si>
  <si>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</si>
  <si>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</si>
  <si>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</si>
  <si>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</si>
  <si>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</si>
  <si>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</si>
  <si>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</si>
  <si>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</si>
  <si>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</si>
  <si>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</si>
  <si>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</si>
  <si>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</si>
  <si>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</si>
  <si>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</si>
  <si>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</si>
  <si>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</si>
  <si>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</si>
  <si>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</si>
  <si>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</si>
  <si>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</si>
  <si>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</si>
  <si>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</si>
  <si>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</si>
  <si>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</si>
  <si>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</si>
  <si>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</si>
  <si>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</si>
  <si>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</si>
  <si>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</si>
  <si>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</si>
  <si>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</si>
  <si>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</si>
  <si>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</si>
  <si>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</si>
  <si>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</si>
  <si>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</si>
  <si>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</si>
  <si>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</si>
  <si>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</si>
  <si>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</si>
  <si>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</si>
  <si>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</si>
  <si>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</si>
  <si>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</si>
  <si>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</si>
  <si>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</si>
  <si>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</si>
  <si>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</si>
  <si>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</si>
  <si>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</si>
  <si>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</si>
  <si>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</si>
  <si>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</si>
  <si>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</si>
  <si>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</si>
  <si>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</si>
  <si>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</si>
  <si>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</si>
  <si>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</si>
  <si>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</si>
  <si>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</si>
  <si>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</si>
  <si>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</si>
  <si>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</si>
  <si>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</si>
  <si>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</si>
  <si>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</si>
  <si>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</si>
  <si>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</si>
  <si>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</si>
  <si>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</si>
  <si>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</si>
  <si>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</si>
  <si>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</si>
  <si>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</si>
  <si>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</si>
  <si>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</si>
  <si>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</si>
  <si>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</si>
  <si>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</si>
  <si>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</si>
  <si>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</si>
  <si>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</si>
  <si>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</si>
  <si>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</si>
  <si>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</si>
  <si>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</si>
  <si>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</si>
  <si>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</si>
  <si>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</si>
  <si>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</si>
  <si>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</si>
  <si>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</si>
  <si>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</si>
  <si>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</si>
  <si>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</si>
  <si>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</si>
  <si>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</si>
  <si>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</si>
  <si>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</si>
  <si>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</si>
  <si>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</si>
  <si>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</si>
  <si>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</si>
  <si>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</si>
  <si>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</si>
  <si>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</si>
  <si>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</si>
  <si>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</si>
  <si>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</si>
  <si>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</si>
  <si>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</si>
  <si>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</si>
  <si>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</si>
  <si>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</si>
  <si>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</si>
  <si>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</si>
  <si>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</si>
  <si>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</si>
  <si>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</si>
  <si>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</si>
  <si>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</si>
  <si>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</si>
  <si>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</si>
  <si>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</si>
  <si>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</si>
  <si>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</si>
  <si>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</si>
  <si>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</si>
  <si>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</si>
  <si>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</si>
  <si>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</si>
  <si>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</si>
  <si>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</si>
  <si>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</si>
  <si>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</si>
  <si>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</si>
  <si>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</si>
  <si>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</si>
  <si>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</si>
  <si>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</si>
  <si>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</si>
  <si>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</si>
  <si>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</si>
  <si>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</si>
  <si>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</si>
  <si>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</si>
  <si>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</si>
  <si>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</si>
  <si>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</si>
  <si>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</si>
  <si>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</si>
  <si>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</si>
  <si>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</si>
  <si>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</si>
  <si>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</si>
  <si>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</si>
  <si>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</si>
  <si>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</si>
  <si>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</si>
  <si>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</si>
  <si>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</si>
  <si>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</si>
  <si>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</si>
  <si>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</si>
  <si>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</si>
  <si>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</si>
  <si>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</si>
  <si>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</si>
  <si>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</si>
  <si>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</si>
  <si>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</si>
  <si>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</si>
  <si>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</si>
  <si>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</si>
  <si>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</si>
  <si>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</si>
  <si>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</si>
  <si>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</si>
  <si>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</si>
  <si>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</si>
  <si>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</si>
  <si>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</si>
  <si>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</si>
  <si>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</si>
  <si>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</si>
  <si>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</si>
  <si>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</si>
  <si>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</si>
  <si>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</si>
  <si>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</si>
  <si>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</si>
  <si>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</si>
  <si>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</si>
  <si>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</si>
  <si>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</si>
  <si>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</si>
  <si>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</si>
  <si>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</si>
  <si>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</si>
  <si>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</si>
  <si>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</si>
  <si>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</si>
  <si>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</si>
  <si>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</si>
  <si>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</si>
  <si>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</si>
  <si>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</si>
  <si>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</si>
  <si>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</si>
  <si>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</si>
  <si>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</si>
  <si>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</si>
  <si>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</si>
  <si>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</si>
  <si>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</si>
  <si>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</si>
  <si>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</si>
  <si>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</si>
  <si>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</si>
  <si>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</si>
  <si>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</si>
  <si>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</si>
  <si>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</si>
  <si>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</si>
  <si>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</si>
  <si>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</si>
  <si>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</si>
  <si>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</si>
  <si>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</si>
  <si>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</si>
  <si>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</si>
  <si>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</si>
  <si>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</si>
  <si>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</si>
  <si>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</si>
  <si>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</si>
  <si>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</si>
  <si>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</si>
  <si>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</si>
  <si>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</si>
  <si>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</si>
  <si>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</si>
  <si>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</si>
  <si>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</si>
  <si>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</si>
  <si>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</si>
  <si>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</si>
  <si>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</si>
  <si>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</si>
  <si>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</si>
  <si>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</si>
  <si>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</si>
  <si>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</si>
  <si>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</si>
  <si>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</si>
  <si>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</si>
  <si>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</si>
  <si>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</si>
  <si>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</si>
  <si>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</si>
  <si>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</si>
  <si>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</si>
  <si>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</si>
  <si>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</si>
  <si>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</si>
  <si>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</si>
  <si>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</si>
  <si>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</si>
  <si>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</si>
  <si>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</si>
  <si>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</si>
  <si>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</si>
  <si>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</si>
  <si>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</si>
  <si>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</si>
  <si>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</si>
  <si>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</si>
  <si>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</si>
  <si>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</si>
  <si>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</si>
  <si>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</si>
  <si>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</si>
  <si>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</si>
  <si>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</si>
  <si>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</si>
  <si>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</si>
  <si>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</si>
  <si>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</si>
  <si>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</si>
  <si>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</si>
  <si>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</si>
  <si>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</si>
  <si>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</si>
  <si>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</si>
  <si>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</si>
  <si>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</si>
  <si>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</si>
  <si>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</si>
  <si>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</si>
  <si>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</si>
  <si>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</si>
  <si>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</si>
  <si>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</si>
  <si>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</si>
  <si>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</si>
  <si>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</si>
  <si>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</si>
  <si>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</si>
  <si>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</si>
  <si>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</si>
  <si>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</si>
  <si>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</si>
  <si>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</si>
  <si>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</si>
  <si>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</si>
  <si>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</si>
  <si>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</si>
  <si>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</si>
  <si>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</si>
  <si>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</si>
  <si>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</si>
  <si>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</si>
  <si>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</si>
  <si>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</si>
  <si>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</si>
  <si>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</si>
  <si>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</si>
  <si>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</si>
  <si>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</si>
  <si>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</si>
  <si>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</si>
  <si>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</si>
  <si>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</si>
  <si>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</si>
  <si>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</si>
  <si>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</si>
  <si>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</si>
  <si>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</si>
  <si>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</si>
  <si>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</si>
  <si>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</si>
  <si>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</si>
  <si>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</si>
  <si>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</si>
  <si>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</si>
  <si>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</si>
  <si>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</si>
  <si>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</si>
  <si>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</si>
  <si>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</si>
  <si>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</si>
  <si>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</si>
  <si>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</si>
  <si>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</si>
  <si>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</si>
  <si>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</si>
  <si>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</si>
  <si>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</si>
  <si>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</si>
  <si>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</si>
  <si>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</si>
  <si>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</si>
  <si>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</si>
  <si>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</si>
  <si>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</si>
  <si>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</si>
  <si>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</si>
  <si>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</si>
  <si>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</si>
  <si>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</si>
  <si>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</si>
  <si>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</si>
  <si>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</si>
  <si>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</si>
  <si>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</si>
  <si>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</si>
  <si>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</si>
  <si>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</si>
  <si>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</si>
  <si>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</si>
  <si>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</si>
  <si>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</si>
  <si>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</si>
  <si>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</si>
  <si>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</si>
  <si>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</si>
  <si>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</si>
  <si>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</si>
  <si>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</si>
  <si>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</si>
  <si>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</si>
  <si>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</si>
  <si>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</si>
  <si>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</si>
  <si>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</si>
  <si>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</si>
  <si>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</si>
  <si>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</si>
  <si>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</si>
  <si>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</si>
  <si>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</si>
  <si>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</si>
  <si>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</si>
  <si>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</si>
  <si>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</si>
  <si>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</si>
  <si>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</si>
  <si>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</si>
  <si>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</si>
  <si>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</si>
  <si>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</si>
  <si>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</si>
  <si>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</si>
  <si>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</si>
  <si>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</si>
  <si>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</si>
  <si>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</si>
  <si>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</si>
  <si>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</si>
  <si>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</si>
  <si>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</si>
  <si>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</si>
  <si>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</si>
  <si>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</si>
  <si>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</si>
  <si>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</si>
  <si>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</si>
  <si>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</si>
  <si>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</si>
  <si>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</si>
  <si>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</si>
  <si>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</si>
  <si>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</si>
  <si>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</si>
  <si>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</si>
  <si>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</si>
  <si>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</si>
  <si>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</si>
  <si>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</si>
  <si>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</si>
  <si>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</si>
  <si>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</si>
  <si>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</si>
  <si>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</si>
  <si>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</si>
  <si>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</si>
  <si>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</si>
  <si>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</si>
  <si>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</si>
  <si>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</si>
  <si>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</si>
  <si>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</si>
  <si>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</si>
  <si>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</si>
  <si>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</si>
  <si>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</si>
  <si>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</si>
  <si>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</si>
  <si>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</si>
  <si>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</si>
  <si>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</si>
  <si>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</si>
  <si>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</si>
  <si>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</si>
  <si>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</si>
  <si>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</si>
  <si>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</si>
  <si>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</si>
  <si>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</si>
  <si>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</si>
  <si>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</si>
  <si>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</si>
  <si>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</si>
  <si>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</si>
  <si>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</si>
  <si>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</si>
  <si>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</si>
  <si>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</si>
  <si>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</si>
  <si>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</si>
  <si>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</si>
  <si>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</si>
  <si>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</si>
  <si>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</si>
  <si>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</si>
  <si>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</si>
  <si>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</si>
  <si>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</si>
  <si>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</si>
  <si>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</si>
  <si>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</si>
  <si>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</si>
  <si>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</si>
  <si>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</si>
  <si>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</si>
  <si>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</si>
  <si>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</si>
  <si>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</si>
  <si>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</si>
  <si>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</si>
  <si>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</si>
  <si>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</si>
  <si>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</si>
  <si>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</si>
  <si>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</si>
  <si>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</si>
  <si>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</si>
  <si>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</si>
  <si>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</si>
  <si>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</si>
  <si>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</si>
  <si>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</si>
  <si>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</si>
  <si>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</si>
  <si>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</si>
  <si>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</si>
  <si>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</si>
  <si>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</si>
  <si>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</si>
  <si>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</si>
  <si>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</si>
  <si>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</si>
  <si>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</si>
  <si>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</si>
  <si>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</si>
  <si>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</si>
  <si>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</si>
  <si>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</si>
  <si>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</si>
  <si>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</si>
  <si>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</si>
  <si>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</si>
  <si>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</si>
  <si>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</si>
  <si>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</si>
  <si>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</si>
  <si>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</si>
  <si>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</si>
  <si>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</si>
  <si>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</si>
  <si>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</si>
  <si>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</si>
  <si>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</si>
  <si>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</si>
  <si>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</si>
  <si>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</si>
  <si>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</si>
  <si>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</si>
  <si>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</si>
  <si>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</si>
  <si>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</si>
  <si>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</si>
  <si>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</si>
  <si>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</si>
  <si>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</si>
  <si>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</si>
  <si>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</si>
  <si>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</si>
  <si>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</si>
  <si>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</si>
  <si>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</si>
  <si>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</si>
  <si>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</si>
  <si>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</si>
  <si>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</si>
  <si>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</si>
  <si>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</si>
  <si>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</si>
  <si>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</si>
  <si>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</si>
  <si>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</si>
  <si>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</si>
  <si>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</si>
  <si>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</si>
  <si>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</si>
  <si>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</si>
  <si>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</si>
  <si>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</si>
  <si>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</si>
  <si>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</si>
  <si>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</si>
  <si>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</si>
  <si>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</si>
  <si>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</si>
  <si>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</si>
  <si>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</si>
  <si>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</si>
  <si>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</si>
  <si>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</si>
  <si>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</si>
  <si>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</si>
  <si>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</si>
  <si>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</si>
  <si>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</si>
  <si>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</si>
  <si>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</si>
  <si>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</si>
  <si>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</si>
  <si>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</si>
  <si>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</si>
  <si>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</si>
  <si>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</si>
  <si>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</si>
  <si>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</si>
  <si>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</si>
  <si>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</si>
  <si>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</si>
  <si>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</si>
  <si>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</si>
  <si>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</si>
  <si>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</si>
  <si>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</si>
  <si>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</si>
  <si>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</si>
  <si>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</si>
  <si>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</si>
  <si>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</si>
  <si>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</si>
  <si>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</si>
  <si>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</si>
  <si>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</si>
  <si>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</si>
  <si>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</si>
  <si>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</si>
  <si>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</si>
  <si>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</si>
  <si>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</si>
  <si>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</si>
  <si>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</si>
  <si>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</si>
  <si>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</si>
  <si>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</si>
  <si>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</si>
  <si>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</si>
  <si>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</si>
  <si>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</si>
  <si>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</si>
  <si>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</si>
  <si>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</si>
  <si>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</si>
  <si>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</si>
  <si>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</si>
  <si>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</si>
  <si>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</si>
  <si>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</si>
  <si>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</si>
  <si>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</si>
  <si>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</si>
  <si>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</si>
  <si>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</si>
  <si>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</si>
  <si>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</si>
  <si>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</si>
  <si>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</si>
  <si>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</si>
  <si>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</si>
  <si>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</si>
  <si>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</si>
  <si>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</si>
  <si>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</si>
  <si>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</si>
  <si>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</si>
  <si>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</si>
  <si>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</si>
  <si>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</si>
  <si>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</si>
  <si>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</si>
  <si>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</si>
  <si>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</si>
  <si>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</si>
  <si>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</si>
  <si>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</si>
  <si>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</si>
  <si>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</si>
  <si>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</si>
  <si>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</si>
  <si>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</si>
  <si>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</si>
  <si>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</si>
  <si>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</si>
  <si>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</si>
  <si>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</si>
  <si>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</si>
  <si>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</si>
  <si>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</si>
  <si>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</si>
  <si>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</si>
  <si>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</si>
  <si>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</si>
  <si>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</si>
  <si>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</si>
  <si>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</si>
  <si>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</si>
  <si>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</si>
  <si>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</si>
  <si>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</si>
  <si>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</si>
  <si>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</si>
  <si>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</si>
  <si>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</si>
  <si>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</si>
  <si>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</si>
  <si>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</si>
  <si>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</si>
  <si>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</si>
  <si>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</si>
  <si>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</si>
  <si>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</si>
  <si>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</si>
  <si>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</si>
  <si>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</si>
  <si>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</si>
  <si>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</si>
  <si>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</si>
  <si>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</si>
  <si>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</si>
  <si>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</si>
  <si>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</si>
  <si>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</si>
  <si>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</si>
  <si>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</si>
  <si>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</si>
  <si>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</si>
  <si>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</si>
  <si>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</si>
  <si>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</si>
  <si>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</si>
  <si>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</si>
  <si>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</si>
  <si>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</si>
  <si>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</si>
  <si>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</si>
  <si>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</si>
  <si>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</si>
  <si>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</si>
  <si>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</si>
  <si>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</si>
  <si>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</si>
  <si>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</si>
  <si>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</si>
  <si>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</si>
  <si>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</si>
  <si>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</si>
  <si>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</si>
  <si>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</si>
  <si>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</si>
  <si>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</si>
  <si>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</si>
  <si>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</si>
  <si>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</si>
  <si>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</si>
  <si>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</si>
  <si>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</si>
  <si>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</si>
  <si>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</si>
  <si>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</si>
  <si>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</si>
  <si>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</si>
  <si>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</si>
  <si>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</si>
  <si>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</si>
  <si>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</si>
  <si>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</si>
  <si>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</si>
  <si>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</si>
  <si>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</si>
  <si>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</si>
  <si>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</si>
  <si>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</si>
  <si>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</si>
  <si>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</si>
  <si>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</si>
  <si>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</si>
  <si>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</si>
  <si>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</si>
  <si>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</si>
  <si>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</si>
  <si>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</si>
  <si>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</si>
  <si>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</si>
  <si>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</si>
  <si>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</si>
  <si>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</si>
  <si>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</si>
  <si>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</si>
  <si>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</si>
  <si>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</si>
  <si>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</si>
  <si>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</si>
  <si>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</si>
  <si>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</si>
  <si>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</si>
  <si>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</si>
  <si>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</si>
  <si>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</si>
  <si>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</si>
  <si>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</si>
  <si>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</si>
  <si>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</si>
  <si>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</si>
  <si>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</si>
  <si>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</si>
  <si>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</si>
  <si>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</si>
  <si>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</si>
  <si>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</si>
  <si>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</si>
  <si>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</si>
  <si>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</si>
  <si>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</si>
  <si>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</si>
  <si>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</si>
  <si>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</si>
  <si>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</si>
  <si>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</si>
  <si>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</si>
  <si>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</si>
  <si>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</si>
  <si>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</si>
  <si>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</si>
  <si>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</si>
  <si>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</si>
  <si>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</si>
  <si>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</si>
  <si>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</si>
  <si>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</si>
  <si>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</si>
  <si>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</si>
  <si>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</si>
  <si>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</si>
  <si>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</si>
  <si>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</si>
  <si>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</si>
  <si>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</si>
  <si>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</si>
  <si>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</si>
  <si>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</si>
  <si>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</si>
  <si>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</si>
  <si>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</si>
  <si>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</si>
  <si>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</si>
  <si>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</si>
  <si>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</si>
  <si>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</si>
  <si>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</si>
  <si>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</si>
  <si>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</si>
  <si>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</si>
  <si>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</si>
  <si>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</si>
  <si>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</si>
  <si>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</si>
  <si>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</si>
  <si>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</si>
  <si>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</si>
  <si>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</si>
  <si>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</si>
  <si>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</si>
  <si>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</si>
  <si>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</si>
  <si>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</si>
  <si>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</si>
  <si>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</si>
  <si>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</si>
  <si>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</si>
  <si>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</si>
  <si>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</si>
  <si>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</si>
  <si>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</si>
  <si>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</si>
  <si>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</si>
  <si>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</si>
  <si>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</si>
  <si>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</si>
  <si>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</si>
  <si>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</si>
  <si>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</si>
  <si>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</si>
  <si>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</si>
  <si>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</si>
  <si>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</si>
  <si>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</si>
  <si>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</si>
  <si>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</si>
  <si>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</si>
  <si>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</si>
  <si>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</si>
  <si>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</si>
  <si>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</si>
  <si>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</si>
  <si>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</si>
  <si>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</si>
  <si>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</si>
  <si>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</si>
  <si>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</si>
  <si>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</si>
  <si>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</si>
  <si>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</si>
  <si>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</si>
  <si>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</si>
  <si>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</si>
  <si>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</si>
  <si>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</si>
  <si>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</si>
  <si>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</si>
  <si>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</si>
  <si>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</si>
  <si>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</si>
  <si>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</si>
  <si>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</si>
  <si>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</si>
  <si>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</si>
  <si>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</si>
  <si>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</si>
  <si>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</si>
  <si>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</si>
  <si>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</si>
  <si>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</si>
  <si>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</si>
  <si>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</si>
  <si>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</si>
  <si>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</si>
  <si>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</si>
  <si>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</si>
  <si>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</si>
  <si>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</si>
  <si>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</si>
  <si>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</si>
  <si>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</si>
  <si>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</si>
  <si>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</si>
  <si>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</si>
  <si>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</si>
  <si>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</si>
  <si>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</si>
  <si>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</si>
  <si>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</si>
  <si>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</si>
  <si>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</si>
  <si>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</si>
  <si>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</si>
  <si>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</si>
  <si>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</si>
  <si>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</si>
  <si>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</si>
  <si>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</si>
  <si>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</si>
  <si>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</si>
  <si>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</si>
  <si>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</si>
  <si>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</si>
  <si>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</si>
  <si>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</si>
  <si>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</si>
  <si>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</si>
  <si>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</si>
  <si>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</si>
  <si>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</si>
  <si>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</si>
  <si>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</si>
  <si>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</si>
  <si>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</si>
  <si>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</si>
  <si>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</si>
  <si>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</si>
  <si>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</si>
  <si>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</si>
  <si>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</si>
  <si>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</si>
  <si>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</si>
  <si>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</si>
  <si>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</si>
  <si>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</si>
  <si>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</si>
  <si>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</si>
  <si>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</si>
  <si>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</si>
  <si>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</si>
  <si>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</si>
  <si>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</si>
  <si>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</si>
  <si>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</si>
  <si>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</si>
  <si>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</si>
  <si>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</si>
  <si>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</si>
  <si>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</si>
  <si>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</si>
  <si>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</si>
  <si>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</si>
  <si>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</si>
  <si>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</si>
  <si>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</si>
  <si>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</si>
  <si>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</si>
  <si>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</si>
  <si>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</si>
  <si>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</si>
  <si>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</si>
  <si>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</si>
  <si>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</si>
  <si>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</si>
  <si>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</si>
  <si>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</si>
  <si>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</si>
  <si>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</si>
  <si>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</si>
  <si>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</si>
  <si>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</si>
  <si>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</si>
  <si>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</si>
  <si>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</si>
  <si>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</si>
  <si>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</si>
  <si>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</si>
  <si>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</si>
  <si>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</si>
  <si>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</si>
  <si>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</si>
  <si>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</si>
  <si>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</si>
  <si>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</si>
  <si>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</si>
  <si>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</si>
  <si>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</si>
  <si>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</si>
  <si>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</si>
  <si>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</si>
  <si>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</si>
  <si>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</si>
  <si>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</si>
  <si>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</si>
  <si>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</si>
  <si>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</si>
  <si>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</si>
  <si>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</si>
  <si>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</si>
  <si>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</si>
  <si>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</si>
  <si>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</si>
  <si>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</si>
  <si>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</si>
  <si>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</si>
  <si>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</si>
  <si>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</si>
  <si>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</si>
  <si>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</si>
  <si>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</si>
  <si>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</si>
  <si>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</si>
  <si>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</si>
  <si>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</si>
  <si>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</si>
  <si>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</si>
  <si>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</si>
  <si>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</si>
  <si>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</si>
  <si>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</si>
  <si>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</si>
  <si>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</si>
  <si>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</si>
  <si>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</si>
  <si>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</si>
  <si>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</si>
  <si>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</si>
  <si>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</si>
  <si>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</si>
  <si>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</si>
  <si>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</si>
  <si>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</si>
  <si>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</si>
  <si>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</si>
  <si>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</si>
  <si>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</si>
  <si>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</si>
  <si>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</si>
  <si>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</si>
  <si>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</si>
  <si>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</si>
  <si>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</si>
  <si>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</si>
  <si>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</si>
  <si>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</si>
  <si>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</si>
  <si>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</si>
  <si>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</si>
  <si>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</si>
  <si>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</si>
  <si>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</si>
  <si>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</si>
  <si>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</si>
  <si>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</si>
  <si>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</si>
  <si>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</si>
  <si>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</si>
  <si>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</si>
  <si>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</si>
  <si>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</si>
  <si>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</si>
  <si>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</si>
  <si>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</si>
  <si>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</si>
  <si>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</si>
  <si>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</si>
  <si>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</si>
  <si>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</si>
  <si>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</si>
  <si>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</si>
  <si>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</si>
  <si>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</si>
  <si>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</si>
  <si>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</si>
  <si>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</si>
  <si>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</si>
  <si>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</si>
  <si>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</si>
  <si>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</si>
  <si>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</si>
  <si>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</si>
  <si>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</si>
  <si>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</si>
  <si>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</si>
  <si>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</si>
  <si>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</si>
  <si>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</si>
  <si>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</si>
  <si>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</si>
  <si>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</si>
  <si>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</si>
  <si>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</si>
  <si>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</si>
  <si>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</si>
  <si>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</si>
  <si>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</si>
  <si>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</si>
  <si>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</si>
  <si>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</si>
  <si>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</si>
  <si>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</si>
  <si>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</si>
  <si>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</si>
  <si>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</si>
  <si>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</si>
  <si>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</si>
  <si>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</si>
  <si>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</si>
  <si>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</si>
  <si>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</si>
  <si>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</si>
  <si>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</si>
  <si>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</si>
  <si>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</si>
  <si>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</si>
  <si>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</si>
  <si>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</si>
  <si>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</si>
  <si>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</si>
  <si>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</si>
  <si>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</si>
  <si>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</si>
  <si>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</si>
  <si>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</si>
  <si>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</si>
  <si>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</si>
  <si>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</si>
  <si>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</si>
  <si>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</si>
  <si>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</si>
  <si>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</si>
  <si>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</si>
  <si>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</si>
  <si>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</si>
  <si>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</si>
  <si>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</si>
  <si>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</si>
  <si>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</si>
  <si>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</si>
  <si>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</si>
  <si>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</si>
  <si>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</si>
  <si>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</si>
  <si>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</si>
  <si>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</si>
  <si>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</si>
  <si>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</si>
  <si>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</si>
  <si>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</si>
  <si>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</si>
  <si>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</si>
  <si>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</si>
  <si>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</si>
  <si>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</si>
  <si>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</si>
  <si>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</si>
  <si>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</si>
  <si>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</si>
  <si>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</si>
  <si>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</si>
  <si>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</si>
  <si>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</si>
  <si>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</si>
  <si>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</si>
  <si>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</si>
  <si>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</si>
  <si>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</si>
  <si>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</si>
  <si>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</si>
  <si>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</si>
  <si>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</si>
  <si>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</si>
  <si>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</si>
  <si>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</si>
  <si>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</si>
  <si>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</si>
  <si>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</si>
  <si>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</si>
  <si>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</si>
  <si>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</si>
  <si>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</si>
  <si>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</si>
  <si>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</si>
  <si>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</si>
  <si>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</si>
  <si>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</si>
  <si>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</si>
  <si>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</si>
  <si>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</si>
  <si>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</si>
  <si>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</si>
  <si>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</si>
  <si>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</si>
  <si>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</si>
  <si>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</si>
  <si>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</si>
  <si>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</si>
  <si>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</si>
  <si>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</si>
  <si>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</si>
  <si>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</si>
  <si>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</si>
  <si>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</si>
  <si>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</si>
  <si>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</si>
  <si>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</si>
  <si>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</si>
  <si>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</si>
  <si>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</si>
  <si>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</si>
  <si>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</si>
  <si>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</si>
  <si>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</si>
  <si>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</si>
  <si>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</si>
  <si>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</si>
  <si>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</si>
  <si>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</si>
  <si>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</si>
  <si>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</si>
  <si>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</si>
  <si>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</si>
  <si>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</si>
  <si>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</si>
  <si>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</si>
  <si>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</si>
  <si>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</si>
  <si>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</si>
  <si>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</si>
  <si>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</si>
  <si>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</si>
  <si>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</si>
  <si>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</si>
  <si>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</si>
  <si>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</si>
  <si>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</si>
  <si>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</si>
  <si>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</si>
  <si>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</si>
  <si>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</si>
  <si>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</si>
  <si>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</si>
  <si>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</si>
  <si>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</si>
  <si>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</si>
  <si>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</si>
  <si>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</si>
  <si>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</si>
  <si>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</si>
  <si>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</si>
  <si>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</si>
  <si>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</si>
  <si>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</si>
  <si>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</si>
  <si>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</si>
  <si>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</si>
  <si>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</si>
  <si>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</si>
  <si>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</si>
  <si>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</si>
  <si>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</si>
  <si>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</si>
  <si>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</si>
  <si>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</si>
  <si>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</si>
  <si>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</si>
  <si>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</si>
  <si>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</si>
  <si>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</si>
  <si>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</si>
  <si>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</si>
  <si>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</si>
  <si>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</si>
  <si>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</si>
  <si>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</si>
  <si>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</si>
  <si>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</si>
  <si>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</si>
  <si>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</si>
  <si>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</si>
  <si>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</si>
  <si>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</si>
  <si>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</si>
  <si>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</si>
  <si>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</si>
  <si>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</si>
  <si>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</si>
  <si>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</si>
  <si>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</si>
  <si>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</si>
  <si>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</si>
  <si>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</si>
  <si>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</si>
  <si>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</si>
  <si>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</si>
  <si>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</si>
  <si>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</si>
  <si>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</si>
  <si>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</si>
  <si>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</si>
  <si>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</si>
  <si>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</si>
  <si>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</si>
  <si>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</si>
  <si>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</si>
  <si>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</si>
  <si>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</si>
  <si>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</si>
  <si>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</si>
  <si>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</si>
  <si>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</si>
  <si>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</si>
  <si>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</si>
  <si>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</si>
  <si>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</si>
  <si>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</si>
  <si>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</si>
  <si>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</si>
  <si>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</si>
  <si>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</si>
  <si>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</si>
  <si>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</si>
  <si>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</si>
  <si>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</si>
  <si>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</si>
  <si>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</si>
  <si>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</si>
  <si>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</si>
  <si>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</si>
  <si>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</si>
  <si>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</si>
  <si>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</si>
  <si>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</si>
  <si>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</si>
  <si>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</si>
  <si>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</si>
  <si>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</si>
  <si>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</si>
  <si>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</si>
  <si>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</si>
  <si>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</si>
  <si>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</si>
  <si>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</si>
  <si>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</si>
  <si>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</si>
  <si>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</si>
  <si>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</si>
  <si>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</si>
  <si>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</si>
  <si>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</si>
  <si>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</si>
  <si>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</si>
  <si>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</si>
  <si>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</si>
  <si>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</si>
  <si>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</si>
  <si>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</si>
  <si>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</si>
  <si>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</si>
  <si>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</si>
  <si>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</si>
  <si>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</si>
  <si>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</si>
  <si>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</si>
  <si>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</si>
  <si>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</si>
  <si>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</si>
  <si>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</si>
  <si>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</si>
  <si>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</si>
  <si>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</si>
  <si>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</si>
  <si>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</si>
  <si>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</si>
  <si>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</si>
  <si>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</si>
  <si>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</si>
  <si>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</si>
  <si>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</si>
  <si>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</si>
  <si>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</si>
  <si>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</si>
  <si>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</si>
  <si>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</si>
  <si>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</si>
  <si>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</si>
  <si>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</si>
  <si>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</si>
  <si>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</si>
  <si>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</si>
  <si>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</si>
  <si>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</si>
  <si>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</si>
  <si>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</si>
  <si>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</si>
  <si>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</si>
  <si>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</si>
  <si>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</si>
  <si>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</si>
  <si>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</si>
  <si>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</si>
  <si>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</si>
  <si>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</si>
  <si>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</si>
  <si>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</si>
  <si>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</si>
  <si>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</si>
  <si>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</si>
  <si>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</si>
  <si>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</si>
  <si>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</si>
  <si>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</si>
  <si>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</si>
  <si>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</si>
  <si>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</si>
  <si>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</si>
  <si>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</si>
  <si>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</si>
  <si>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</si>
  <si>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</si>
  <si>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</si>
  <si>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</si>
  <si>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</si>
  <si>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</si>
  <si>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</si>
  <si>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</si>
  <si>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</si>
  <si>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</si>
  <si>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</si>
  <si>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</si>
  <si>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</si>
  <si>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</si>
  <si>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</si>
  <si>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</si>
  <si>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</si>
  <si>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</si>
  <si>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</si>
  <si>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</si>
  <si>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</si>
  <si>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</si>
  <si>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</si>
  <si>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</si>
  <si>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</si>
  <si>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</si>
  <si>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</si>
  <si>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</si>
  <si>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</si>
  <si>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</si>
  <si>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</si>
  <si>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</si>
  <si>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</si>
  <si>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</si>
  <si>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</si>
  <si>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</si>
  <si>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</si>
  <si>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</si>
  <si>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</si>
  <si>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</si>
  <si>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</si>
  <si>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</si>
  <si>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</si>
  <si>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</si>
  <si>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</si>
  <si>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</si>
  <si>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</si>
  <si>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</si>
  <si>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</si>
  <si>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</si>
  <si>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</si>
  <si>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</si>
  <si>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</si>
  <si>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</si>
  <si>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</si>
  <si>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</si>
  <si>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</si>
  <si>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</si>
  <si>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</si>
  <si>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</si>
  <si>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</si>
  <si>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</si>
  <si>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</si>
  <si>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</si>
  <si>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</si>
  <si>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</si>
  <si>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</si>
  <si>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</si>
  <si>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</si>
  <si>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</si>
  <si>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</si>
  <si>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</si>
  <si>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</si>
  <si>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</si>
  <si>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</si>
  <si>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</si>
  <si>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</si>
  <si>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</si>
  <si>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</si>
  <si>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</si>
  <si>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</si>
  <si>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</si>
  <si>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</si>
  <si>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</si>
  <si>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</si>
  <si>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</si>
  <si>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</si>
  <si>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</si>
  <si>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</si>
  <si>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</si>
  <si>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</si>
  <si>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</si>
  <si>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</si>
  <si>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</si>
  <si>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</si>
  <si>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</si>
  <si>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</si>
  <si>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</si>
  <si>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</si>
  <si>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</si>
  <si>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</si>
  <si>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</si>
  <si>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</si>
  <si>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</si>
  <si>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</si>
  <si>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</si>
  <si>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</si>
  <si>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</si>
  <si>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</si>
  <si>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</si>
  <si>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</si>
  <si>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</si>
  <si>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</si>
  <si>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</si>
  <si>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</si>
  <si>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</si>
  <si>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</si>
  <si>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</si>
  <si>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</si>
  <si>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</si>
  <si>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</si>
  <si>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</si>
  <si>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</si>
  <si>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</si>
  <si>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</si>
  <si>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</si>
  <si>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</si>
  <si>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</si>
  <si>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</si>
  <si>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</si>
  <si>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</si>
  <si>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</si>
  <si>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</si>
  <si>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</si>
  <si>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</si>
  <si>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</si>
  <si>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</si>
  <si>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</si>
  <si>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</si>
  <si>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</si>
  <si>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</si>
  <si>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</si>
  <si>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</si>
  <si>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</si>
  <si>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</si>
  <si>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</si>
  <si>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</si>
  <si>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</si>
  <si>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</si>
  <si>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</si>
  <si>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</si>
  <si>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</si>
  <si>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</si>
  <si>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</si>
  <si>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</si>
  <si>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</si>
  <si>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</si>
  <si>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</si>
  <si>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</si>
  <si>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</si>
  <si>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</si>
  <si>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</si>
  <si>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</si>
  <si>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</si>
  <si>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</si>
  <si>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</si>
  <si>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</si>
  <si>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</si>
  <si>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</si>
  <si>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</si>
  <si>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</si>
  <si>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</si>
  <si>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</si>
  <si>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</si>
  <si>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</si>
  <si>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</si>
  <si>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</si>
  <si>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</si>
  <si>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</si>
  <si>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</si>
  <si>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</si>
  <si>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</si>
  <si>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</si>
  <si>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</si>
  <si>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</si>
  <si>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</si>
  <si>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</si>
  <si>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</si>
  <si>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</si>
  <si>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</si>
  <si>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</si>
  <si>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</si>
  <si>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</si>
  <si>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</si>
  <si>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</si>
  <si>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</si>
  <si>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</si>
  <si>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</si>
  <si>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</si>
  <si>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</si>
  <si>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</si>
  <si>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</si>
  <si>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</si>
  <si>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</si>
  <si>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</si>
  <si>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</si>
  <si>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</si>
  <si>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</si>
  <si>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</si>
  <si>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</si>
  <si>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</si>
  <si>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</si>
  <si>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</si>
  <si>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</si>
  <si>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</si>
  <si>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</si>
  <si>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</si>
  <si>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</si>
  <si>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</si>
  <si>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</si>
  <si>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</si>
  <si>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</si>
  <si>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</si>
  <si>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</si>
  <si>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</si>
  <si>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</si>
  <si>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</si>
  <si>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</si>
  <si>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</si>
  <si>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</si>
  <si>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</si>
  <si>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</si>
  <si>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</si>
  <si>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</si>
  <si>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</si>
  <si>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</si>
  <si>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</si>
  <si>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</si>
  <si>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</si>
  <si>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</si>
  <si>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</si>
  <si>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</si>
  <si>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</si>
  <si>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</si>
  <si>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</si>
  <si>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</si>
  <si>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</si>
  <si>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</si>
  <si>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</si>
  <si>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</si>
  <si>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</si>
  <si>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</si>
  <si>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</si>
  <si>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</si>
  <si>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</si>
  <si>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</si>
  <si>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</si>
  <si>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</si>
  <si>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</si>
  <si>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</si>
  <si>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</si>
  <si>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</si>
  <si>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</si>
  <si>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</si>
  <si>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</si>
  <si>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</si>
  <si>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</si>
  <si>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</si>
  <si>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</si>
  <si>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</si>
  <si>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</si>
  <si>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</si>
  <si>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</si>
  <si>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</si>
  <si>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</si>
  <si>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</si>
  <si>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</si>
  <si>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</si>
  <si>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</si>
  <si>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</si>
  <si>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</si>
  <si>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</si>
  <si>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</si>
  <si>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</si>
  <si>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</si>
  <si>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</si>
  <si>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</si>
  <si>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</si>
  <si>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</si>
  <si>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</si>
  <si>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</si>
  <si>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</si>
  <si>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</si>
  <si>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</si>
  <si>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</si>
  <si>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</si>
  <si>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</si>
  <si>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</si>
  <si>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</si>
  <si>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</si>
  <si>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</si>
  <si>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</si>
  <si>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</si>
  <si>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</si>
  <si>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</si>
  <si>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</si>
  <si>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</si>
  <si>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</si>
  <si>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</si>
  <si>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</si>
  <si>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</si>
  <si>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</si>
  <si>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</si>
  <si>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</si>
  <si>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</si>
  <si>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</si>
  <si>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</si>
  <si>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</si>
  <si>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</si>
  <si>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</si>
  <si>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</si>
  <si>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</si>
  <si>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</si>
  <si>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</si>
  <si>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</si>
  <si>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</si>
  <si>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</si>
  <si>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</si>
  <si>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</si>
  <si>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</si>
  <si>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</si>
  <si>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</si>
  <si>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</si>
  <si>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</si>
  <si>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</si>
  <si>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</si>
  <si>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</si>
  <si>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</si>
  <si>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</si>
  <si>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</si>
  <si>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</si>
  <si>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</si>
  <si>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</si>
  <si>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</si>
  <si>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</si>
  <si>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</si>
  <si>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</si>
  <si>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</si>
  <si>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</si>
  <si>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</si>
  <si>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</si>
  <si>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</si>
  <si>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</si>
  <si>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</si>
  <si>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</si>
  <si>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</si>
  <si>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</si>
  <si>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</si>
  <si>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</si>
  <si>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</si>
  <si>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</si>
  <si>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</si>
  <si>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</si>
  <si>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</si>
  <si>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</si>
  <si>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</si>
  <si>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</si>
  <si>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</si>
  <si>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</si>
  <si>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</si>
  <si>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</si>
  <si>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</si>
  <si>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</si>
  <si>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</si>
  <si>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</si>
  <si>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</si>
  <si>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</si>
  <si>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</si>
  <si>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</si>
  <si>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</si>
  <si>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</si>
  <si>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</si>
  <si>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</si>
  <si>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</si>
  <si>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</si>
  <si>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</si>
  <si>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</si>
  <si>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</si>
  <si>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</si>
  <si>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</si>
  <si>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</si>
  <si>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</si>
  <si>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</si>
  <si>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</si>
  <si>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</si>
  <si>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</si>
  <si>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</si>
  <si>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</si>
  <si>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</si>
  <si>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</si>
  <si>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</si>
  <si>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</si>
  <si>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</si>
  <si>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</si>
  <si>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</si>
  <si>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</si>
  <si>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</si>
  <si>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</si>
  <si>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</si>
  <si>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</si>
  <si>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</si>
  <si>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</si>
  <si>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</si>
  <si>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</si>
  <si>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</si>
  <si>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</si>
  <si>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</si>
  <si>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</si>
  <si>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</si>
  <si>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</si>
  <si>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</si>
  <si>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</si>
  <si>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</si>
  <si>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</si>
  <si>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</si>
  <si>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</si>
  <si>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</si>
  <si>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</si>
  <si>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</si>
  <si>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</si>
  <si>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</si>
  <si>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</si>
  <si>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</si>
  <si>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</si>
  <si>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</si>
  <si>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</si>
  <si>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</si>
  <si>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</si>
  <si>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</si>
  <si>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</si>
  <si>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</si>
  <si>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</si>
  <si>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</si>
  <si>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</si>
  <si>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</si>
  <si>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</si>
  <si>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</si>
  <si>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</si>
  <si>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</si>
  <si>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</si>
  <si>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</si>
  <si>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</si>
  <si>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</si>
  <si>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</si>
  <si>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</si>
  <si>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</si>
  <si>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</si>
  <si>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</si>
  <si>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</si>
  <si>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</si>
  <si>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</si>
  <si>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</si>
  <si>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</si>
  <si>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</si>
  <si>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</si>
  <si>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</si>
  <si>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</si>
  <si>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</si>
  <si>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</si>
  <si>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</si>
  <si>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</si>
  <si>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</si>
  <si>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</si>
  <si>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</si>
  <si>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</si>
  <si>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</si>
  <si>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</si>
  <si>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</si>
  <si>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</si>
  <si>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</si>
  <si>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</si>
  <si>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</si>
  <si>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</si>
  <si>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</si>
  <si>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</si>
  <si>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</si>
  <si>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</si>
  <si>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</si>
  <si>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</si>
  <si>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</si>
  <si>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</si>
  <si>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</si>
  <si>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</si>
  <si>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</si>
  <si>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</si>
  <si>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</si>
  <si>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</si>
  <si>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</si>
  <si>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</si>
  <si>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</si>
  <si>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</si>
  <si>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</si>
  <si>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</si>
  <si>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</si>
  <si>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</si>
  <si>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</si>
  <si>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</si>
  <si>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</si>
  <si>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</si>
  <si>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</si>
  <si>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</si>
  <si>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</si>
  <si>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</si>
  <si>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</si>
  <si>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</si>
  <si>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</si>
  <si>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</si>
  <si>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</si>
  <si>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</si>
  <si>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</si>
  <si>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</si>
  <si>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</si>
  <si>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</si>
  <si>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</si>
  <si>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</si>
  <si>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</si>
  <si>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</si>
  <si>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</si>
  <si>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</si>
  <si>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</si>
  <si>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</si>
  <si>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</si>
  <si>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</si>
  <si>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</si>
  <si>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</si>
  <si>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</si>
  <si>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</si>
  <si>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</si>
  <si>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</si>
  <si>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</si>
  <si>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</si>
  <si>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</si>
  <si>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</si>
  <si>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</si>
  <si>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</si>
  <si>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</si>
  <si>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</si>
  <si>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</si>
  <si>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</si>
  <si>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</si>
  <si>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</si>
  <si>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</si>
  <si>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</si>
  <si>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</si>
  <si>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</si>
  <si>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</si>
  <si>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</si>
  <si>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</si>
  <si>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</si>
  <si>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</si>
  <si>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</si>
  <si>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</si>
  <si>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</si>
  <si>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</si>
  <si>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</si>
  <si>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</si>
  <si>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</si>
  <si>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</si>
  <si>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</si>
  <si>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</si>
  <si>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</si>
  <si>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</si>
  <si>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</si>
  <si>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</si>
  <si>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</si>
  <si>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</si>
  <si>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</si>
  <si>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</si>
  <si>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</si>
  <si>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</si>
  <si>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</si>
  <si>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</si>
  <si>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</si>
  <si>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</si>
  <si>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</si>
  <si>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</si>
  <si>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</si>
  <si>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</si>
  <si>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</si>
  <si>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</si>
  <si>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</si>
  <si>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</si>
  <si>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</si>
  <si>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</si>
  <si>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</si>
  <si>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</si>
  <si>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</si>
  <si>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</si>
  <si>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</si>
  <si>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</si>
  <si>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</si>
  <si>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</si>
  <si>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</si>
  <si>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</si>
  <si>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</si>
  <si>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</si>
  <si>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</si>
  <si>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</si>
  <si>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</si>
  <si>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</si>
  <si>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</si>
  <si>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</si>
  <si>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</si>
  <si>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</si>
  <si>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</si>
  <si>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</si>
  <si>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</si>
  <si>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</si>
  <si>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</si>
  <si>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</si>
  <si>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</si>
  <si>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</si>
  <si>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</si>
  <si>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</si>
  <si>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</si>
  <si>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</si>
  <si>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</si>
  <si>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</si>
  <si>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</si>
  <si>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</si>
  <si>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</si>
  <si>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</si>
  <si>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</si>
  <si>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</si>
  <si>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</si>
  <si>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</si>
  <si>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</si>
  <si>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</si>
  <si>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</si>
  <si>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</si>
  <si>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</si>
  <si>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</si>
  <si>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</si>
  <si>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</si>
  <si>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</si>
  <si>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</si>
  <si>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</si>
  <si>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</si>
  <si>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</si>
  <si>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</si>
  <si>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</si>
  <si>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</si>
  <si>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</si>
  <si>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</si>
  <si>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</si>
  <si>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</si>
  <si>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</si>
  <si>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</si>
  <si>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</si>
  <si>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</si>
  <si>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</si>
  <si>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</si>
  <si>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</si>
  <si>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</si>
  <si>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</si>
  <si>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</si>
  <si>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</si>
  <si>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</si>
  <si>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</si>
  <si>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</si>
  <si>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</si>
  <si>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</si>
  <si>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</si>
  <si>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</si>
  <si>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</si>
  <si>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</si>
  <si>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</si>
  <si>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</si>
  <si>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</si>
  <si>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</si>
  <si>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</si>
  <si>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</si>
  <si>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</si>
  <si>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</si>
  <si>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</si>
  <si>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</si>
  <si>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</si>
  <si>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</si>
  <si>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</si>
  <si>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</si>
  <si>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</si>
  <si>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</si>
  <si>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</si>
  <si>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</si>
  <si>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</si>
  <si>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</si>
  <si>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</si>
  <si>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</si>
  <si>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</si>
  <si>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</si>
  <si>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</si>
  <si>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</si>
  <si>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</si>
  <si>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</si>
  <si>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</si>
  <si>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</si>
  <si>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</si>
  <si>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</si>
  <si>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</si>
  <si>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</si>
  <si>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</si>
  <si>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</si>
  <si>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</si>
  <si>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</si>
  <si>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</si>
  <si>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</si>
  <si>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</si>
  <si>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</si>
  <si>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</si>
  <si>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</si>
  <si>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</si>
  <si>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</si>
  <si>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</si>
  <si>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</si>
  <si>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</si>
  <si>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</si>
  <si>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</si>
  <si>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</si>
  <si>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</si>
  <si>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</si>
  <si>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</si>
  <si>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</si>
  <si>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</si>
  <si>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</si>
  <si>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</si>
  <si>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</si>
  <si>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</si>
  <si>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</si>
  <si>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</si>
  <si>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</si>
  <si>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</si>
  <si>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</si>
  <si>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</si>
  <si>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</si>
  <si>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</si>
  <si>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</si>
  <si>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</si>
  <si>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</si>
  <si>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</si>
  <si>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</si>
  <si>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</si>
  <si>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</si>
  <si>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</si>
  <si>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</si>
  <si>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</si>
  <si>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</si>
  <si>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</si>
  <si>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</si>
  <si>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</si>
  <si>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</si>
  <si>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</si>
  <si>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</si>
  <si>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</si>
  <si>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</si>
  <si>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</si>
  <si>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</si>
  <si>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</si>
  <si>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</si>
  <si>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</si>
  <si>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</si>
  <si>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</si>
  <si>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</si>
  <si>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</si>
  <si>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</si>
  <si>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</si>
  <si>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</si>
  <si>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</si>
  <si>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</si>
  <si>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</si>
  <si>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</si>
  <si>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</si>
  <si>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</si>
  <si>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</si>
  <si>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</si>
  <si>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</si>
  <si>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</si>
  <si>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</si>
  <si>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</si>
  <si>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</si>
  <si>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</si>
  <si>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</si>
  <si>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</si>
  <si>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</si>
  <si>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</si>
  <si>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</si>
  <si>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</si>
  <si>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</si>
  <si>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</si>
  <si>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</si>
  <si>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</si>
  <si>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</si>
  <si>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</si>
  <si>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</si>
  <si>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</si>
  <si>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</si>
  <si>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</si>
  <si>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</si>
  <si>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</si>
  <si>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</si>
  <si>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</si>
  <si>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</si>
  <si>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</si>
  <si>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</si>
  <si>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</si>
  <si>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</si>
  <si>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</si>
  <si>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</si>
  <si>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</si>
  <si>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</si>
  <si>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</si>
  <si>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</si>
  <si>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</si>
  <si>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</si>
  <si>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</si>
  <si>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</si>
  <si>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</si>
  <si>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</si>
  <si>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</si>
  <si>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</si>
  <si>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</si>
  <si>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</si>
  <si>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</si>
  <si>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</si>
  <si>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</si>
  <si>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</si>
  <si>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</si>
  <si>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</si>
  <si>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</si>
  <si>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</si>
  <si>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</si>
  <si>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</si>
  <si>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</si>
  <si>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</si>
  <si>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</si>
  <si>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</si>
  <si>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</si>
  <si>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</si>
  <si>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</si>
  <si>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</si>
  <si>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</si>
  <si>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</si>
  <si>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</si>
  <si>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</si>
  <si>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</si>
  <si>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</si>
  <si>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</si>
  <si>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</si>
  <si>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</si>
  <si>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</si>
  <si>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</si>
  <si>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</si>
  <si>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</si>
  <si>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</si>
  <si>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</si>
  <si>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</si>
  <si>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</si>
  <si>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</si>
  <si>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</si>
  <si>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</si>
  <si>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</si>
  <si>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</si>
  <si>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</si>
  <si>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</si>
  <si>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</si>
  <si>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</si>
  <si>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</si>
  <si>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</si>
  <si>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</si>
  <si>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</si>
  <si>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</si>
  <si>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</si>
  <si>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</si>
  <si>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</si>
  <si>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</si>
  <si>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</si>
  <si>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</si>
  <si>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</si>
  <si>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</si>
  <si>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</si>
  <si>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</si>
  <si>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</si>
  <si>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</si>
  <si>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</si>
  <si>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</si>
  <si>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</si>
  <si>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</si>
  <si>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</si>
  <si>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</si>
  <si>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</si>
  <si>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</si>
  <si>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</si>
  <si>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</si>
  <si>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</si>
  <si>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</si>
  <si>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</si>
  <si>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</si>
  <si>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</si>
  <si>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</si>
  <si>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</si>
  <si>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</si>
  <si>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</si>
  <si>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</si>
  <si>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</si>
  <si>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</si>
  <si>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</si>
  <si>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</si>
  <si>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</si>
  <si>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</si>
  <si>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</si>
  <si>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</si>
  <si>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</si>
  <si>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</si>
  <si>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</si>
  <si>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</si>
  <si>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</si>
  <si>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</si>
  <si>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</si>
  <si>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</si>
  <si>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</si>
  <si>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</si>
  <si>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</si>
  <si>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</si>
  <si>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</si>
  <si>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</si>
  <si>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</si>
  <si>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</si>
  <si>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</si>
  <si>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</si>
  <si>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</si>
  <si>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</si>
  <si>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</si>
  <si>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</si>
  <si>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</si>
  <si>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</si>
  <si>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</si>
  <si>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</si>
  <si>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</si>
  <si>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</si>
  <si>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</si>
  <si>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</si>
  <si>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</si>
  <si>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</si>
  <si>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</si>
  <si>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</si>
  <si>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</si>
  <si>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</si>
  <si>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</si>
  <si>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</si>
  <si>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</si>
  <si>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</si>
  <si>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</si>
  <si>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</si>
  <si>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</si>
  <si>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</si>
  <si>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</si>
  <si>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</si>
  <si>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</si>
  <si>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</si>
  <si>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</si>
  <si>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</si>
  <si>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</si>
  <si>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</si>
  <si>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</si>
  <si>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</si>
  <si>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</si>
  <si>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</si>
  <si>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</si>
  <si>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</si>
  <si>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</si>
  <si>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</si>
  <si>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</si>
  <si>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</si>
  <si>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</si>
  <si>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</si>
  <si>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</si>
  <si>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</si>
  <si>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</si>
  <si>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</si>
  <si>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</si>
  <si>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</si>
  <si>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</si>
  <si>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</si>
  <si>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</si>
  <si>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</si>
  <si>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</si>
  <si>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</si>
  <si>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</si>
  <si>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</si>
  <si>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</si>
  <si>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</si>
  <si>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</si>
  <si>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</si>
  <si>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</si>
  <si>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</si>
  <si>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</si>
  <si>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</si>
  <si>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</si>
  <si>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</si>
  <si>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</si>
  <si>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</si>
  <si>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</si>
  <si>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</si>
  <si>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</si>
  <si>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</si>
  <si>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</si>
  <si>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</si>
  <si>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</si>
  <si>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</si>
  <si>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</si>
  <si>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</si>
  <si>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</si>
  <si>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</si>
  <si>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</si>
  <si>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</si>
  <si>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</si>
  <si>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</si>
  <si>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</si>
  <si>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</si>
  <si>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</si>
  <si>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</si>
  <si>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</si>
  <si>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</si>
  <si>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</si>
  <si>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</si>
  <si>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</si>
  <si>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</si>
  <si>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</si>
  <si>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</si>
  <si>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</si>
  <si>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</si>
  <si>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</si>
  <si>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</si>
  <si>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</si>
  <si>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</si>
  <si>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</si>
  <si>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</si>
  <si>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</si>
  <si>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</si>
  <si>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</si>
  <si>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</si>
  <si>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</si>
  <si>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</si>
  <si>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</si>
  <si>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</si>
  <si>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</si>
  <si>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</si>
  <si>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</si>
  <si>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</si>
  <si>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</si>
  <si>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</si>
  <si>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</si>
  <si>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</si>
  <si>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</si>
  <si>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</si>
  <si>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</si>
  <si>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</si>
  <si>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</si>
  <si>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</si>
  <si>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</si>
  <si>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</si>
  <si>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</si>
  <si>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</si>
  <si>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</si>
  <si>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</si>
  <si>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</si>
  <si>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</si>
  <si>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</si>
  <si>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</si>
  <si>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</si>
  <si>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</si>
  <si>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</si>
  <si>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</si>
  <si>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</si>
  <si>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</si>
  <si>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</si>
  <si>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</si>
  <si>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</si>
  <si>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</si>
  <si>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</si>
  <si>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</si>
  <si>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</si>
  <si>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</si>
  <si>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</si>
  <si>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</si>
  <si>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</si>
  <si>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</si>
  <si>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</si>
  <si>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</si>
  <si>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</si>
  <si>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</si>
  <si>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</si>
  <si>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</si>
  <si>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</si>
  <si>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</si>
  <si>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</si>
  <si>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</si>
  <si>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</si>
  <si>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</si>
  <si>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</si>
  <si>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</si>
  <si>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</si>
  <si>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</si>
  <si>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</si>
  <si>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</si>
  <si>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</si>
  <si>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</si>
  <si>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</si>
  <si>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</si>
  <si>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</si>
  <si>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</si>
  <si>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</si>
  <si>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</si>
  <si>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</si>
  <si>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</si>
  <si>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</si>
  <si>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</si>
  <si>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</si>
  <si>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</si>
  <si>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</si>
  <si>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</si>
  <si>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</si>
  <si>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</si>
  <si>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</si>
  <si>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</si>
  <si>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</si>
  <si>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</si>
  <si>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</si>
  <si>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</si>
  <si>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</si>
  <si>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</si>
  <si>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</si>
  <si>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</si>
  <si>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</si>
  <si>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</si>
  <si>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</si>
  <si>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</si>
  <si>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</si>
  <si>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</si>
  <si>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</si>
  <si>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</si>
  <si>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</si>
  <si>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</si>
  <si>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</si>
  <si>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</si>
  <si>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</si>
  <si>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</si>
  <si>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</si>
  <si>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</si>
  <si>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</si>
  <si>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</si>
  <si>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</si>
  <si>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</si>
  <si>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</si>
  <si>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</si>
  <si>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</si>
  <si>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</si>
  <si>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</si>
  <si>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</si>
  <si>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</si>
  <si>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</si>
  <si>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</si>
  <si>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</si>
  <si>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</si>
  <si>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</si>
  <si>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</si>
  <si>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</si>
  <si>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</si>
  <si>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</si>
  <si>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</si>
  <si>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</si>
  <si>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</si>
  <si>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</si>
  <si>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</si>
  <si>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</si>
  <si>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</si>
  <si>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</si>
  <si>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</si>
  <si>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</si>
  <si>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</si>
  <si>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</si>
  <si>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</si>
  <si>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</si>
  <si>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</si>
  <si>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</si>
  <si>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</si>
  <si>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</si>
  <si>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</si>
  <si>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</si>
  <si>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</si>
  <si>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</si>
  <si>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</si>
  <si>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</si>
  <si>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</si>
  <si>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</si>
  <si>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</si>
  <si>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</si>
  <si>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</si>
  <si>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</si>
  <si>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</si>
  <si>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</si>
  <si>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</si>
  <si>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</si>
  <si>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</si>
  <si>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</si>
  <si>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</si>
  <si>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</si>
  <si>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</si>
  <si>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</si>
  <si>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</si>
  <si>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</si>
  <si>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</si>
  <si>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</si>
  <si>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</si>
  <si>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</si>
  <si>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</si>
  <si>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</si>
  <si>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</si>
  <si>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</si>
  <si>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</si>
  <si>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</si>
  <si>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</si>
  <si>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</si>
  <si>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</si>
  <si>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</si>
  <si>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</si>
  <si>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</si>
  <si>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</si>
  <si>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</si>
  <si>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</si>
  <si>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</si>
  <si>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</si>
  <si>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</si>
  <si>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</si>
  <si>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</si>
  <si>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</si>
  <si>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</si>
  <si>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</si>
  <si>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</si>
  <si>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</si>
  <si>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</si>
  <si>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</si>
  <si>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</si>
  <si>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</si>
  <si>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</si>
  <si>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</si>
  <si>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</si>
  <si>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</si>
  <si>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</si>
  <si>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</si>
  <si>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</si>
  <si>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</si>
  <si>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</si>
  <si>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</si>
  <si>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</si>
  <si>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</si>
  <si>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</si>
  <si>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</si>
  <si>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</si>
  <si>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</si>
  <si>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</si>
  <si>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</si>
  <si>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</si>
  <si>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</si>
  <si>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</si>
  <si>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</si>
  <si>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</si>
  <si>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</si>
  <si>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</si>
  <si>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</si>
  <si>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</si>
  <si>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</si>
  <si>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</si>
  <si>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</si>
  <si>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</si>
  <si>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</si>
  <si>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</si>
  <si>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</si>
  <si>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</si>
  <si>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</si>
  <si>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</si>
  <si>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</si>
  <si>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</si>
  <si>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</si>
  <si>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</si>
  <si>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</si>
  <si>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</si>
  <si>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</si>
  <si>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</si>
  <si>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</si>
  <si>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</si>
  <si>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</si>
  <si>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</si>
  <si>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</si>
  <si>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</si>
  <si>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</si>
  <si>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</si>
  <si>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</si>
  <si>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</si>
  <si>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</si>
  <si>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</si>
  <si>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</si>
  <si>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</si>
  <si>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</si>
  <si>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</si>
  <si>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</si>
  <si>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</si>
  <si>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</si>
  <si>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</si>
  <si>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</si>
  <si>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</si>
  <si>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</si>
  <si>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</si>
  <si>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</si>
  <si>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</si>
  <si>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</si>
  <si>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</si>
  <si>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</si>
  <si>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</si>
  <si>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</si>
  <si>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</si>
  <si>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</si>
  <si>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</si>
  <si>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</si>
  <si>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</si>
  <si>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</si>
  <si>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</si>
  <si>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</si>
  <si>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</si>
  <si>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</si>
  <si>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</si>
  <si>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</si>
  <si>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</si>
  <si>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</si>
  <si>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</si>
  <si>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</si>
  <si>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</si>
  <si>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</si>
  <si>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</si>
  <si>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</si>
  <si>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</si>
  <si>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</si>
  <si>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</si>
  <si>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</si>
  <si>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</si>
  <si>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</si>
  <si>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</si>
  <si>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</si>
  <si>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</si>
  <si>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</si>
  <si>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</si>
  <si>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</si>
  <si>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</si>
  <si>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</si>
  <si>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</si>
  <si>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</si>
  <si>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</si>
  <si>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</si>
  <si>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</si>
  <si>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</si>
  <si>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</si>
  <si>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</si>
  <si>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</si>
  <si>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</si>
  <si>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</si>
  <si>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</si>
  <si>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</si>
  <si>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</si>
  <si>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</si>
  <si>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</si>
  <si>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</si>
  <si>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</si>
  <si>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</si>
  <si>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</si>
  <si>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</si>
  <si>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</si>
  <si>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</si>
  <si>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</si>
  <si>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</si>
  <si>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</si>
  <si>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</si>
  <si>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</si>
  <si>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</si>
  <si>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</si>
  <si>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</si>
  <si>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</si>
  <si>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</si>
  <si>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</si>
  <si>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</si>
  <si>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</si>
  <si>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</si>
  <si>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</si>
  <si>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</si>
  <si>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</si>
  <si>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</si>
  <si>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</si>
  <si>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</si>
  <si>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</si>
  <si>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</si>
  <si>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</si>
  <si>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</si>
  <si>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</si>
  <si>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</si>
  <si>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</si>
  <si>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</si>
  <si>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</si>
  <si>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</si>
  <si>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</si>
  <si>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</si>
  <si>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</si>
  <si>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</si>
  <si>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</si>
  <si>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</si>
  <si>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</si>
  <si>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</si>
  <si>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</si>
  <si>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</si>
  <si>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</si>
  <si>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</si>
  <si>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</si>
  <si>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</si>
  <si>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</si>
  <si>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</si>
  <si>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</si>
  <si>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</si>
  <si>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</si>
  <si>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</si>
  <si>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</si>
  <si>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</si>
  <si>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</si>
  <si>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</si>
  <si>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</si>
  <si>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</si>
  <si>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</si>
  <si>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</si>
  <si>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</si>
  <si>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</si>
  <si>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</si>
  <si>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</si>
  <si>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</si>
  <si>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</si>
  <si>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</si>
  <si>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</si>
  <si>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</si>
  <si>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</si>
  <si>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</si>
  <si>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</si>
  <si>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</si>
  <si>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</si>
  <si>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</si>
  <si>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</si>
  <si>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</si>
  <si>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</si>
  <si>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</si>
  <si>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</si>
  <si>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</si>
  <si>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</si>
  <si>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</si>
  <si>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</si>
  <si>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</si>
  <si>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</si>
  <si>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</si>
  <si>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</si>
  <si>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</si>
  <si>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</si>
  <si>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</si>
  <si>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</si>
  <si>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</si>
  <si>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</si>
  <si>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</si>
  <si>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</si>
  <si>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</si>
  <si>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</si>
  <si>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</si>
  <si>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</si>
  <si>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</si>
  <si>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</si>
  <si>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</si>
  <si>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</si>
  <si>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</si>
  <si>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</si>
  <si>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</si>
  <si>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</si>
  <si>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</si>
  <si>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</si>
  <si>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</si>
  <si>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</si>
  <si>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</si>
  <si>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</si>
  <si>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</si>
  <si>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</si>
  <si>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</si>
  <si>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</si>
  <si>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</si>
  <si>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</si>
  <si>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</si>
  <si>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</si>
  <si>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</si>
  <si>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</si>
  <si>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</si>
  <si>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</si>
  <si>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</si>
  <si>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</si>
  <si>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</si>
  <si>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</si>
  <si>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</si>
  <si>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</si>
  <si>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</si>
  <si>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</si>
  <si>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</si>
  <si>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</si>
  <si>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</si>
  <si>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</si>
  <si>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</si>
  <si>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</si>
  <si>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</si>
  <si>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</si>
  <si>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</si>
  <si>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</si>
  <si>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</si>
  <si>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</si>
  <si>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</si>
  <si>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</si>
  <si>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</si>
  <si>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</si>
  <si>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</si>
  <si>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</si>
  <si>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</si>
  <si>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</si>
  <si>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</si>
  <si>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</si>
  <si>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</si>
  <si>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</si>
  <si>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</si>
  <si>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</si>
  <si>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</si>
  <si>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</si>
  <si>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</si>
  <si>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</si>
  <si>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</si>
  <si>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</si>
  <si>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</si>
  <si>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</si>
  <si>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</si>
  <si>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</si>
  <si>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</si>
  <si>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</si>
  <si>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</si>
  <si>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</si>
  <si>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</si>
  <si>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</si>
  <si>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</si>
  <si>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</si>
  <si>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</si>
  <si>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</si>
  <si>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</si>
  <si>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</si>
  <si>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</si>
  <si>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</si>
  <si>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</si>
  <si>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</si>
  <si>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</si>
  <si>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</si>
  <si>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</si>
  <si>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</si>
  <si>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</si>
  <si>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</si>
  <si>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</si>
  <si>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</si>
  <si>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</si>
  <si>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</si>
  <si>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</si>
  <si>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</si>
  <si>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</si>
  <si>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</si>
  <si>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</si>
  <si>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</si>
  <si>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</si>
  <si>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</si>
  <si>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</si>
  <si>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</si>
  <si>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</si>
  <si>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</si>
  <si>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</si>
  <si>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</si>
  <si>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</si>
  <si>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</si>
  <si>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</si>
  <si>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</si>
  <si>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</si>
  <si>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</si>
  <si>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</si>
  <si>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</si>
  <si>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</si>
  <si>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</si>
  <si>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</si>
  <si>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</si>
  <si>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</si>
  <si>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</si>
  <si>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</si>
  <si>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</si>
  <si>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</si>
  <si>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</si>
  <si>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</si>
  <si>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</si>
  <si>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</si>
  <si>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</si>
  <si>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</si>
  <si>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</si>
  <si>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</si>
  <si>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</si>
  <si>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</si>
  <si>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</si>
  <si>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</si>
  <si>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</si>
  <si>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</si>
  <si>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</si>
  <si>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</si>
  <si>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</si>
  <si>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</si>
  <si>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</si>
  <si>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</si>
  <si>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</si>
  <si>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</si>
  <si>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</si>
  <si>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</si>
  <si>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</si>
  <si>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</si>
  <si>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</si>
  <si>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</si>
  <si>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</si>
  <si>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</si>
  <si>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</si>
  <si>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</si>
  <si>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</si>
  <si>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</si>
  <si>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</si>
  <si>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</si>
  <si>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</si>
  <si>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</si>
  <si>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</si>
  <si>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</si>
  <si>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</si>
  <si>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</si>
  <si>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</si>
  <si>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</si>
  <si>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</si>
  <si>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</si>
  <si>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</si>
  <si>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</si>
  <si>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</si>
  <si>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</si>
  <si>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</si>
  <si>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</si>
  <si>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</si>
  <si>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</si>
  <si>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</si>
  <si>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</si>
  <si>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</si>
  <si>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</si>
  <si>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</si>
  <si>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</si>
  <si>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</si>
  <si>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</si>
  <si>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</si>
  <si>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</si>
  <si>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</si>
  <si>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</si>
  <si>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</si>
  <si>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</si>
  <si>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</si>
  <si>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</si>
  <si>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</si>
  <si>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</si>
  <si>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</si>
  <si>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</si>
  <si>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</si>
  <si>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</si>
  <si>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</si>
  <si>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</si>
  <si>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</si>
  <si>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</si>
  <si>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</si>
  <si>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</si>
  <si>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</si>
  <si>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</si>
  <si>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</si>
  <si>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</si>
  <si>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</si>
  <si>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</si>
  <si>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</si>
  <si>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</si>
  <si>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</si>
  <si>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</si>
  <si>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</si>
  <si>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</si>
  <si>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</si>
  <si>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</si>
  <si>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</si>
  <si>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</si>
  <si>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</si>
  <si>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</si>
  <si>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</si>
  <si>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</si>
  <si>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</si>
  <si>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</si>
  <si>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</si>
  <si>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</si>
  <si>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</si>
  <si>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</si>
  <si>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</si>
  <si>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</si>
  <si>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</si>
  <si>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</si>
  <si>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</si>
  <si>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</si>
  <si>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</si>
  <si>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</si>
  <si>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</si>
  <si>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</si>
  <si>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</si>
  <si>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</si>
  <si>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</si>
  <si>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</si>
  <si>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</si>
  <si>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</si>
  <si>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</si>
  <si>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</si>
  <si>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</si>
  <si>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</si>
  <si>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</si>
  <si>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</si>
  <si>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</si>
  <si>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</si>
  <si>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</si>
  <si>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</si>
  <si>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</si>
  <si>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</si>
  <si>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</si>
  <si>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</si>
  <si>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</si>
  <si>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</si>
  <si>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</si>
  <si>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</si>
  <si>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</si>
  <si>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</si>
  <si>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</si>
  <si>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</si>
  <si>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</si>
  <si>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</si>
  <si>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</si>
  <si>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</si>
  <si>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</si>
  <si>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</si>
  <si>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</si>
  <si>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</si>
  <si>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</si>
  <si>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</si>
  <si>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</si>
  <si>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</si>
  <si>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</si>
  <si>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</si>
  <si>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</si>
  <si>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</si>
  <si>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</si>
  <si>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</si>
  <si>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</si>
  <si>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</si>
  <si>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</si>
  <si>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</si>
  <si>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</si>
  <si>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</si>
  <si>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</si>
  <si>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</si>
  <si>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</si>
  <si>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</si>
  <si>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</si>
  <si>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</si>
  <si>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</si>
  <si>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</si>
  <si>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</si>
  <si>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</si>
  <si>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</si>
  <si>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</si>
  <si>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</si>
  <si>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</si>
  <si>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</si>
  <si>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</si>
  <si>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</si>
  <si>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</si>
  <si>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</si>
  <si>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</si>
  <si>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</si>
  <si>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</si>
  <si>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</si>
  <si>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</si>
  <si>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</si>
  <si>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</si>
  <si>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</si>
  <si>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</si>
  <si>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</si>
  <si>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</si>
  <si>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</si>
  <si>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</si>
  <si>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</si>
  <si>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</si>
  <si>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</si>
  <si>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</si>
  <si>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</si>
  <si>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</si>
  <si>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</si>
  <si>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</si>
  <si>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</si>
  <si>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</si>
  <si>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</si>
  <si>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</si>
  <si>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</si>
  <si>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</si>
  <si>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</si>
  <si>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</si>
  <si>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</si>
  <si>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</si>
  <si>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</si>
  <si>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</si>
  <si>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</si>
  <si>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</si>
  <si>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</si>
  <si>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</si>
  <si>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</si>
  <si>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</si>
  <si>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</si>
  <si>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</si>
  <si>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</si>
  <si>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</si>
  <si>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</si>
  <si>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</si>
  <si>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</si>
  <si>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</si>
  <si>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</si>
  <si>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</si>
  <si>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</si>
  <si>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</si>
  <si>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</si>
  <si>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</si>
  <si>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</si>
  <si>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</si>
  <si>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</si>
  <si>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</si>
  <si>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</si>
  <si>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</si>
  <si>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</si>
  <si>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</si>
  <si>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</si>
  <si>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</si>
  <si>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</si>
  <si>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</si>
  <si>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</si>
  <si>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</si>
  <si>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</si>
  <si>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</si>
  <si>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</si>
  <si>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</si>
  <si>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</si>
  <si>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</si>
  <si>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</si>
  <si>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</si>
  <si>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</si>
  <si>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</si>
  <si>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</si>
  <si>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</si>
  <si>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</si>
  <si>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</si>
  <si>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</si>
  <si>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</si>
  <si>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</si>
  <si>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</si>
  <si>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</si>
  <si>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</si>
  <si>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</si>
  <si>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</si>
  <si>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</si>
  <si>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</si>
  <si>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</si>
  <si>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</si>
  <si>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</si>
  <si>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</si>
  <si>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</si>
  <si>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</si>
  <si>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</si>
  <si>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</si>
  <si>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</si>
  <si>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</si>
  <si>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</si>
  <si>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</si>
  <si>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</si>
  <si>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</si>
  <si>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</si>
  <si>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</si>
  <si>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</si>
  <si>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</si>
  <si>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</si>
  <si>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</si>
  <si>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</si>
  <si>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</si>
  <si>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</si>
  <si>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</si>
  <si>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</si>
  <si>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</si>
  <si>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</si>
  <si>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</si>
  <si>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</si>
  <si>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</si>
  <si>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</si>
  <si>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</si>
  <si>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</si>
  <si>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</si>
  <si>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</si>
  <si>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</si>
  <si>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</si>
  <si>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</si>
  <si>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</si>
  <si>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</si>
  <si>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</si>
  <si>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</si>
  <si>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</si>
  <si>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</si>
  <si>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</si>
  <si>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</si>
  <si>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</si>
  <si>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</si>
  <si>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</si>
  <si>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</si>
  <si>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</si>
  <si>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</si>
  <si>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</si>
  <si>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</si>
  <si>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</si>
  <si>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</si>
  <si>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</si>
  <si>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</si>
  <si>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</si>
  <si>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</si>
  <si>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</si>
  <si>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</si>
  <si>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</si>
  <si>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</si>
  <si>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</si>
  <si>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</si>
  <si>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</si>
  <si>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</si>
  <si>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</si>
  <si>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</si>
  <si>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</si>
  <si>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</si>
  <si>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</si>
  <si>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</si>
  <si>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</si>
  <si>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</si>
  <si>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</si>
  <si>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</si>
  <si>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</si>
  <si>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</si>
  <si>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</si>
  <si>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</si>
  <si>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</si>
  <si>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</si>
  <si>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</si>
  <si>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</si>
  <si>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</si>
  <si>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</si>
  <si>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</si>
  <si>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</si>
  <si>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</si>
  <si>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</si>
  <si>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</si>
  <si>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</si>
  <si>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</si>
  <si>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</si>
  <si>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</si>
  <si>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</si>
  <si>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</si>
  <si>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</si>
  <si>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</si>
  <si>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</si>
  <si>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</si>
  <si>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</si>
  <si>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</si>
  <si>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</si>
  <si>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</si>
  <si>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</si>
  <si>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</si>
  <si>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</si>
  <si>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</si>
  <si>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</si>
  <si>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</si>
  <si>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</si>
  <si>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</si>
  <si>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</si>
  <si>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</si>
  <si>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</si>
  <si>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</si>
  <si>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</si>
  <si>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</si>
  <si>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</si>
  <si>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</si>
  <si>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</si>
  <si>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</si>
  <si>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</si>
  <si>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</si>
  <si>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</si>
  <si>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</si>
  <si>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</si>
  <si>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</si>
  <si>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</si>
  <si>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</si>
  <si>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</si>
  <si>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</si>
  <si>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</si>
  <si>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</si>
  <si>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</si>
  <si>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</si>
  <si>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</si>
  <si>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</si>
  <si>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</si>
  <si>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</si>
  <si>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</si>
  <si>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</si>
  <si>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</si>
  <si>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</si>
  <si>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</si>
  <si>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</si>
  <si>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</si>
  <si>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</si>
  <si>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</si>
  <si>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</si>
  <si>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</si>
  <si>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</si>
  <si>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</si>
  <si>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</si>
  <si>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</si>
  <si>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</si>
  <si>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</si>
  <si>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</si>
  <si>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</si>
  <si>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</si>
  <si>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</si>
  <si>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</si>
  <si>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</si>
  <si>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</si>
  <si>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</si>
  <si>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</si>
  <si>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</si>
  <si>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</si>
  <si>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</si>
  <si>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</si>
  <si>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</si>
  <si>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</si>
  <si>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</si>
  <si>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</si>
  <si>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</si>
  <si>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</si>
  <si>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</si>
  <si>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</si>
  <si>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</si>
  <si>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</si>
  <si>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</si>
  <si>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</si>
  <si>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</si>
  <si>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</si>
  <si>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</si>
  <si>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</si>
  <si>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</si>
  <si>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</si>
  <si>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</si>
  <si>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</si>
  <si>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</si>
  <si>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</si>
  <si>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</si>
  <si>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</si>
  <si>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</si>
  <si>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</si>
  <si>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</si>
  <si>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</si>
  <si>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</si>
  <si>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</si>
  <si>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</si>
  <si>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</si>
  <si>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</si>
  <si>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</si>
  <si>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</si>
  <si>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</si>
  <si>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</si>
  <si>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</si>
  <si>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</si>
  <si>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</si>
  <si>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</si>
  <si>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</si>
  <si>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</si>
  <si>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</si>
  <si>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</si>
  <si>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</si>
  <si>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</si>
  <si>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</si>
  <si>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</si>
  <si>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</si>
  <si>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</si>
  <si>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</si>
  <si>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</si>
  <si>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</si>
  <si>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</si>
  <si>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</si>
  <si>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</si>
  <si>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</si>
  <si>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</si>
  <si>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</si>
  <si>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</si>
  <si>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</si>
  <si>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</si>
  <si>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</si>
  <si>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</si>
  <si>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</si>
  <si>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</si>
  <si>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</si>
  <si>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</si>
  <si>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</si>
  <si>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</si>
  <si>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</si>
  <si>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</si>
  <si>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</si>
  <si>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</si>
  <si>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</si>
  <si>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</si>
  <si>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</si>
  <si>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</si>
  <si>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</si>
  <si>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</si>
  <si>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</si>
  <si>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</si>
  <si>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</si>
  <si>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</si>
  <si>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</si>
  <si>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</si>
  <si>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</si>
  <si>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</si>
  <si>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</si>
  <si>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</si>
  <si>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</si>
  <si>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</si>
  <si>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</si>
  <si>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</si>
  <si>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</si>
  <si>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</si>
  <si>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</si>
  <si>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</si>
  <si>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</si>
  <si>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</si>
  <si>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</si>
  <si>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</si>
  <si>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</si>
  <si>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</si>
  <si>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</si>
  <si>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</si>
  <si>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</si>
  <si>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</si>
  <si>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</si>
  <si>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</si>
  <si>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</si>
  <si>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</si>
  <si>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</si>
  <si>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</si>
  <si>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</si>
  <si>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</si>
  <si>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</si>
  <si>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</si>
  <si>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</si>
  <si>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</si>
  <si>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</si>
  <si>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</si>
  <si>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</si>
  <si>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</si>
  <si>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</si>
  <si>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</si>
  <si>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</si>
  <si>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</si>
  <si>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</si>
  <si>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</si>
  <si>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</si>
  <si>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</si>
  <si>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</si>
  <si>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</si>
  <si>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</si>
  <si>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</si>
  <si>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</si>
  <si>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</si>
  <si>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</si>
  <si>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</si>
  <si>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</si>
  <si>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</si>
  <si>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</si>
  <si>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</si>
  <si>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</si>
  <si>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</si>
  <si>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</si>
  <si>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</si>
  <si>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</si>
  <si>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</si>
  <si>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</si>
  <si>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</si>
  <si>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</si>
  <si>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</si>
  <si>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</si>
  <si>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</si>
  <si>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</si>
  <si>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</si>
  <si>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</si>
  <si>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</si>
  <si>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</si>
  <si>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</si>
  <si>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</si>
  <si>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</si>
  <si>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</si>
  <si>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</si>
  <si>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</si>
  <si>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</si>
  <si>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</si>
  <si>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</si>
  <si>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</si>
  <si>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</si>
  <si>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</si>
  <si>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</si>
  <si>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</si>
  <si>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</si>
  <si>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</si>
  <si>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</si>
  <si>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</si>
  <si>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</si>
  <si>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</si>
  <si>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</si>
  <si>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</si>
  <si>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</si>
  <si>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</si>
  <si>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</si>
  <si>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</si>
  <si>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</si>
  <si>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</si>
  <si>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</si>
  <si>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</si>
  <si>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</si>
  <si>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</si>
  <si>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</si>
  <si>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</si>
  <si>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</si>
  <si>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</si>
  <si>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</si>
  <si>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</si>
  <si>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</si>
  <si>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</si>
  <si>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</si>
  <si>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</si>
  <si>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</si>
  <si>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</si>
  <si>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</si>
  <si>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</si>
  <si>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</si>
  <si>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</si>
  <si>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</si>
  <si>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</si>
  <si>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</si>
  <si>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</si>
  <si>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</si>
  <si>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</si>
  <si>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</si>
  <si>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</si>
  <si>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</si>
  <si>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</si>
  <si>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</si>
  <si>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</si>
  <si>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</si>
  <si>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</si>
  <si>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</si>
  <si>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</si>
  <si>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</si>
  <si>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</si>
  <si>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</si>
  <si>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</si>
  <si>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</si>
  <si>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</si>
  <si>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</si>
  <si>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</si>
  <si>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</si>
  <si>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</si>
  <si>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</si>
  <si>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</si>
  <si>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</si>
  <si>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</si>
  <si>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</si>
  <si>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</si>
  <si>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</si>
  <si>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</si>
  <si>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</si>
  <si>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</si>
  <si>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</si>
  <si>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</si>
  <si>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</si>
  <si>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</si>
  <si>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</si>
  <si>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</si>
  <si>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</si>
  <si>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</si>
  <si>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</si>
  <si>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</si>
  <si>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</si>
  <si>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</si>
  <si>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</si>
  <si>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</si>
  <si>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</si>
  <si>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</si>
  <si>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</si>
  <si>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</si>
  <si>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</si>
  <si>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</si>
  <si>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</si>
  <si>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</si>
  <si>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</si>
  <si>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</si>
  <si>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</si>
  <si>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</si>
  <si>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</si>
  <si>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</si>
  <si>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</si>
  <si>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</si>
  <si>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</si>
  <si>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</si>
  <si>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</si>
  <si>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</si>
  <si>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</si>
  <si>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</si>
  <si>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</si>
  <si>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</si>
  <si>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</si>
  <si>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</si>
  <si>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</si>
  <si>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</si>
  <si>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</si>
  <si>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</si>
  <si>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</si>
  <si>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</si>
  <si>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</si>
  <si>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</si>
  <si>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</si>
  <si>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</si>
  <si>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</si>
  <si>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</si>
  <si>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</si>
  <si>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</si>
  <si>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</si>
  <si>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</si>
  <si>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</si>
  <si>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</si>
  <si>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</si>
  <si>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</si>
  <si>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</si>
  <si>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</si>
  <si>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</si>
  <si>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</si>
  <si>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</si>
  <si>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</si>
  <si>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</si>
  <si>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</si>
  <si>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</si>
  <si>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</si>
  <si>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</si>
  <si>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</si>
  <si>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</si>
  <si>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</si>
  <si>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</si>
  <si>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</si>
  <si>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</si>
  <si>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</si>
  <si>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</si>
  <si>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</si>
  <si>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</si>
  <si>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</si>
  <si>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</si>
  <si>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</si>
  <si>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</si>
  <si>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</si>
  <si>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</si>
  <si>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</si>
  <si>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</si>
  <si>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</si>
  <si>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</si>
  <si>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</si>
  <si>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</si>
  <si>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</si>
  <si>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</si>
  <si>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</si>
  <si>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</si>
  <si>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</si>
  <si>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</si>
  <si>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</si>
  <si>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</si>
  <si>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</si>
  <si>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</si>
  <si>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</si>
  <si>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</si>
  <si>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</si>
  <si>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</si>
  <si>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</si>
  <si>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</si>
  <si>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</si>
  <si>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</si>
  <si>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</si>
  <si>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</si>
  <si>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</si>
  <si>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</si>
  <si>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</si>
  <si>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</si>
  <si>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</si>
  <si>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</si>
  <si>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</si>
  <si>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</si>
  <si>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</si>
  <si>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</si>
  <si>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</si>
  <si>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</si>
  <si>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</si>
  <si>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</si>
  <si>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</si>
  <si>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</si>
  <si>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</si>
  <si>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</si>
  <si>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</si>
  <si>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</si>
  <si>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</si>
  <si>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</si>
  <si>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</si>
  <si>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</si>
  <si>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</si>
  <si>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</si>
  <si>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</si>
  <si>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</si>
  <si>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</si>
  <si>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</si>
  <si>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</si>
  <si>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</si>
  <si>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</si>
  <si>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</si>
  <si>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</si>
  <si>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</si>
  <si>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</si>
  <si>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</si>
  <si>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</si>
  <si>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</si>
  <si>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</si>
  <si>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</si>
  <si>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</si>
  <si>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</si>
  <si>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</si>
  <si>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</si>
  <si>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</si>
  <si>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</si>
  <si>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</si>
  <si>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</si>
  <si>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</si>
  <si>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</si>
  <si>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</si>
  <si>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</si>
  <si>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</si>
  <si>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</si>
  <si>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</si>
  <si>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</si>
  <si>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</si>
  <si>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</si>
  <si>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</si>
  <si>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</si>
  <si>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</si>
  <si>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</si>
  <si>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</si>
  <si>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</si>
  <si>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</si>
  <si>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</si>
  <si>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</si>
  <si>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</si>
  <si>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</si>
  <si>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</si>
  <si>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</si>
  <si>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</si>
  <si>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</si>
  <si>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Escola2</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</si>
  <si>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</si>
  <si>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</si>
  <si>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</si>
  <si>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</si>
  <si>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</si>
  <si>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</si>
  <si>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</si>
  <si>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</si>
  <si>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</si>
  <si>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</si>
  <si>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</si>
  <si>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</si>
  <si>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</si>
  <si>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</si>
  <si>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</si>
  <si>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</si>
  <si>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</si>
  <si>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</si>
  <si>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Ponto19</t>
  </si>
  <si>
    <t>Ponto20</t>
  </si>
  <si>
    <t>Ponto21</t>
  </si>
  <si>
    <t>Distâncias de condução do Bing Maps (km) / Velocidade média do veículo</t>
  </si>
  <si>
    <t>Ônibus</t>
  </si>
  <si>
    <t>V1</t>
  </si>
  <si>
    <t>Garagem</t>
  </si>
  <si>
    <t>R. P 8 Q 27, 18 - Taquaralto I, Palmas - TO, 77064-720, Brazil</t>
  </si>
  <si>
    <t>Acampament Tocantins Q 27, 42 - St. Bela Vista (Taquaralto), Palmas - TO, 77064-706, Brazil</t>
  </si>
  <si>
    <t>R. 14 Q 21, 138 - Santa Fe VI, Palmas - TO, 77060-342, Brazil</t>
  </si>
  <si>
    <t>Av. Ipanema Q 76a, 13 - Morada Do Sol I, Palmas - TO, 77066-034, Brazil</t>
  </si>
  <si>
    <t>R. P 8 Q 21, 2 - Taquaralto IV, Palmas - TO, 77064-720, Brazil</t>
  </si>
  <si>
    <t>R. P 4 Q 13, 62 - Taquaralto I, Palmas - TO, 77064-629, Brazil</t>
  </si>
  <si>
    <t>Av. Perimetral Norte, 3862 - St. Santa Fe (Taquaralto), Palmas - TO, 77064-028, Brazil</t>
  </si>
  <si>
    <t>Ac. Perimetral 4 Q 67, 26 - Taquarussu, Palmas - TO, 77080-076, Brazil</t>
  </si>
  <si>
    <t>Acampament Ipanema, 528 - St. Sonia Regina (Taquaralto, Palmas - TO, 77060-686, Brazil</t>
  </si>
  <si>
    <t>TO-050 - St. Sonia Regina (Taquaralto), Palmas - TO, Brazil</t>
  </si>
  <si>
    <t>Unnamed Road, Porto Nacional - TO, 77500-000, Brazil</t>
  </si>
  <si>
    <t>Av. Brasil Q 2, 129 - Distrito Industrial, Palmas - TO, 77060-810, Brazil</t>
  </si>
  <si>
    <t>R. 18 Q 35, 28 - Taquaralto I, Palmas - TO, 77064-604, Brazil</t>
  </si>
  <si>
    <t>Av. Palmas Q 35, 192 - Taquaralto V, Palmas - TO, 77060-330, Brazil</t>
  </si>
  <si>
    <t>Av. Francisco G Cruz Q 44, 30 - Taquaralto I, Palmas - TO, 77064-546, Brazil</t>
  </si>
  <si>
    <t>Q05 LT17 - St. Sonia Regina (Taquaralto), Palmas - TO, 77060-676, Brazil</t>
  </si>
  <si>
    <t>TO-050 - Evanira A de Moraes, Porto Nacional - TO, 77500-000, Brazil</t>
  </si>
  <si>
    <t>Rua T 02, Q 02 ,lt 07, S/n - Santa Fé, Palmas - TO, 77064-566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</si>
</sst>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00000"/>
  </numFmts>
  <fonts count="34"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
      <sz val="10"/>
      <color rgb="FF000000"/>
      <name val="Arial"/>
      <family val="2"/>
    </font>
    <font>
      <sz val="12"/>
      <name val="Arial"/>
      <family val="2"/>
    </font>
    <font>
      <sz val="11"/>
      <color theme="1"/>
      <name val="Calibri"/>
      <family val="2"/>
    </font>
  </fonts>
  <fills count="42">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
      <patternFill patternType="solid">
        <fgColor indexed="52"/>
        <bgColor indexed="64"/>
      </patternFill>
    </fill>
  </fills>
  <borders count="2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1">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4" fontId="22" fillId="36" borderId="15" xfId="0" applyNumberFormat="1" applyFont="1" applyFill="1" applyBorder="1"/>
    <xf numFmtId="164"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0" fontId="22" fillId="2" borderId="18" xfId="0" applyFont="1" applyFill="1" applyBorder="1"/>
    <xf numFmtId="164" fontId="22" fillId="2" borderId="18" xfId="0" applyNumberFormat="1" applyFont="1" applyFill="1" applyBorder="1"/>
    <xf numFmtId="2" fontId="22" fillId="37" borderId="0" xfId="0" applyNumberFormat="1" applyFont="1" applyFill="1" applyBorder="1"/>
    <xf numFmtId="164" fontId="22" fillId="37" borderId="0"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4"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4"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4"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4"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20" fontId="21" fillId="0" borderId="0" xfId="0" applyNumberFormat="1" applyFont="1"/>
    <xf numFmtId="164" fontId="22" fillId="37" borderId="1" xfId="0" applyNumberFormat="1" applyFont="1" applyFill="1" applyBorder="1"/>
    <xf numFmtId="0" fontId="22" fillId="36" borderId="21" xfId="0" applyFont="1" applyFill="1" applyBorder="1"/>
    <xf numFmtId="165" fontId="22" fillId="36" borderId="18" xfId="0" applyNumberFormat="1" applyFont="1" applyFill="1" applyBorder="1"/>
    <xf numFmtId="20" fontId="22" fillId="36" borderId="18" xfId="0" applyNumberFormat="1" applyFont="1" applyFill="1" applyBorder="1"/>
    <xf numFmtId="20" fontId="22" fillId="37" borderId="19" xfId="0" applyNumberFormat="1" applyFont="1" applyFill="1" applyBorder="1"/>
    <xf numFmtId="20" fontId="22" fillId="36" borderId="20" xfId="0" applyNumberFormat="1" applyFont="1" applyFill="1" applyBorder="1"/>
    <xf numFmtId="20" fontId="22" fillId="37" borderId="20" xfId="0" applyNumberFormat="1" applyFont="1" applyFill="1" applyBorder="1"/>
    <xf numFmtId="20" fontId="22" fillId="36" borderId="21" xfId="0" applyNumberFormat="1" applyFont="1" applyFill="1" applyBorder="1"/>
    <xf numFmtId="164" fontId="22" fillId="36" borderId="21" xfId="0" applyNumberFormat="1" applyFont="1" applyFill="1" applyBorder="1"/>
    <xf numFmtId="0" fontId="31" fillId="0" borderId="0" xfId="0" applyFont="1"/>
    <xf numFmtId="0" fontId="31" fillId="0" borderId="0" xfId="0" applyFont="1" applyAlignment="1">
      <alignment horizontal="left"/>
    </xf>
    <xf numFmtId="0" fontId="32" fillId="0" borderId="0" xfId="0" applyFont="1"/>
    <xf numFmtId="0" fontId="32" fillId="0" borderId="22" xfId="0" applyFont="1" applyBorder="1"/>
    <xf numFmtId="0" fontId="33" fillId="0" borderId="0" xfId="0" applyFont="1"/>
    <xf numFmtId="2" fontId="22" fillId="37" borderId="1" xfId="0" applyNumberFormat="1" applyFont="1" applyFill="1" applyBorder="1"/>
    <xf numFmtId="20" fontId="22" fillId="34" borderId="16" xfId="0" applyNumberFormat="1" applyFont="1" applyFill="1" applyBorder="1"/>
    <xf numFmtId="20" fontId="29" fillId="38" borderId="0" xfId="0" applyNumberFormat="1" applyFont="1" applyFill="1" applyBorder="1"/>
    <xf numFmtId="20" fontId="29" fillId="38" borderId="1" xfId="0" applyNumberFormat="1" applyFont="1" applyFill="1" applyBorder="1"/>
    <xf numFmtId="0" fontId="29" fillId="39" borderId="1" xfId="0" applyFont="1" applyFill="1" applyBorder="1"/>
    <xf numFmtId="20" fontId="29" fillId="38" borderId="15" xfId="0" applyNumberFormat="1" applyFont="1" applyFill="1" applyBorder="1"/>
    <xf numFmtId="0" fontId="21" fillId="41" borderId="0" xfId="0"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43">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F2CE-4EB0-B3A5-D818EC0B3152}"/>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F2CE-4EB0-B3A5-D818EC0B3152}"/>
              </c:ext>
            </c:extLst>
          </c:dPt>
          <c:dPt>
            <c:idx val="2"/>
            <c:marker>
              <c:spPr>
                <a:solidFill>
                  <a:srgbClr val="00FF00"/>
                </a:solidFill>
                <a:ln>
                  <a:solidFill>
                    <a:srgbClr val="00FF00"/>
                  </a:solidFill>
                  <a:prstDash val="solid"/>
                </a:ln>
              </c:spPr>
            </c:marker>
            <c:bubble3D val="0"/>
            <c:extLst>
              <c:ext xmlns:c16="http://schemas.microsoft.com/office/drawing/2014/chart" uri="{C3380CC4-5D6E-409C-BE32-E72D297353CC}">
                <c16:uniqueId val="{00000003-F2CE-4EB0-B3A5-D818EC0B315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F2CE-4EB0-B3A5-D818EC0B3152}"/>
              </c:ext>
            </c:extLst>
          </c:dPt>
          <c:dPt>
            <c:idx val="4"/>
            <c:marker>
              <c:spPr>
                <a:solidFill>
                  <a:srgbClr val="00FF00"/>
                </a:solidFill>
                <a:ln>
                  <a:solidFill>
                    <a:srgbClr val="00FF00"/>
                  </a:solidFill>
                  <a:prstDash val="solid"/>
                </a:ln>
              </c:spPr>
            </c:marker>
            <c:bubble3D val="0"/>
            <c:extLst>
              <c:ext xmlns:c16="http://schemas.microsoft.com/office/drawing/2014/chart" uri="{C3380CC4-5D6E-409C-BE32-E72D297353CC}">
                <c16:uniqueId val="{00000005-F2CE-4EB0-B3A5-D818EC0B3152}"/>
              </c:ext>
            </c:extLst>
          </c:dPt>
          <c:dPt>
            <c:idx val="5"/>
            <c:marker>
              <c:spPr>
                <a:solidFill>
                  <a:srgbClr val="00FF00"/>
                </a:solidFill>
                <a:ln>
                  <a:solidFill>
                    <a:srgbClr val="00FF00"/>
                  </a:solidFill>
                  <a:prstDash val="solid"/>
                </a:ln>
              </c:spPr>
            </c:marker>
            <c:bubble3D val="0"/>
            <c:extLst>
              <c:ext xmlns:c16="http://schemas.microsoft.com/office/drawing/2014/chart" uri="{C3380CC4-5D6E-409C-BE32-E72D297353CC}">
                <c16:uniqueId val="{00000006-F2CE-4EB0-B3A5-D818EC0B3152}"/>
              </c:ext>
            </c:extLst>
          </c:dPt>
          <c:dPt>
            <c:idx val="6"/>
            <c:marker>
              <c:spPr>
                <a:solidFill>
                  <a:srgbClr val="00FF00"/>
                </a:solidFill>
                <a:ln>
                  <a:solidFill>
                    <a:srgbClr val="00FF00"/>
                  </a:solidFill>
                  <a:prstDash val="solid"/>
                </a:ln>
              </c:spPr>
            </c:marker>
            <c:bubble3D val="0"/>
            <c:extLst>
              <c:ext xmlns:c16="http://schemas.microsoft.com/office/drawing/2014/chart" uri="{C3380CC4-5D6E-409C-BE32-E72D297353CC}">
                <c16:uniqueId val="{00000007-F2CE-4EB0-B3A5-D818EC0B3152}"/>
              </c:ext>
            </c:extLst>
          </c:dPt>
          <c:dPt>
            <c:idx val="7"/>
            <c:marker>
              <c:spPr>
                <a:solidFill>
                  <a:srgbClr val="00FF00"/>
                </a:solidFill>
                <a:ln>
                  <a:solidFill>
                    <a:srgbClr val="00FF00"/>
                  </a:solidFill>
                  <a:prstDash val="solid"/>
                </a:ln>
              </c:spPr>
            </c:marker>
            <c:bubble3D val="0"/>
            <c:extLst>
              <c:ext xmlns:c16="http://schemas.microsoft.com/office/drawing/2014/chart" uri="{C3380CC4-5D6E-409C-BE32-E72D297353CC}">
                <c16:uniqueId val="{00000008-F2CE-4EB0-B3A5-D818EC0B3152}"/>
              </c:ext>
            </c:extLst>
          </c:dPt>
          <c:dPt>
            <c:idx val="8"/>
            <c:marker>
              <c:spPr>
                <a:solidFill>
                  <a:srgbClr val="00FF00"/>
                </a:solidFill>
                <a:ln>
                  <a:solidFill>
                    <a:srgbClr val="00FF00"/>
                  </a:solidFill>
                  <a:prstDash val="solid"/>
                </a:ln>
              </c:spPr>
            </c:marker>
            <c:bubble3D val="0"/>
            <c:extLst>
              <c:ext xmlns:c16="http://schemas.microsoft.com/office/drawing/2014/chart" uri="{C3380CC4-5D6E-409C-BE32-E72D297353CC}">
                <c16:uniqueId val="{00000009-F2CE-4EB0-B3A5-D818EC0B3152}"/>
              </c:ext>
            </c:extLst>
          </c:dPt>
          <c:dPt>
            <c:idx val="9"/>
            <c:marker>
              <c:spPr>
                <a:solidFill>
                  <a:srgbClr val="00FF00"/>
                </a:solidFill>
                <a:ln>
                  <a:solidFill>
                    <a:srgbClr val="00FF00"/>
                  </a:solidFill>
                  <a:prstDash val="solid"/>
                </a:ln>
              </c:spPr>
            </c:marker>
            <c:bubble3D val="0"/>
            <c:extLst>
              <c:ext xmlns:c16="http://schemas.microsoft.com/office/drawing/2014/chart" uri="{C3380CC4-5D6E-409C-BE32-E72D297353CC}">
                <c16:uniqueId val="{0000000A-F2CE-4EB0-B3A5-D818EC0B3152}"/>
              </c:ext>
            </c:extLst>
          </c:dPt>
          <c:dPt>
            <c:idx val="10"/>
            <c:marker>
              <c:spPr>
                <a:solidFill>
                  <a:srgbClr val="00FF00"/>
                </a:solidFill>
                <a:ln>
                  <a:solidFill>
                    <a:srgbClr val="00FF00"/>
                  </a:solidFill>
                  <a:prstDash val="solid"/>
                </a:ln>
              </c:spPr>
            </c:marker>
            <c:bubble3D val="0"/>
            <c:extLst>
              <c:ext xmlns:c16="http://schemas.microsoft.com/office/drawing/2014/chart" uri="{C3380CC4-5D6E-409C-BE32-E72D297353CC}">
                <c16:uniqueId val="{0000000B-F2CE-4EB0-B3A5-D818EC0B315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F2CE-4EB0-B3A5-D818EC0B3152}"/>
              </c:ext>
            </c:extLst>
          </c:dPt>
          <c:dPt>
            <c:idx val="12"/>
            <c:marker>
              <c:spPr>
                <a:solidFill>
                  <a:srgbClr val="00FF00"/>
                </a:solidFill>
                <a:ln>
                  <a:solidFill>
                    <a:srgbClr val="00FF00"/>
                  </a:solidFill>
                  <a:prstDash val="solid"/>
                </a:ln>
              </c:spPr>
            </c:marker>
            <c:bubble3D val="0"/>
            <c:extLst>
              <c:ext xmlns:c16="http://schemas.microsoft.com/office/drawing/2014/chart" uri="{C3380CC4-5D6E-409C-BE32-E72D297353CC}">
                <c16:uniqueId val="{0000000D-F2CE-4EB0-B3A5-D818EC0B3152}"/>
              </c:ext>
            </c:extLst>
          </c:dPt>
          <c:dPt>
            <c:idx val="13"/>
            <c:marker>
              <c:spPr>
                <a:solidFill>
                  <a:srgbClr val="00FF00"/>
                </a:solidFill>
                <a:ln>
                  <a:solidFill>
                    <a:srgbClr val="00FF00"/>
                  </a:solidFill>
                  <a:prstDash val="solid"/>
                </a:ln>
              </c:spPr>
            </c:marker>
            <c:bubble3D val="0"/>
            <c:extLst>
              <c:ext xmlns:c16="http://schemas.microsoft.com/office/drawing/2014/chart" uri="{C3380CC4-5D6E-409C-BE32-E72D297353CC}">
                <c16:uniqueId val="{0000000E-F2CE-4EB0-B3A5-D818EC0B3152}"/>
              </c:ext>
            </c:extLst>
          </c:dPt>
          <c:dPt>
            <c:idx val="14"/>
            <c:marker>
              <c:spPr>
                <a:solidFill>
                  <a:srgbClr val="00FF00"/>
                </a:solidFill>
                <a:ln>
                  <a:solidFill>
                    <a:srgbClr val="00FF00"/>
                  </a:solidFill>
                  <a:prstDash val="solid"/>
                </a:ln>
              </c:spPr>
            </c:marker>
            <c:bubble3D val="0"/>
            <c:extLst>
              <c:ext xmlns:c16="http://schemas.microsoft.com/office/drawing/2014/chart" uri="{C3380CC4-5D6E-409C-BE32-E72D297353CC}">
                <c16:uniqueId val="{0000000F-F2CE-4EB0-B3A5-D818EC0B3152}"/>
              </c:ext>
            </c:extLst>
          </c:dPt>
          <c:dPt>
            <c:idx val="15"/>
            <c:marker>
              <c:spPr>
                <a:solidFill>
                  <a:srgbClr val="00FF00"/>
                </a:solidFill>
                <a:ln>
                  <a:solidFill>
                    <a:srgbClr val="00FF00"/>
                  </a:solidFill>
                  <a:prstDash val="solid"/>
                </a:ln>
              </c:spPr>
            </c:marker>
            <c:bubble3D val="0"/>
            <c:extLst>
              <c:ext xmlns:c16="http://schemas.microsoft.com/office/drawing/2014/chart" uri="{C3380CC4-5D6E-409C-BE32-E72D297353CC}">
                <c16:uniqueId val="{00000010-F2CE-4EB0-B3A5-D818EC0B3152}"/>
              </c:ext>
            </c:extLst>
          </c:dPt>
          <c:dPt>
            <c:idx val="16"/>
            <c:marker>
              <c:spPr>
                <a:solidFill>
                  <a:srgbClr val="00FF00"/>
                </a:solidFill>
                <a:ln>
                  <a:solidFill>
                    <a:srgbClr val="00FF00"/>
                  </a:solidFill>
                  <a:prstDash val="solid"/>
                </a:ln>
              </c:spPr>
            </c:marker>
            <c:bubble3D val="0"/>
            <c:extLst>
              <c:ext xmlns:c16="http://schemas.microsoft.com/office/drawing/2014/chart" uri="{C3380CC4-5D6E-409C-BE32-E72D297353CC}">
                <c16:uniqueId val="{00000011-F2CE-4EB0-B3A5-D818EC0B3152}"/>
              </c:ext>
            </c:extLst>
          </c:dPt>
          <c:dPt>
            <c:idx val="17"/>
            <c:marker>
              <c:spPr>
                <a:solidFill>
                  <a:srgbClr val="339966"/>
                </a:solidFill>
                <a:ln>
                  <a:solidFill>
                    <a:srgbClr val="339966"/>
                  </a:solidFill>
                  <a:prstDash val="solid"/>
                </a:ln>
              </c:spPr>
            </c:marker>
            <c:bubble3D val="0"/>
            <c:extLst>
              <c:ext xmlns:c16="http://schemas.microsoft.com/office/drawing/2014/chart" uri="{C3380CC4-5D6E-409C-BE32-E72D297353CC}">
                <c16:uniqueId val="{00000012-F2CE-4EB0-B3A5-D818EC0B3152}"/>
              </c:ext>
            </c:extLst>
          </c:dPt>
          <c:dPt>
            <c:idx val="18"/>
            <c:marker>
              <c:spPr>
                <a:solidFill>
                  <a:srgbClr val="00FF00"/>
                </a:solidFill>
                <a:ln>
                  <a:solidFill>
                    <a:srgbClr val="00FF00"/>
                  </a:solidFill>
                  <a:prstDash val="solid"/>
                </a:ln>
              </c:spPr>
            </c:marker>
            <c:bubble3D val="0"/>
            <c:extLst>
              <c:ext xmlns:c16="http://schemas.microsoft.com/office/drawing/2014/chart" uri="{C3380CC4-5D6E-409C-BE32-E72D297353CC}">
                <c16:uniqueId val="{00000013-F2CE-4EB0-B3A5-D818EC0B3152}"/>
              </c:ext>
            </c:extLst>
          </c:dPt>
          <c:dPt>
            <c:idx val="19"/>
            <c:marker>
              <c:spPr>
                <a:solidFill>
                  <a:srgbClr val="00FF00"/>
                </a:solidFill>
                <a:ln>
                  <a:solidFill>
                    <a:srgbClr val="00FF00"/>
                  </a:solidFill>
                  <a:prstDash val="solid"/>
                </a:ln>
              </c:spPr>
            </c:marker>
            <c:bubble3D val="0"/>
            <c:extLst>
              <c:ext xmlns:c16="http://schemas.microsoft.com/office/drawing/2014/chart" uri="{C3380CC4-5D6E-409C-BE32-E72D297353CC}">
                <c16:uniqueId val="{00000014-F2CE-4EB0-B3A5-D818EC0B3152}"/>
              </c:ext>
            </c:extLst>
          </c:dPt>
          <c:dPt>
            <c:idx val="20"/>
            <c:marker>
              <c:spPr>
                <a:solidFill>
                  <a:srgbClr val="00FF00"/>
                </a:solidFill>
                <a:ln>
                  <a:solidFill>
                    <a:srgbClr val="00FF00"/>
                  </a:solidFill>
                  <a:prstDash val="solid"/>
                </a:ln>
              </c:spPr>
            </c:marker>
            <c:bubble3D val="0"/>
            <c:extLst>
              <c:ext xmlns:c16="http://schemas.microsoft.com/office/drawing/2014/chart" uri="{C3380CC4-5D6E-409C-BE32-E72D297353CC}">
                <c16:uniqueId val="{00000015-F2CE-4EB0-B3A5-D818EC0B3152}"/>
              </c:ext>
            </c:extLst>
          </c:dPt>
          <c:dPt>
            <c:idx val="21"/>
            <c:marker>
              <c:spPr>
                <a:solidFill>
                  <a:srgbClr val="00FF00"/>
                </a:solidFill>
                <a:ln>
                  <a:solidFill>
                    <a:srgbClr val="00FF00"/>
                  </a:solidFill>
                  <a:prstDash val="solid"/>
                </a:ln>
              </c:spPr>
            </c:marker>
            <c:bubble3D val="0"/>
            <c:extLst>
              <c:ext xmlns:c16="http://schemas.microsoft.com/office/drawing/2014/chart" uri="{C3380CC4-5D6E-409C-BE32-E72D297353CC}">
                <c16:uniqueId val="{00000016-F2CE-4EB0-B3A5-D818EC0B3152}"/>
              </c:ext>
            </c:extLst>
          </c:dPt>
          <c:dPt>
            <c:idx val="22"/>
            <c:marker>
              <c:spPr>
                <a:solidFill>
                  <a:srgbClr val="339966"/>
                </a:solidFill>
                <a:ln>
                  <a:solidFill>
                    <a:srgbClr val="339966"/>
                  </a:solidFill>
                  <a:prstDash val="solid"/>
                </a:ln>
              </c:spPr>
            </c:marker>
            <c:bubble3D val="0"/>
            <c:extLst>
              <c:ext xmlns:c16="http://schemas.microsoft.com/office/drawing/2014/chart" uri="{C3380CC4-5D6E-409C-BE32-E72D297353CC}">
                <c16:uniqueId val="{00000017-F2CE-4EB0-B3A5-D818EC0B315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2CE-4EB0-B3A5-D818EC0B315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2CE-4EB0-B3A5-D818EC0B315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2CE-4EB0-B3A5-D818EC0B315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2CE-4EB0-B3A5-D818EC0B315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2CE-4EB0-B3A5-D818EC0B315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2CE-4EB0-B3A5-D818EC0B315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2CE-4EB0-B3A5-D818EC0B315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2CE-4EB0-B3A5-D818EC0B315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2CE-4EB0-B3A5-D818EC0B315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2CE-4EB0-B3A5-D818EC0B315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2CE-4EB0-B3A5-D818EC0B315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2CE-4EB0-B3A5-D818EC0B315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2CE-4EB0-B3A5-D818EC0B315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2CE-4EB0-B3A5-D818EC0B315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2CE-4EB0-B3A5-D818EC0B315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2CE-4EB0-B3A5-D818EC0B3152}"/>
                </c:ext>
              </c:extLst>
            </c:dLbl>
            <c:dLbl>
              <c:idx val="16"/>
              <c:tx>
                <c:rich>
                  <a:bodyPr/>
                  <a:lstStyle/>
                  <a:p>
                    <a:r>
                      <a:rPr lang="en-US"/>
                      <a:t>16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F2CE-4EB0-B3A5-D818EC0B3152}"/>
                </c:ext>
              </c:extLst>
            </c:dLbl>
            <c:dLbl>
              <c:idx val="17"/>
              <c:tx>
                <c:rich>
                  <a:bodyPr/>
                  <a:lstStyle/>
                  <a:p>
                    <a:r>
                      <a:rPr lang="en-US"/>
                      <a:t>17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2CE-4EB0-B3A5-D818EC0B3152}"/>
                </c:ext>
              </c:extLst>
            </c:dLbl>
            <c:dLbl>
              <c:idx val="18"/>
              <c:tx>
                <c:rich>
                  <a:bodyPr/>
                  <a:lstStyle/>
                  <a:p>
                    <a:r>
                      <a:rPr lang="en-US"/>
                      <a:t>18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F2CE-4EB0-B3A5-D818EC0B3152}"/>
                </c:ext>
              </c:extLst>
            </c:dLbl>
            <c:dLbl>
              <c:idx val="19"/>
              <c:tx>
                <c:rich>
                  <a:bodyPr/>
                  <a:lstStyle/>
                  <a:p>
                    <a:r>
                      <a:rPr lang="en-US"/>
                      <a:t>19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F2CE-4EB0-B3A5-D818EC0B3152}"/>
                </c:ext>
              </c:extLst>
            </c:dLbl>
            <c:dLbl>
              <c:idx val="20"/>
              <c:tx>
                <c:rich>
                  <a:bodyPr/>
                  <a:lstStyle/>
                  <a:p>
                    <a:r>
                      <a:rPr lang="en-US"/>
                      <a:t>20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F2CE-4EB0-B3A5-D818EC0B3152}"/>
                </c:ext>
              </c:extLst>
            </c:dLbl>
            <c:dLbl>
              <c:idx val="21"/>
              <c:tx>
                <c:rich>
                  <a:bodyPr/>
                  <a:lstStyle/>
                  <a:p>
                    <a:r>
                      <a:rPr lang="en-US"/>
                      <a:t>21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2CE-4EB0-B3A5-D818EC0B3152}"/>
                </c:ext>
              </c:extLst>
            </c:dLbl>
            <c:dLbl>
              <c:idx val="22"/>
              <c:tx>
                <c:rich>
                  <a:bodyPr/>
                  <a:lstStyle/>
                  <a:p>
                    <a:r>
                      <a:rPr lang="en-US"/>
                      <a:t>22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F2CE-4EB0-B3A5-D818EC0B315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Locais'!$E$2:$E$24</c:f>
              <c:numCache>
                <c:formatCode>General</c:formatCode>
                <c:ptCount val="23"/>
                <c:pt idx="0" formatCode="0.0000000">
                  <c:v>-48.298583999999998</c:v>
                </c:pt>
                <c:pt idx="1">
                  <c:v>-48.293768</c:v>
                </c:pt>
                <c:pt idx="2">
                  <c:v>-48.290249000000003</c:v>
                </c:pt>
                <c:pt idx="3">
                  <c:v>-48.293022000000001</c:v>
                </c:pt>
                <c:pt idx="4">
                  <c:v>-48.282004000000001</c:v>
                </c:pt>
                <c:pt idx="5">
                  <c:v>-48.294384999999998</c:v>
                </c:pt>
                <c:pt idx="6">
                  <c:v>-48.293768</c:v>
                </c:pt>
                <c:pt idx="7">
                  <c:v>-48.296253</c:v>
                </c:pt>
                <c:pt idx="8">
                  <c:v>-48.298287600000002</c:v>
                </c:pt>
                <c:pt idx="9">
                  <c:v>-48.298969</c:v>
                </c:pt>
                <c:pt idx="10">
                  <c:v>-48.298056600000002</c:v>
                </c:pt>
                <c:pt idx="11">
                  <c:v>-48.301355899999997</c:v>
                </c:pt>
                <c:pt idx="12">
                  <c:v>-48.392023399999999</c:v>
                </c:pt>
                <c:pt idx="13">
                  <c:v>-48.392023399999999</c:v>
                </c:pt>
                <c:pt idx="14">
                  <c:v>-48.392023399999999</c:v>
                </c:pt>
                <c:pt idx="15">
                  <c:v>-48.392023399999999</c:v>
                </c:pt>
                <c:pt idx="16">
                  <c:v>-48.304425999999999</c:v>
                </c:pt>
                <c:pt idx="17">
                  <c:v>-48.295870000000001</c:v>
                </c:pt>
                <c:pt idx="18">
                  <c:v>-48.299523999999998</c:v>
                </c:pt>
                <c:pt idx="19">
                  <c:v>-48.294383099999997</c:v>
                </c:pt>
                <c:pt idx="20">
                  <c:v>-48.303457000000002</c:v>
                </c:pt>
                <c:pt idx="21">
                  <c:v>-48.3977352</c:v>
                </c:pt>
                <c:pt idx="22">
                  <c:v>-48.298139999999997</c:v>
                </c:pt>
              </c:numCache>
            </c:numRef>
          </c:xVal>
          <c:yVal>
            <c:numRef>
              <c:f>'1. Locais'!$D$2:$D$24</c:f>
              <c:numCache>
                <c:formatCode>General</c:formatCode>
                <c:ptCount val="23"/>
                <c:pt idx="0" formatCode="0.0000000">
                  <c:v>-10.3485839</c:v>
                </c:pt>
                <c:pt idx="1">
                  <c:v>-10.344564</c:v>
                </c:pt>
                <c:pt idx="2">
                  <c:v>-10.350031</c:v>
                </c:pt>
                <c:pt idx="3">
                  <c:v>-10.33384</c:v>
                </c:pt>
                <c:pt idx="4">
                  <c:v>-10.3452819</c:v>
                </c:pt>
                <c:pt idx="5">
                  <c:v>-10.349429000000001</c:v>
                </c:pt>
                <c:pt idx="6">
                  <c:v>-10.344564</c:v>
                </c:pt>
                <c:pt idx="7">
                  <c:v>-10.340785</c:v>
                </c:pt>
                <c:pt idx="8">
                  <c:v>-10.3339122</c:v>
                </c:pt>
                <c:pt idx="9">
                  <c:v>-10.333536</c:v>
                </c:pt>
                <c:pt idx="10">
                  <c:v>-10.3582036</c:v>
                </c:pt>
                <c:pt idx="11">
                  <c:v>-10.354574899999999</c:v>
                </c:pt>
                <c:pt idx="12">
                  <c:v>-10.686169899999999</c:v>
                </c:pt>
                <c:pt idx="13">
                  <c:v>-10.686169899999999</c:v>
                </c:pt>
                <c:pt idx="14">
                  <c:v>-10.686169899999999</c:v>
                </c:pt>
                <c:pt idx="15">
                  <c:v>-10.686169899999999</c:v>
                </c:pt>
                <c:pt idx="16">
                  <c:v>-10.371456</c:v>
                </c:pt>
                <c:pt idx="17">
                  <c:v>-10.33765</c:v>
                </c:pt>
                <c:pt idx="18">
                  <c:v>-10.338210999999999</c:v>
                </c:pt>
                <c:pt idx="19">
                  <c:v>-10.3352176</c:v>
                </c:pt>
                <c:pt idx="20">
                  <c:v>-10.354293</c:v>
                </c:pt>
                <c:pt idx="21">
                  <c:v>-10.670123500000001</c:v>
                </c:pt>
                <c:pt idx="22">
                  <c:v>-10.332970400000001</c:v>
                </c:pt>
              </c:numCache>
            </c:numRef>
          </c:yVal>
          <c:smooth val="0"/>
          <c:extLst>
            <c:ext xmlns:c16="http://schemas.microsoft.com/office/drawing/2014/chart" uri="{C3380CC4-5D6E-409C-BE32-E72D297353CC}">
              <c16:uniqueId val="{00000000-F2CE-4EB0-B3A5-D818EC0B3152}"/>
            </c:ext>
          </c:extLst>
        </c:ser>
        <c:ser>
          <c:idx val="1"/>
          <c:order val="1"/>
          <c:tx>
            <c:strRef>
              <c:f>'4. Solução'!$B$3</c:f>
              <c:strCache>
                <c:ptCount val="1"/>
                <c:pt idx="0">
                  <c:v>V1</c:v>
                </c:pt>
              </c:strCache>
            </c:strRef>
          </c:tx>
          <c:spPr>
            <a:ln w="22225"/>
          </c:spPr>
          <c:marker>
            <c:symbol val="none"/>
          </c:marker>
          <c:xVal>
            <c:numRef>
              <c:f>'4. Solução'!$E$5:$E$28</c:f>
              <c:numCache>
                <c:formatCode>General</c:formatCode>
                <c:ptCount val="24"/>
                <c:pt idx="0">
                  <c:v>-48.298583999999998</c:v>
                </c:pt>
                <c:pt idx="1">
                  <c:v>-48.301355899999997</c:v>
                </c:pt>
                <c:pt idx="2">
                  <c:v>-48.293768</c:v>
                </c:pt>
                <c:pt idx="3">
                  <c:v>-48.295870000000001</c:v>
                </c:pt>
                <c:pt idx="4">
                  <c:v>-48.293022000000001</c:v>
                </c:pt>
                <c:pt idx="5">
                  <c:v>-48.298139999999997</c:v>
                </c:pt>
                <c:pt idx="6">
                  <c:v>-48.298583999999998</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'4. Solução'!$D$5:$D$28</c:f>
              <c:numCache>
                <c:formatCode>General</c:formatCode>
                <c:ptCount val="24"/>
                <c:pt idx="0">
                  <c:v>-10.3485839</c:v>
                </c:pt>
                <c:pt idx="1">
                  <c:v>-10.354574899999999</c:v>
                </c:pt>
                <c:pt idx="2">
                  <c:v>-10.344564</c:v>
                </c:pt>
                <c:pt idx="3">
                  <c:v>-10.33765</c:v>
                </c:pt>
                <c:pt idx="4">
                  <c:v>-10.33384</c:v>
                </c:pt>
                <c:pt idx="5">
                  <c:v>-10.332970400000001</c:v>
                </c:pt>
                <c:pt idx="6">
                  <c:v>-10.3485839</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0"/>
          <c:extLst>
            <c:ext xmlns:c16="http://schemas.microsoft.com/office/drawing/2014/chart" uri="{C3380CC4-5D6E-409C-BE32-E72D297353CC}">
              <c16:uniqueId val="{00000018-F2CE-4EB0-B3A5-D818EC0B3152}"/>
            </c:ext>
          </c:extLst>
        </c:ser>
        <c:dLbls>
          <c:showLegendKey val="0"/>
          <c:showVal val="0"/>
          <c:showCatName val="0"/>
          <c:showSerName val="0"/>
          <c:showPercent val="0"/>
          <c:showBubbleSize val="0"/>
        </c:dLbls>
        <c:axId val="599050831"/>
        <c:axId val="599051247"/>
      </c:scatterChart>
      <c:valAx>
        <c:axId val="599050831"/>
        <c:scaling>
          <c:orientation val="minMax"/>
          <c:max val="-47.877044677734375"/>
          <c:min val="-48.755950927734375"/>
        </c:scaling>
        <c:delete val="1"/>
        <c:axPos val="b"/>
        <c:numFmt formatCode="0.0000000" sourceLinked="1"/>
        <c:majorTickMark val="out"/>
        <c:minorTickMark val="none"/>
        <c:tickLblPos val="nextTo"/>
        <c:crossAx val="599051247"/>
        <c:crosses val="autoZero"/>
        <c:crossBetween val="midCat"/>
      </c:valAx>
      <c:valAx>
        <c:axId val="599051247"/>
        <c:scaling>
          <c:orientation val="minMax"/>
          <c:max val="-9.9864333761704298"/>
          <c:min val="-10.85084008369075"/>
        </c:scaling>
        <c:delete val="1"/>
        <c:axPos val="l"/>
        <c:numFmt formatCode="0.0000000" sourceLinked="1"/>
        <c:majorTickMark val="out"/>
        <c:minorTickMark val="none"/>
        <c:tickLblPos val="nextTo"/>
        <c:crossAx val="599050831"/>
        <c:crosses val="autoZero"/>
        <c:crossBetween val="midCat"/>
      </c:valAx>
      <c:spPr>
        <a:blipFill dpi="0" rotWithShape="1">
          <a:blip xmlns:r="http://schemas.openxmlformats.org/officeDocument/2006/relationships" r:embed="rId1">
            <a:alphaModFix amt="50000"/>
          </a:blip>
          <a:srcRect/>
          <a:stretch>
            <a:fillRect/>
          </a:stretch>
        </a:blipFill>
        <a:ln w="38100">
          <a:solidFill>
            <a:srgbClr val="FFC000"/>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254000</xdr:colOff>
      <xdr:row>26</xdr:row>
      <xdr:rowOff>25400</xdr:rowOff>
    </xdr:to>
    <xdr:graphicFrame macro="">
      <xdr:nvGraphicFramePr>
        <xdr:cNvPr id="2" name="Gráfico 1">
          <a:extLst>
            <a:ext uri="{FF2B5EF4-FFF2-40B4-BE49-F238E27FC236}">
              <a16:creationId xmlns:a16="http://schemas.microsoft.com/office/drawing/2014/main" id="{B50C3AB3-83CE-40DF-A4EE-48A6815FB91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topLeftCell="A4" zoomScaleNormal="100" workbookViewId="0">
      <selection activeCell="C17" sqref="C17"/>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22</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1760</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2B8B-1950-4CE0-B9DD-5F2AAE7B5F99}">
  <sheetPr codeName="Planilha1"/>
  <dimension ref="A1:L24"/>
  <sheetViews>
    <sheetView tabSelected="1" topLeftCell="B1" workbookViewId="0">
      <selection activeCell="G3" sqref="G3"/>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59" t="s">
        <v>1144</v>
      </c>
      <c r="B1" s="26" t="s">
        <v>197</v>
      </c>
      <c r="C1" s="26" t="s">
        <v>1099</v>
      </c>
      <c r="D1" s="26" t="s">
        <v>552</v>
      </c>
      <c r="E1" s="26" t="s">
        <v>559</v>
      </c>
      <c r="F1" s="26" t="s">
        <v>1642</v>
      </c>
      <c r="G1" s="26" t="s">
        <v>1641</v>
      </c>
      <c r="H1" s="26" t="s">
        <v>1153</v>
      </c>
      <c r="I1" s="26" t="s">
        <v>1623</v>
      </c>
      <c r="J1" s="26" t="s">
        <v>1609</v>
      </c>
      <c r="K1" s="26" t="s">
        <v>1117</v>
      </c>
      <c r="L1" s="26" t="s">
        <v>202</v>
      </c>
    </row>
    <row r="2" spans="1:12" ht="15.75" thickBot="1" x14ac:dyDescent="0.3">
      <c r="A2" s="20">
        <v>0</v>
      </c>
      <c r="B2" s="27" t="s">
        <v>4028</v>
      </c>
      <c r="C2" s="27"/>
      <c r="D2" s="62">
        <v>-10.3485839</v>
      </c>
      <c r="E2" s="62">
        <v>-48.298583999999998</v>
      </c>
      <c r="F2" s="63">
        <v>0</v>
      </c>
      <c r="G2" s="63">
        <v>0.99930555555555556</v>
      </c>
      <c r="H2" s="34" t="s">
        <v>1628</v>
      </c>
      <c r="I2" s="35">
        <v>0</v>
      </c>
      <c r="J2" s="34">
        <v>0</v>
      </c>
      <c r="K2" s="34">
        <v>0</v>
      </c>
      <c r="L2" s="34">
        <v>0</v>
      </c>
    </row>
    <row r="3" spans="1:12" ht="15.75" thickTop="1" x14ac:dyDescent="0.25">
      <c r="A3" s="21">
        <v>1</v>
      </c>
      <c r="B3" s="28" t="s">
        <v>4004</v>
      </c>
      <c r="C3" s="69" t="s">
        <v>4029</v>
      </c>
      <c r="D3">
        <v>-10.344564</v>
      </c>
      <c r="E3">
        <v>-48.293768</v>
      </c>
      <c r="F3" s="64">
        <v>0</v>
      </c>
      <c r="G3" s="64">
        <v>0.41666666666666669</v>
      </c>
      <c r="H3" s="28" t="s">
        <v>1152</v>
      </c>
      <c r="I3" s="31">
        <v>0</v>
      </c>
      <c r="J3" s="28">
        <v>0</v>
      </c>
      <c r="K3" s="28">
        <v>2</v>
      </c>
      <c r="L3" s="28">
        <v>0</v>
      </c>
    </row>
    <row r="4" spans="1:12" ht="15.75" thickBot="1" x14ac:dyDescent="0.3">
      <c r="A4" s="23">
        <v>2</v>
      </c>
      <c r="B4" s="29" t="s">
        <v>4005</v>
      </c>
      <c r="C4" s="69" t="s">
        <v>4030</v>
      </c>
      <c r="D4">
        <v>-10.350031</v>
      </c>
      <c r="E4">
        <v>-48.290249000000003</v>
      </c>
      <c r="F4" s="65">
        <v>0</v>
      </c>
      <c r="G4" s="65">
        <v>0.99930555555555556</v>
      </c>
      <c r="H4" s="29" t="s">
        <v>1151</v>
      </c>
      <c r="I4" s="32">
        <v>0</v>
      </c>
      <c r="J4" s="29">
        <v>0</v>
      </c>
      <c r="K4" s="29">
        <v>0</v>
      </c>
      <c r="L4" s="29">
        <v>0</v>
      </c>
    </row>
    <row r="5" spans="1:12" ht="16.5" thickTop="1" thickBot="1" x14ac:dyDescent="0.3">
      <c r="A5" s="23">
        <v>3</v>
      </c>
      <c r="B5" s="28" t="s">
        <v>4006</v>
      </c>
      <c r="C5" s="69" t="s">
        <v>4031</v>
      </c>
      <c r="D5">
        <v>-10.33384</v>
      </c>
      <c r="E5">
        <v>-48.293022000000001</v>
      </c>
      <c r="F5" s="66">
        <v>0</v>
      </c>
      <c r="G5" s="66">
        <v>0.99930555555555556</v>
      </c>
      <c r="H5" s="30" t="s">
        <v>1152</v>
      </c>
      <c r="I5" s="33">
        <v>0</v>
      </c>
      <c r="J5" s="30">
        <v>0</v>
      </c>
      <c r="K5" s="30">
        <v>3</v>
      </c>
      <c r="L5" s="30">
        <v>0</v>
      </c>
    </row>
    <row r="6" spans="1:12" ht="15.75" thickTop="1" x14ac:dyDescent="0.25">
      <c r="A6" s="23">
        <v>4</v>
      </c>
      <c r="B6" s="28" t="s">
        <v>4007</v>
      </c>
      <c r="C6" s="69" t="s">
        <v>4032</v>
      </c>
      <c r="D6">
        <v>-10.3452819</v>
      </c>
      <c r="E6">
        <v>-48.282004000000001</v>
      </c>
      <c r="F6" s="65">
        <v>0</v>
      </c>
      <c r="G6" s="65">
        <v>0.99930555555555556</v>
      </c>
      <c r="H6" s="29" t="s">
        <v>1151</v>
      </c>
      <c r="I6" s="32">
        <v>0</v>
      </c>
      <c r="J6" s="29">
        <v>0</v>
      </c>
      <c r="K6" s="29">
        <v>0</v>
      </c>
      <c r="L6" s="29">
        <v>0</v>
      </c>
    </row>
    <row r="7" spans="1:12" ht="15.75" thickBot="1" x14ac:dyDescent="0.3">
      <c r="A7" s="23">
        <v>5</v>
      </c>
      <c r="B7" s="29" t="s">
        <v>4008</v>
      </c>
      <c r="C7" s="70" t="s">
        <v>4033</v>
      </c>
      <c r="D7">
        <v>-10.349429000000001</v>
      </c>
      <c r="E7">
        <v>-48.294384999999998</v>
      </c>
      <c r="F7" s="66">
        <v>0</v>
      </c>
      <c r="G7" s="66">
        <v>0.99930555555555556</v>
      </c>
      <c r="H7" s="30" t="s">
        <v>1151</v>
      </c>
      <c r="I7" s="33">
        <v>0</v>
      </c>
      <c r="J7" s="30">
        <v>0</v>
      </c>
      <c r="K7" s="30">
        <v>0</v>
      </c>
      <c r="L7" s="30">
        <v>0</v>
      </c>
    </row>
    <row r="8" spans="1:12" ht="16.5" thickTop="1" thickBot="1" x14ac:dyDescent="0.3">
      <c r="A8" s="23">
        <v>6</v>
      </c>
      <c r="B8" s="28" t="s">
        <v>4009</v>
      </c>
      <c r="C8" s="69" t="s">
        <v>4029</v>
      </c>
      <c r="D8">
        <v>-10.344564</v>
      </c>
      <c r="E8">
        <v>-48.293768</v>
      </c>
      <c r="F8" s="65">
        <v>0</v>
      </c>
      <c r="G8" s="65">
        <v>0.99930555555555556</v>
      </c>
      <c r="H8" s="29" t="s">
        <v>1151</v>
      </c>
      <c r="I8" s="32">
        <v>0</v>
      </c>
      <c r="J8" s="29">
        <v>0</v>
      </c>
      <c r="K8" s="29">
        <v>0</v>
      </c>
      <c r="L8" s="29">
        <v>0</v>
      </c>
    </row>
    <row r="9" spans="1:12" ht="15.75" thickTop="1" x14ac:dyDescent="0.25">
      <c r="A9" s="23">
        <v>7</v>
      </c>
      <c r="B9" s="28" t="s">
        <v>4010</v>
      </c>
      <c r="C9" s="69" t="s">
        <v>4034</v>
      </c>
      <c r="D9">
        <v>-10.340785</v>
      </c>
      <c r="E9">
        <v>-48.296253</v>
      </c>
      <c r="F9" s="66">
        <v>0</v>
      </c>
      <c r="G9" s="66">
        <v>0.99930555555555556</v>
      </c>
      <c r="H9" s="30" t="s">
        <v>1151</v>
      </c>
      <c r="I9" s="33">
        <v>0</v>
      </c>
      <c r="J9" s="30">
        <v>0</v>
      </c>
      <c r="K9" s="30">
        <v>0</v>
      </c>
      <c r="L9" s="30">
        <v>0</v>
      </c>
    </row>
    <row r="10" spans="1:12" ht="15.75" thickBot="1" x14ac:dyDescent="0.3">
      <c r="A10" s="23">
        <v>8</v>
      </c>
      <c r="B10" s="29" t="s">
        <v>4011</v>
      </c>
      <c r="C10" s="69" t="s">
        <v>4035</v>
      </c>
      <c r="D10">
        <v>-10.3339122</v>
      </c>
      <c r="E10">
        <v>-48.298287600000002</v>
      </c>
      <c r="F10" s="65">
        <v>0</v>
      </c>
      <c r="G10" s="65">
        <v>0.99930555555555556</v>
      </c>
      <c r="H10" s="29" t="s">
        <v>1151</v>
      </c>
      <c r="I10" s="32">
        <v>0</v>
      </c>
      <c r="J10" s="29">
        <v>0</v>
      </c>
      <c r="K10" s="29">
        <v>0</v>
      </c>
      <c r="L10" s="29">
        <v>0</v>
      </c>
    </row>
    <row r="11" spans="1:12" ht="16.5" thickTop="1" thickBot="1" x14ac:dyDescent="0.3">
      <c r="A11" s="23">
        <v>9</v>
      </c>
      <c r="B11" s="28" t="s">
        <v>4012</v>
      </c>
      <c r="C11" s="69" t="s">
        <v>4036</v>
      </c>
      <c r="D11">
        <v>-10.333536</v>
      </c>
      <c r="E11">
        <v>-48.298969</v>
      </c>
      <c r="F11" s="66">
        <v>0</v>
      </c>
      <c r="G11" s="66">
        <v>0.99930555555555556</v>
      </c>
      <c r="H11" s="30" t="s">
        <v>1151</v>
      </c>
      <c r="I11" s="33">
        <v>0</v>
      </c>
      <c r="J11" s="30">
        <v>0</v>
      </c>
      <c r="K11" s="30">
        <v>0</v>
      </c>
      <c r="L11" s="30">
        <v>0</v>
      </c>
    </row>
    <row r="12" spans="1:12" ht="15.75" thickTop="1" x14ac:dyDescent="0.25">
      <c r="A12" s="23">
        <v>10</v>
      </c>
      <c r="B12" s="28" t="s">
        <v>4013</v>
      </c>
      <c r="C12" s="69" t="s">
        <v>4037</v>
      </c>
      <c r="D12">
        <v>-10.3582036</v>
      </c>
      <c r="E12">
        <v>-48.298056600000002</v>
      </c>
      <c r="F12" s="65">
        <v>0</v>
      </c>
      <c r="G12" s="65">
        <v>0.99930555555555556</v>
      </c>
      <c r="H12" s="29" t="s">
        <v>1151</v>
      </c>
      <c r="I12" s="32">
        <v>0</v>
      </c>
      <c r="J12" s="29">
        <v>0</v>
      </c>
      <c r="K12" s="29">
        <v>0</v>
      </c>
      <c r="L12" s="29">
        <v>0</v>
      </c>
    </row>
    <row r="13" spans="1:12" ht="15.75" thickBot="1" x14ac:dyDescent="0.3">
      <c r="A13" s="23">
        <v>11</v>
      </c>
      <c r="B13" s="29" t="s">
        <v>4014</v>
      </c>
      <c r="C13" s="69" t="s">
        <v>4038</v>
      </c>
      <c r="D13">
        <v>-10.354574899999999</v>
      </c>
      <c r="E13">
        <v>-48.301355899999997</v>
      </c>
      <c r="F13" s="66">
        <v>0</v>
      </c>
      <c r="G13" s="66">
        <v>0.99930555555555556</v>
      </c>
      <c r="H13" s="30" t="s">
        <v>1152</v>
      </c>
      <c r="I13" s="33">
        <v>0</v>
      </c>
      <c r="J13" s="30">
        <v>0</v>
      </c>
      <c r="K13" s="30">
        <v>5</v>
      </c>
      <c r="L13" s="30">
        <v>0</v>
      </c>
    </row>
    <row r="14" spans="1:12" ht="16.5" thickTop="1" thickBot="1" x14ac:dyDescent="0.3">
      <c r="A14" s="23">
        <v>12</v>
      </c>
      <c r="B14" s="28" t="s">
        <v>4015</v>
      </c>
      <c r="C14" s="69" t="s">
        <v>4039</v>
      </c>
      <c r="D14">
        <v>-10.686169899999999</v>
      </c>
      <c r="E14">
        <v>-48.392023399999999</v>
      </c>
      <c r="F14" s="65">
        <v>0</v>
      </c>
      <c r="G14" s="65">
        <v>0.99930555555555556</v>
      </c>
      <c r="H14" s="29" t="s">
        <v>1151</v>
      </c>
      <c r="I14" s="32">
        <v>0</v>
      </c>
      <c r="J14" s="29">
        <v>0</v>
      </c>
      <c r="K14" s="29">
        <v>0</v>
      </c>
      <c r="L14" s="29">
        <v>0</v>
      </c>
    </row>
    <row r="15" spans="1:12" ht="15.75" thickTop="1" x14ac:dyDescent="0.25">
      <c r="A15" s="23">
        <v>13</v>
      </c>
      <c r="B15" s="28" t="s">
        <v>4016</v>
      </c>
      <c r="C15" t="s">
        <v>4039</v>
      </c>
      <c r="D15">
        <v>-10.686169899999999</v>
      </c>
      <c r="E15">
        <v>-48.392023399999999</v>
      </c>
      <c r="F15" s="66">
        <v>0</v>
      </c>
      <c r="G15" s="66">
        <v>0.99930555555555556</v>
      </c>
      <c r="H15" s="30" t="s">
        <v>1151</v>
      </c>
      <c r="I15" s="33">
        <v>0</v>
      </c>
      <c r="J15" s="30">
        <v>0</v>
      </c>
      <c r="K15" s="30">
        <v>0</v>
      </c>
      <c r="L15" s="30">
        <v>0</v>
      </c>
    </row>
    <row r="16" spans="1:12" ht="15.75" thickBot="1" x14ac:dyDescent="0.3">
      <c r="A16" s="23">
        <v>14</v>
      </c>
      <c r="B16" s="29" t="s">
        <v>4017</v>
      </c>
      <c r="C16" t="s">
        <v>4039</v>
      </c>
      <c r="D16">
        <v>-10.686169899999999</v>
      </c>
      <c r="E16">
        <v>-48.392023399999999</v>
      </c>
      <c r="F16" s="65">
        <v>0</v>
      </c>
      <c r="G16" s="65">
        <v>0.99930555555555556</v>
      </c>
      <c r="H16" s="29" t="s">
        <v>1151</v>
      </c>
      <c r="I16" s="32">
        <v>0</v>
      </c>
      <c r="J16" s="29">
        <v>0</v>
      </c>
      <c r="K16" s="29">
        <v>0</v>
      </c>
      <c r="L16" s="29">
        <v>0</v>
      </c>
    </row>
    <row r="17" spans="1:12" ht="16.5" thickTop="1" thickBot="1" x14ac:dyDescent="0.3">
      <c r="A17" s="23">
        <v>15</v>
      </c>
      <c r="B17" s="28" t="s">
        <v>4018</v>
      </c>
      <c r="C17" t="s">
        <v>4039</v>
      </c>
      <c r="D17">
        <v>-10.686169899999999</v>
      </c>
      <c r="E17">
        <v>-48.392023399999999</v>
      </c>
      <c r="F17" s="66">
        <v>0</v>
      </c>
      <c r="G17" s="66">
        <v>0.99930555555555556</v>
      </c>
      <c r="H17" s="30" t="s">
        <v>1151</v>
      </c>
      <c r="I17" s="33">
        <v>0</v>
      </c>
      <c r="J17" s="30">
        <v>0</v>
      </c>
      <c r="K17" s="30">
        <v>0</v>
      </c>
      <c r="L17" s="30">
        <v>0</v>
      </c>
    </row>
    <row r="18" spans="1:12" ht="15.75" thickTop="1" x14ac:dyDescent="0.25">
      <c r="A18" s="23">
        <v>16</v>
      </c>
      <c r="B18" s="28" t="s">
        <v>4019</v>
      </c>
      <c r="C18" t="s">
        <v>4040</v>
      </c>
      <c r="D18">
        <v>-10.371456</v>
      </c>
      <c r="E18">
        <v>-48.304425999999999</v>
      </c>
      <c r="F18" s="65">
        <v>0</v>
      </c>
      <c r="G18" s="65">
        <v>0.99930555555555556</v>
      </c>
      <c r="H18" s="29" t="s">
        <v>1151</v>
      </c>
      <c r="I18" s="32">
        <v>0</v>
      </c>
      <c r="J18" s="29">
        <v>0</v>
      </c>
      <c r="K18" s="29">
        <v>0</v>
      </c>
      <c r="L18" s="29">
        <v>0</v>
      </c>
    </row>
    <row r="19" spans="1:12" ht="16.5" thickBot="1" x14ac:dyDescent="0.3">
      <c r="A19" s="23">
        <v>17</v>
      </c>
      <c r="B19" s="29" t="s">
        <v>4020</v>
      </c>
      <c r="C19" s="71" t="s">
        <v>4041</v>
      </c>
      <c r="D19">
        <v>-10.33765</v>
      </c>
      <c r="E19">
        <v>-48.295870000000001</v>
      </c>
      <c r="F19" s="66">
        <v>0</v>
      </c>
      <c r="G19" s="66">
        <v>0.99930555555555556</v>
      </c>
      <c r="H19" s="30" t="s">
        <v>1152</v>
      </c>
      <c r="I19" s="33">
        <v>0</v>
      </c>
      <c r="J19" s="30">
        <v>0</v>
      </c>
      <c r="K19" s="30">
        <v>5</v>
      </c>
      <c r="L19" s="30">
        <v>0</v>
      </c>
    </row>
    <row r="20" spans="1:12" ht="17.25" thickTop="1" thickBot="1" x14ac:dyDescent="0.3">
      <c r="A20" s="23">
        <v>18</v>
      </c>
      <c r="B20" s="28" t="s">
        <v>4021</v>
      </c>
      <c r="C20" s="71" t="s">
        <v>4042</v>
      </c>
      <c r="D20">
        <v>-10.338210999999999</v>
      </c>
      <c r="E20">
        <v>-48.299523999999998</v>
      </c>
      <c r="F20" s="65">
        <v>0</v>
      </c>
      <c r="G20" s="65">
        <v>0.99930555555555556</v>
      </c>
      <c r="H20" s="29" t="s">
        <v>1151</v>
      </c>
      <c r="I20" s="32">
        <v>0</v>
      </c>
      <c r="J20" s="29">
        <v>0</v>
      </c>
      <c r="K20" s="29">
        <v>0</v>
      </c>
      <c r="L20" s="29">
        <v>0</v>
      </c>
    </row>
    <row r="21" spans="1:12" ht="16.5" thickTop="1" x14ac:dyDescent="0.25">
      <c r="A21" s="23">
        <v>19</v>
      </c>
      <c r="B21" s="28" t="s">
        <v>4022</v>
      </c>
      <c r="C21" s="72" t="s">
        <v>4043</v>
      </c>
      <c r="D21">
        <v>-10.3352176</v>
      </c>
      <c r="E21">
        <v>-48.294383099999997</v>
      </c>
      <c r="F21" s="66">
        <v>0</v>
      </c>
      <c r="G21" s="66">
        <v>0.99930555555555556</v>
      </c>
      <c r="H21" s="30" t="s">
        <v>1151</v>
      </c>
      <c r="I21" s="33">
        <v>0</v>
      </c>
      <c r="J21" s="30">
        <v>0</v>
      </c>
      <c r="K21" s="30">
        <v>0</v>
      </c>
      <c r="L21" s="30">
        <v>0</v>
      </c>
    </row>
    <row r="22" spans="1:12" ht="16.5" thickBot="1" x14ac:dyDescent="0.3">
      <c r="A22" s="23">
        <v>20</v>
      </c>
      <c r="B22" s="29" t="s">
        <v>4023</v>
      </c>
      <c r="C22" s="71" t="s">
        <v>4044</v>
      </c>
      <c r="D22">
        <v>-10.354293</v>
      </c>
      <c r="E22">
        <v>-48.303457000000002</v>
      </c>
      <c r="F22" s="65">
        <v>0</v>
      </c>
      <c r="G22" s="65">
        <v>0.99930555555555556</v>
      </c>
      <c r="H22" s="29" t="s">
        <v>1151</v>
      </c>
      <c r="I22" s="32">
        <v>0</v>
      </c>
      <c r="J22" s="29">
        <v>0</v>
      </c>
      <c r="K22" s="29">
        <v>0</v>
      </c>
      <c r="L22" s="29">
        <v>0</v>
      </c>
    </row>
    <row r="23" spans="1:12" ht="16.5" thickTop="1" x14ac:dyDescent="0.25">
      <c r="A23" s="23">
        <v>21</v>
      </c>
      <c r="B23" s="28" t="s">
        <v>4024</v>
      </c>
      <c r="C23" s="71" t="s">
        <v>4045</v>
      </c>
      <c r="D23">
        <v>-10.670123500000001</v>
      </c>
      <c r="E23">
        <v>-48.3977352</v>
      </c>
      <c r="F23" s="66">
        <v>0</v>
      </c>
      <c r="G23" s="66">
        <v>0.99930555555555556</v>
      </c>
      <c r="H23" s="30" t="s">
        <v>1151</v>
      </c>
      <c r="I23" s="33">
        <v>0</v>
      </c>
      <c r="J23" s="30">
        <v>0</v>
      </c>
      <c r="K23" s="30">
        <v>0</v>
      </c>
      <c r="L23" s="30">
        <v>0</v>
      </c>
    </row>
    <row r="24" spans="1:12" x14ac:dyDescent="0.25">
      <c r="A24" s="22">
        <v>22</v>
      </c>
      <c r="B24" s="61" t="s">
        <v>4003</v>
      </c>
      <c r="C24" s="73" t="s">
        <v>4046</v>
      </c>
      <c r="D24">
        <v>-10.332970400000001</v>
      </c>
      <c r="E24">
        <v>-48.298139999999997</v>
      </c>
      <c r="F24" s="67">
        <v>0</v>
      </c>
      <c r="G24" s="67">
        <v>0.99930555555555556</v>
      </c>
      <c r="H24" s="61" t="s">
        <v>1152</v>
      </c>
      <c r="I24" s="68">
        <v>0</v>
      </c>
      <c r="J24" s="61">
        <v>15</v>
      </c>
      <c r="K24" s="61">
        <v>0</v>
      </c>
      <c r="L24" s="61">
        <v>0</v>
      </c>
    </row>
  </sheetData>
  <phoneticPr fontId="28" type="noConversion"/>
  <conditionalFormatting sqref="A2">
    <cfRule type="expression" dxfId="242" priority="1" stopIfTrue="1">
      <formula>ISBLANK(A2)</formula>
    </cfRule>
  </conditionalFormatting>
  <conditionalFormatting sqref="B2">
    <cfRule type="expression" dxfId="241" priority="2" stopIfTrue="1">
      <formula>ISBLANK(B2)</formula>
    </cfRule>
  </conditionalFormatting>
  <conditionalFormatting sqref="F2">
    <cfRule type="cellIs" dxfId="240" priority="3" stopIfTrue="1" operator="greaterThan">
      <formula>G2-$I$2</formula>
    </cfRule>
  </conditionalFormatting>
  <conditionalFormatting sqref="G2">
    <cfRule type="cellIs" dxfId="239" priority="4" stopIfTrue="1" operator="lessThan">
      <formula>F2+$I$2</formula>
    </cfRule>
  </conditionalFormatting>
  <conditionalFormatting sqref="I2">
    <cfRule type="cellIs" dxfId="238" priority="5" stopIfTrue="1" operator="greaterThan">
      <formula>G2-F2 + 0.0001</formula>
    </cfRule>
  </conditionalFormatting>
  <conditionalFormatting sqref="A3">
    <cfRule type="expression" dxfId="237" priority="6" stopIfTrue="1">
      <formula>ISBLANK(A3)</formula>
    </cfRule>
  </conditionalFormatting>
  <conditionalFormatting sqref="B3 B5:B6 B8:B9 B11:B12 B14:B15 B17:B18 B20:B21 B23">
    <cfRule type="expression" dxfId="236" priority="7" stopIfTrue="1">
      <formula>ISBLANK(B3)</formula>
    </cfRule>
  </conditionalFormatting>
  <conditionalFormatting sqref="F3">
    <cfRule type="cellIs" dxfId="235" priority="8" stopIfTrue="1" operator="greaterThan">
      <formula>G3-$I$3</formula>
    </cfRule>
  </conditionalFormatting>
  <conditionalFormatting sqref="G3">
    <cfRule type="cellIs" dxfId="234" priority="9" stopIfTrue="1" operator="lessThan">
      <formula>F3+$I$3</formula>
    </cfRule>
  </conditionalFormatting>
  <conditionalFormatting sqref="H3">
    <cfRule type="cellIs" dxfId="233" priority="10" stopIfTrue="1" operator="equal">
      <formula>"Pode ser visitado"</formula>
    </cfRule>
    <cfRule type="cellIs" dxfId="232" priority="11" stopIfTrue="1" operator="equal">
      <formula>"Não visite"</formula>
    </cfRule>
  </conditionalFormatting>
  <conditionalFormatting sqref="I3">
    <cfRule type="cellIs" dxfId="231" priority="12" stopIfTrue="1" operator="greaterThan">
      <formula>G3-F3 + 0.0001</formula>
    </cfRule>
  </conditionalFormatting>
  <conditionalFormatting sqref="A4">
    <cfRule type="expression" dxfId="230" priority="13" stopIfTrue="1">
      <formula>ISBLANK(A4)</formula>
    </cfRule>
  </conditionalFormatting>
  <conditionalFormatting sqref="B4 B7 B10 B13 B16 B19 B22">
    <cfRule type="expression" dxfId="229" priority="14" stopIfTrue="1">
      <formula>ISBLANK(B4)</formula>
    </cfRule>
  </conditionalFormatting>
  <conditionalFormatting sqref="F4">
    <cfRule type="cellIs" dxfId="228" priority="15" stopIfTrue="1" operator="greaterThan">
      <formula>G4-$I$4</formula>
    </cfRule>
  </conditionalFormatting>
  <conditionalFormatting sqref="G4">
    <cfRule type="cellIs" dxfId="227" priority="16" stopIfTrue="1" operator="lessThan">
      <formula>F4+$I$4</formula>
    </cfRule>
  </conditionalFormatting>
  <conditionalFormatting sqref="H4">
    <cfRule type="cellIs" dxfId="226" priority="17" stopIfTrue="1" operator="equal">
      <formula>"Pode ser visitado"</formula>
    </cfRule>
    <cfRule type="cellIs" dxfId="225" priority="18" stopIfTrue="1" operator="equal">
      <formula>"Não visite"</formula>
    </cfRule>
  </conditionalFormatting>
  <conditionalFormatting sqref="I4">
    <cfRule type="cellIs" dxfId="224" priority="19" stopIfTrue="1" operator="greaterThan">
      <formula>G4-F4 + 0.0001</formula>
    </cfRule>
  </conditionalFormatting>
  <conditionalFormatting sqref="A5">
    <cfRule type="expression" dxfId="223" priority="20" stopIfTrue="1">
      <formula>ISBLANK(A5)</formula>
    </cfRule>
  </conditionalFormatting>
  <conditionalFormatting sqref="B5 B8 B11 B14 B17 B20 B23">
    <cfRule type="expression" dxfId="222" priority="21" stopIfTrue="1">
      <formula>ISBLANK(B5)</formula>
    </cfRule>
  </conditionalFormatting>
  <conditionalFormatting sqref="F5">
    <cfRule type="cellIs" dxfId="221" priority="22" stopIfTrue="1" operator="greaterThan">
      <formula>G5-$I$5</formula>
    </cfRule>
  </conditionalFormatting>
  <conditionalFormatting sqref="G5">
    <cfRule type="cellIs" dxfId="220" priority="23" stopIfTrue="1" operator="lessThan">
      <formula>F5+$I$5</formula>
    </cfRule>
  </conditionalFormatting>
  <conditionalFormatting sqref="H5">
    <cfRule type="cellIs" dxfId="219" priority="24" stopIfTrue="1" operator="equal">
      <formula>"Pode ser visitado"</formula>
    </cfRule>
  </conditionalFormatting>
  <conditionalFormatting sqref="H5">
    <cfRule type="cellIs" dxfId="218" priority="25" stopIfTrue="1" operator="equal">
      <formula>"Não visite"</formula>
    </cfRule>
  </conditionalFormatting>
  <conditionalFormatting sqref="I5">
    <cfRule type="cellIs" dxfId="217" priority="26" stopIfTrue="1" operator="greaterThan">
      <formula>G5-F5 + 0.0001</formula>
    </cfRule>
  </conditionalFormatting>
  <conditionalFormatting sqref="A6">
    <cfRule type="expression" dxfId="216" priority="27" stopIfTrue="1">
      <formula>ISBLANK(A6)</formula>
    </cfRule>
  </conditionalFormatting>
  <conditionalFormatting sqref="B6">
    <cfRule type="expression" dxfId="215" priority="28" stopIfTrue="1">
      <formula>ISBLANK(B6)</formula>
    </cfRule>
  </conditionalFormatting>
  <conditionalFormatting sqref="F6">
    <cfRule type="cellIs" dxfId="214" priority="29" stopIfTrue="1" operator="greaterThan">
      <formula>G6-$I$6</formula>
    </cfRule>
  </conditionalFormatting>
  <conditionalFormatting sqref="G6">
    <cfRule type="cellIs" dxfId="213" priority="30" stopIfTrue="1" operator="lessThan">
      <formula>F6+$I$6</formula>
    </cfRule>
  </conditionalFormatting>
  <conditionalFormatting sqref="H6">
    <cfRule type="cellIs" dxfId="212" priority="31" stopIfTrue="1" operator="equal">
      <formula>"Pode ser visitado"</formula>
    </cfRule>
  </conditionalFormatting>
  <conditionalFormatting sqref="H6">
    <cfRule type="cellIs" dxfId="211" priority="32" stopIfTrue="1" operator="equal">
      <formula>"Não visite"</formula>
    </cfRule>
  </conditionalFormatting>
  <conditionalFormatting sqref="I6">
    <cfRule type="cellIs" dxfId="210" priority="33" stopIfTrue="1" operator="greaterThan">
      <formula>G6-F6 + 0.0001</formula>
    </cfRule>
  </conditionalFormatting>
  <conditionalFormatting sqref="A7">
    <cfRule type="expression" dxfId="209" priority="34" stopIfTrue="1">
      <formula>ISBLANK(A7)</formula>
    </cfRule>
  </conditionalFormatting>
  <conditionalFormatting sqref="B7">
    <cfRule type="expression" dxfId="208" priority="35" stopIfTrue="1">
      <formula>ISBLANK(B7)</formula>
    </cfRule>
  </conditionalFormatting>
  <conditionalFormatting sqref="F7">
    <cfRule type="cellIs" dxfId="207" priority="36" stopIfTrue="1" operator="greaterThan">
      <formula>G7-$I$7</formula>
    </cfRule>
  </conditionalFormatting>
  <conditionalFormatting sqref="G7">
    <cfRule type="cellIs" dxfId="206" priority="37" stopIfTrue="1" operator="lessThan">
      <formula>F7+$I$7</formula>
    </cfRule>
  </conditionalFormatting>
  <conditionalFormatting sqref="H7">
    <cfRule type="cellIs" dxfId="205" priority="38" stopIfTrue="1" operator="equal">
      <formula>"Pode ser visitado"</formula>
    </cfRule>
  </conditionalFormatting>
  <conditionalFormatting sqref="H7">
    <cfRule type="cellIs" dxfId="204" priority="39" stopIfTrue="1" operator="equal">
      <formula>"Não visite"</formula>
    </cfRule>
  </conditionalFormatting>
  <conditionalFormatting sqref="I7">
    <cfRule type="cellIs" dxfId="203" priority="40" stopIfTrue="1" operator="greaterThan">
      <formula>G7-F7 + 0.0001</formula>
    </cfRule>
  </conditionalFormatting>
  <conditionalFormatting sqref="A8">
    <cfRule type="expression" dxfId="202" priority="41" stopIfTrue="1">
      <formula>ISBLANK(A8)</formula>
    </cfRule>
  </conditionalFormatting>
  <conditionalFormatting sqref="B8">
    <cfRule type="expression" dxfId="201" priority="42" stopIfTrue="1">
      <formula>ISBLANK(B8)</formula>
    </cfRule>
  </conditionalFormatting>
  <conditionalFormatting sqref="F8">
    <cfRule type="cellIs" dxfId="200" priority="43" stopIfTrue="1" operator="greaterThan">
      <formula>G8-$I$8</formula>
    </cfRule>
  </conditionalFormatting>
  <conditionalFormatting sqref="G8">
    <cfRule type="cellIs" dxfId="199" priority="44" stopIfTrue="1" operator="lessThan">
      <formula>F8+$I$8</formula>
    </cfRule>
  </conditionalFormatting>
  <conditionalFormatting sqref="H8">
    <cfRule type="cellIs" dxfId="198" priority="45" stopIfTrue="1" operator="equal">
      <formula>"Pode ser visitado"</formula>
    </cfRule>
  </conditionalFormatting>
  <conditionalFormatting sqref="H8">
    <cfRule type="cellIs" dxfId="197" priority="46" stopIfTrue="1" operator="equal">
      <formula>"Não visite"</formula>
    </cfRule>
  </conditionalFormatting>
  <conditionalFormatting sqref="I8">
    <cfRule type="cellIs" dxfId="196" priority="47" stopIfTrue="1" operator="greaterThan">
      <formula>G8-F8 + 0.0001</formula>
    </cfRule>
  </conditionalFormatting>
  <conditionalFormatting sqref="A9">
    <cfRule type="expression" dxfId="195" priority="48" stopIfTrue="1">
      <formula>ISBLANK(A9)</formula>
    </cfRule>
  </conditionalFormatting>
  <conditionalFormatting sqref="B9">
    <cfRule type="expression" dxfId="194" priority="49" stopIfTrue="1">
      <formula>ISBLANK(B9)</formula>
    </cfRule>
  </conditionalFormatting>
  <conditionalFormatting sqref="F9">
    <cfRule type="cellIs" dxfId="193" priority="50" stopIfTrue="1" operator="greaterThan">
      <formula>G9-$I$9</formula>
    </cfRule>
  </conditionalFormatting>
  <conditionalFormatting sqref="G9">
    <cfRule type="cellIs" dxfId="192" priority="51" stopIfTrue="1" operator="lessThan">
      <formula>F9+$I$9</formula>
    </cfRule>
  </conditionalFormatting>
  <conditionalFormatting sqref="H9">
    <cfRule type="cellIs" dxfId="191" priority="52" stopIfTrue="1" operator="equal">
      <formula>"Pode ser visitado"</formula>
    </cfRule>
  </conditionalFormatting>
  <conditionalFormatting sqref="H9">
    <cfRule type="cellIs" dxfId="190" priority="53" stopIfTrue="1" operator="equal">
      <formula>"Não visite"</formula>
    </cfRule>
  </conditionalFormatting>
  <conditionalFormatting sqref="I9">
    <cfRule type="cellIs" dxfId="189" priority="54" stopIfTrue="1" operator="greaterThan">
      <formula>G9-F9 + 0.0001</formula>
    </cfRule>
  </conditionalFormatting>
  <conditionalFormatting sqref="A10">
    <cfRule type="expression" dxfId="188" priority="55" stopIfTrue="1">
      <formula>ISBLANK(A10)</formula>
    </cfRule>
  </conditionalFormatting>
  <conditionalFormatting sqref="B10">
    <cfRule type="expression" dxfId="187" priority="56" stopIfTrue="1">
      <formula>ISBLANK(B10)</formula>
    </cfRule>
  </conditionalFormatting>
  <conditionalFormatting sqref="F10">
    <cfRule type="cellIs" dxfId="186" priority="57" stopIfTrue="1" operator="greaterThan">
      <formula>G10-$I$10</formula>
    </cfRule>
  </conditionalFormatting>
  <conditionalFormatting sqref="G10">
    <cfRule type="cellIs" dxfId="185" priority="58" stopIfTrue="1" operator="lessThan">
      <formula>F10+$I$10</formula>
    </cfRule>
  </conditionalFormatting>
  <conditionalFormatting sqref="H10">
    <cfRule type="cellIs" dxfId="184" priority="59" stopIfTrue="1" operator="equal">
      <formula>"Pode ser visitado"</formula>
    </cfRule>
  </conditionalFormatting>
  <conditionalFormatting sqref="H10">
    <cfRule type="cellIs" dxfId="183" priority="60" stopIfTrue="1" operator="equal">
      <formula>"Não visite"</formula>
    </cfRule>
  </conditionalFormatting>
  <conditionalFormatting sqref="I10">
    <cfRule type="cellIs" dxfId="182" priority="61" stopIfTrue="1" operator="greaterThan">
      <formula>G10-F10 + 0.0001</formula>
    </cfRule>
  </conditionalFormatting>
  <conditionalFormatting sqref="A11">
    <cfRule type="expression" dxfId="181" priority="62" stopIfTrue="1">
      <formula>ISBLANK(A11)</formula>
    </cfRule>
  </conditionalFormatting>
  <conditionalFormatting sqref="B11">
    <cfRule type="expression" dxfId="180" priority="63" stopIfTrue="1">
      <formula>ISBLANK(B11)</formula>
    </cfRule>
  </conditionalFormatting>
  <conditionalFormatting sqref="F11">
    <cfRule type="cellIs" dxfId="179" priority="64" stopIfTrue="1" operator="greaterThan">
      <formula>G11-$I$11</formula>
    </cfRule>
  </conditionalFormatting>
  <conditionalFormatting sqref="G11">
    <cfRule type="cellIs" dxfId="178" priority="65" stopIfTrue="1" operator="lessThan">
      <formula>F11+$I$11</formula>
    </cfRule>
  </conditionalFormatting>
  <conditionalFormatting sqref="H11">
    <cfRule type="cellIs" dxfId="177" priority="66" stopIfTrue="1" operator="equal">
      <formula>"Pode ser visitado"</formula>
    </cfRule>
  </conditionalFormatting>
  <conditionalFormatting sqref="H11">
    <cfRule type="cellIs" dxfId="176" priority="67" stopIfTrue="1" operator="equal">
      <formula>"Não visite"</formula>
    </cfRule>
  </conditionalFormatting>
  <conditionalFormatting sqref="I11">
    <cfRule type="cellIs" dxfId="175" priority="68" stopIfTrue="1" operator="greaterThan">
      <formula>G11-F11 + 0.0001</formula>
    </cfRule>
  </conditionalFormatting>
  <conditionalFormatting sqref="A12">
    <cfRule type="expression" dxfId="174" priority="69" stopIfTrue="1">
      <formula>ISBLANK(A12)</formula>
    </cfRule>
  </conditionalFormatting>
  <conditionalFormatting sqref="B12">
    <cfRule type="expression" dxfId="173" priority="70" stopIfTrue="1">
      <formula>ISBLANK(B12)</formula>
    </cfRule>
  </conditionalFormatting>
  <conditionalFormatting sqref="F12">
    <cfRule type="cellIs" dxfId="172" priority="71" stopIfTrue="1" operator="greaterThan">
      <formula>G12-$I$12</formula>
    </cfRule>
  </conditionalFormatting>
  <conditionalFormatting sqref="G12">
    <cfRule type="cellIs" dxfId="171" priority="72" stopIfTrue="1" operator="lessThan">
      <formula>F12+$I$12</formula>
    </cfRule>
  </conditionalFormatting>
  <conditionalFormatting sqref="H12">
    <cfRule type="cellIs" dxfId="170" priority="73" stopIfTrue="1" operator="equal">
      <formula>"Pode ser visitado"</formula>
    </cfRule>
  </conditionalFormatting>
  <conditionalFormatting sqref="H12">
    <cfRule type="cellIs" dxfId="169" priority="74" stopIfTrue="1" operator="equal">
      <formula>"Não visite"</formula>
    </cfRule>
  </conditionalFormatting>
  <conditionalFormatting sqref="I12">
    <cfRule type="cellIs" dxfId="168" priority="75" stopIfTrue="1" operator="greaterThan">
      <formula>G12-F12 + 0.0001</formula>
    </cfRule>
  </conditionalFormatting>
  <conditionalFormatting sqref="A13">
    <cfRule type="expression" dxfId="167" priority="76" stopIfTrue="1">
      <formula>ISBLANK(A13)</formula>
    </cfRule>
  </conditionalFormatting>
  <conditionalFormatting sqref="B13">
    <cfRule type="expression" dxfId="166" priority="77" stopIfTrue="1">
      <formula>ISBLANK(B13)</formula>
    </cfRule>
  </conditionalFormatting>
  <conditionalFormatting sqref="F13">
    <cfRule type="cellIs" dxfId="165" priority="78" stopIfTrue="1" operator="greaterThan">
      <formula>G13-$I$13</formula>
    </cfRule>
  </conditionalFormatting>
  <conditionalFormatting sqref="G13">
    <cfRule type="cellIs" dxfId="164" priority="79" stopIfTrue="1" operator="lessThan">
      <formula>F13+$I$13</formula>
    </cfRule>
  </conditionalFormatting>
  <conditionalFormatting sqref="H13">
    <cfRule type="cellIs" dxfId="163" priority="80" stopIfTrue="1" operator="equal">
      <formula>"Pode ser visitado"</formula>
    </cfRule>
  </conditionalFormatting>
  <conditionalFormatting sqref="H13">
    <cfRule type="cellIs" dxfId="162" priority="81" stopIfTrue="1" operator="equal">
      <formula>"Não visite"</formula>
    </cfRule>
  </conditionalFormatting>
  <conditionalFormatting sqref="I13">
    <cfRule type="cellIs" dxfId="161" priority="82" stopIfTrue="1" operator="greaterThan">
      <formula>G13-F13 + 0.0001</formula>
    </cfRule>
  </conditionalFormatting>
  <conditionalFormatting sqref="A14">
    <cfRule type="expression" dxfId="160" priority="83" stopIfTrue="1">
      <formula>ISBLANK(A14)</formula>
    </cfRule>
  </conditionalFormatting>
  <conditionalFormatting sqref="B14">
    <cfRule type="expression" dxfId="159" priority="84" stopIfTrue="1">
      <formula>ISBLANK(B14)</formula>
    </cfRule>
  </conditionalFormatting>
  <conditionalFormatting sqref="F14">
    <cfRule type="cellIs" dxfId="158" priority="85" stopIfTrue="1" operator="greaterThan">
      <formula>G14-$I$14</formula>
    </cfRule>
  </conditionalFormatting>
  <conditionalFormatting sqref="G14">
    <cfRule type="cellIs" dxfId="157" priority="86" stopIfTrue="1" operator="lessThan">
      <formula>F14+$I$14</formula>
    </cfRule>
  </conditionalFormatting>
  <conditionalFormatting sqref="H14">
    <cfRule type="cellIs" dxfId="156" priority="87" stopIfTrue="1" operator="equal">
      <formula>"Pode ser visitado"</formula>
    </cfRule>
  </conditionalFormatting>
  <conditionalFormatting sqref="H14">
    <cfRule type="cellIs" dxfId="155" priority="88" stopIfTrue="1" operator="equal">
      <formula>"Não visite"</formula>
    </cfRule>
  </conditionalFormatting>
  <conditionalFormatting sqref="I14">
    <cfRule type="cellIs" dxfId="154" priority="89" stopIfTrue="1" operator="greaterThan">
      <formula>G14-F14 + 0.0001</formula>
    </cfRule>
  </conditionalFormatting>
  <conditionalFormatting sqref="A15">
    <cfRule type="expression" dxfId="153" priority="90" stopIfTrue="1">
      <formula>ISBLANK(A15)</formula>
    </cfRule>
  </conditionalFormatting>
  <conditionalFormatting sqref="B15">
    <cfRule type="expression" dxfId="152" priority="91" stopIfTrue="1">
      <formula>ISBLANK(B15)</formula>
    </cfRule>
  </conditionalFormatting>
  <conditionalFormatting sqref="F15">
    <cfRule type="cellIs" dxfId="151" priority="92" stopIfTrue="1" operator="greaterThan">
      <formula>G15-$I$15</formula>
    </cfRule>
  </conditionalFormatting>
  <conditionalFormatting sqref="G15">
    <cfRule type="cellIs" dxfId="150" priority="93" stopIfTrue="1" operator="lessThan">
      <formula>F15+$I$15</formula>
    </cfRule>
  </conditionalFormatting>
  <conditionalFormatting sqref="H15">
    <cfRule type="cellIs" dxfId="149" priority="94" stopIfTrue="1" operator="equal">
      <formula>"Pode ser visitado"</formula>
    </cfRule>
  </conditionalFormatting>
  <conditionalFormatting sqref="H15">
    <cfRule type="cellIs" dxfId="148" priority="95" stopIfTrue="1" operator="equal">
      <formula>"Não visite"</formula>
    </cfRule>
  </conditionalFormatting>
  <conditionalFormatting sqref="I15">
    <cfRule type="cellIs" dxfId="147" priority="96" stopIfTrue="1" operator="greaterThan">
      <formula>G15-F15 + 0.0001</formula>
    </cfRule>
  </conditionalFormatting>
  <conditionalFormatting sqref="A16">
    <cfRule type="expression" dxfId="146" priority="97" stopIfTrue="1">
      <formula>ISBLANK(A16)</formula>
    </cfRule>
  </conditionalFormatting>
  <conditionalFormatting sqref="B16">
    <cfRule type="expression" dxfId="145" priority="98" stopIfTrue="1">
      <formula>ISBLANK(B16)</formula>
    </cfRule>
  </conditionalFormatting>
  <conditionalFormatting sqref="F16">
    <cfRule type="cellIs" dxfId="144" priority="99" stopIfTrue="1" operator="greaterThan">
      <formula>G16-$I$16</formula>
    </cfRule>
  </conditionalFormatting>
  <conditionalFormatting sqref="G16">
    <cfRule type="cellIs" dxfId="143" priority="100" stopIfTrue="1" operator="lessThan">
      <formula>F16+$I$16</formula>
    </cfRule>
  </conditionalFormatting>
  <conditionalFormatting sqref="H16">
    <cfRule type="cellIs" dxfId="142" priority="101" stopIfTrue="1" operator="equal">
      <formula>"Pode ser visitado"</formula>
    </cfRule>
  </conditionalFormatting>
  <conditionalFormatting sqref="H16">
    <cfRule type="cellIs" dxfId="141" priority="102" stopIfTrue="1" operator="equal">
      <formula>"Não visite"</formula>
    </cfRule>
  </conditionalFormatting>
  <conditionalFormatting sqref="I16">
    <cfRule type="cellIs" dxfId="140" priority="103" stopIfTrue="1" operator="greaterThan">
      <formula>G16-F16 + 0.0001</formula>
    </cfRule>
  </conditionalFormatting>
  <conditionalFormatting sqref="A17">
    <cfRule type="expression" dxfId="139" priority="104" stopIfTrue="1">
      <formula>ISBLANK(A17)</formula>
    </cfRule>
  </conditionalFormatting>
  <conditionalFormatting sqref="B17">
    <cfRule type="expression" dxfId="138" priority="105" stopIfTrue="1">
      <formula>ISBLANK(B17)</formula>
    </cfRule>
  </conditionalFormatting>
  <conditionalFormatting sqref="F17">
    <cfRule type="cellIs" dxfId="137" priority="106" stopIfTrue="1" operator="greaterThan">
      <formula>G17-$I$17</formula>
    </cfRule>
  </conditionalFormatting>
  <conditionalFormatting sqref="G17">
    <cfRule type="cellIs" dxfId="136" priority="107" stopIfTrue="1" operator="lessThan">
      <formula>F17+$I$17</formula>
    </cfRule>
  </conditionalFormatting>
  <conditionalFormatting sqref="H17">
    <cfRule type="cellIs" dxfId="135" priority="108" stopIfTrue="1" operator="equal">
      <formula>"Pode ser visitado"</formula>
    </cfRule>
  </conditionalFormatting>
  <conditionalFormatting sqref="H17">
    <cfRule type="cellIs" dxfId="134" priority="109" stopIfTrue="1" operator="equal">
      <formula>"Não visite"</formula>
    </cfRule>
  </conditionalFormatting>
  <conditionalFormatting sqref="I17">
    <cfRule type="cellIs" dxfId="133" priority="110" stopIfTrue="1" operator="greaterThan">
      <formula>G17-F17 + 0.0001</formula>
    </cfRule>
  </conditionalFormatting>
  <conditionalFormatting sqref="A18">
    <cfRule type="expression" dxfId="132" priority="111" stopIfTrue="1">
      <formula>ISBLANK(A18)</formula>
    </cfRule>
  </conditionalFormatting>
  <conditionalFormatting sqref="B18">
    <cfRule type="expression" dxfId="131" priority="112" stopIfTrue="1">
      <formula>ISBLANK(B18)</formula>
    </cfRule>
  </conditionalFormatting>
  <conditionalFormatting sqref="F18">
    <cfRule type="cellIs" dxfId="130" priority="113" stopIfTrue="1" operator="greaterThan">
      <formula>G18-$I$18</formula>
    </cfRule>
  </conditionalFormatting>
  <conditionalFormatting sqref="G18">
    <cfRule type="cellIs" dxfId="129" priority="114" stopIfTrue="1" operator="lessThan">
      <formula>F18+$I$18</formula>
    </cfRule>
  </conditionalFormatting>
  <conditionalFormatting sqref="H18">
    <cfRule type="cellIs" dxfId="128" priority="115" stopIfTrue="1" operator="equal">
      <formula>"Pode ser visitado"</formula>
    </cfRule>
  </conditionalFormatting>
  <conditionalFormatting sqref="H18">
    <cfRule type="cellIs" dxfId="127" priority="116" stopIfTrue="1" operator="equal">
      <formula>"Não visite"</formula>
    </cfRule>
  </conditionalFormatting>
  <conditionalFormatting sqref="I18">
    <cfRule type="cellIs" dxfId="126" priority="117" stopIfTrue="1" operator="greaterThan">
      <formula>G18-F18 + 0.0001</formula>
    </cfRule>
  </conditionalFormatting>
  <conditionalFormatting sqref="A19">
    <cfRule type="expression" dxfId="125" priority="118" stopIfTrue="1">
      <formula>ISBLANK(A19)</formula>
    </cfRule>
  </conditionalFormatting>
  <conditionalFormatting sqref="B19">
    <cfRule type="expression" dxfId="124" priority="119" stopIfTrue="1">
      <formula>ISBLANK(B19)</formula>
    </cfRule>
  </conditionalFormatting>
  <conditionalFormatting sqref="F19">
    <cfRule type="cellIs" dxfId="123" priority="120" stopIfTrue="1" operator="greaterThan">
      <formula>G19-$I$19</formula>
    </cfRule>
  </conditionalFormatting>
  <conditionalFormatting sqref="G19">
    <cfRule type="cellIs" dxfId="122" priority="121" stopIfTrue="1" operator="lessThan">
      <formula>F19+$I$19</formula>
    </cfRule>
  </conditionalFormatting>
  <conditionalFormatting sqref="H19">
    <cfRule type="cellIs" dxfId="121" priority="122" stopIfTrue="1" operator="equal">
      <formula>"Pode ser visitado"</formula>
    </cfRule>
  </conditionalFormatting>
  <conditionalFormatting sqref="H19">
    <cfRule type="cellIs" dxfId="120" priority="123" stopIfTrue="1" operator="equal">
      <formula>"Não visite"</formula>
    </cfRule>
  </conditionalFormatting>
  <conditionalFormatting sqref="I19">
    <cfRule type="cellIs" dxfId="119" priority="124" stopIfTrue="1" operator="greaterThan">
      <formula>G19-F19 + 0.0001</formula>
    </cfRule>
  </conditionalFormatting>
  <conditionalFormatting sqref="A20">
    <cfRule type="expression" dxfId="118" priority="125" stopIfTrue="1">
      <formula>ISBLANK(A20)</formula>
    </cfRule>
  </conditionalFormatting>
  <conditionalFormatting sqref="B20">
    <cfRule type="expression" dxfId="117" priority="126" stopIfTrue="1">
      <formula>ISBLANK(B20)</formula>
    </cfRule>
  </conditionalFormatting>
  <conditionalFormatting sqref="F20">
    <cfRule type="cellIs" dxfId="116" priority="127" stopIfTrue="1" operator="greaterThan">
      <formula>G20-$I$20</formula>
    </cfRule>
  </conditionalFormatting>
  <conditionalFormatting sqref="G20">
    <cfRule type="cellIs" dxfId="115" priority="128" stopIfTrue="1" operator="lessThan">
      <formula>F20+$I$20</formula>
    </cfRule>
  </conditionalFormatting>
  <conditionalFormatting sqref="H20">
    <cfRule type="cellIs" dxfId="114" priority="129" stopIfTrue="1" operator="equal">
      <formula>"Pode ser visitado"</formula>
    </cfRule>
  </conditionalFormatting>
  <conditionalFormatting sqref="H20">
    <cfRule type="cellIs" dxfId="113" priority="130" stopIfTrue="1" operator="equal">
      <formula>"Não visite"</formula>
    </cfRule>
  </conditionalFormatting>
  <conditionalFormatting sqref="I20">
    <cfRule type="cellIs" dxfId="112" priority="131" stopIfTrue="1" operator="greaterThan">
      <formula>G20-F20 + 0.0001</formula>
    </cfRule>
  </conditionalFormatting>
  <conditionalFormatting sqref="A21">
    <cfRule type="expression" dxfId="111" priority="132" stopIfTrue="1">
      <formula>ISBLANK(A21)</formula>
    </cfRule>
  </conditionalFormatting>
  <conditionalFormatting sqref="B21">
    <cfRule type="expression" dxfId="110" priority="133" stopIfTrue="1">
      <formula>ISBLANK(B21)</formula>
    </cfRule>
  </conditionalFormatting>
  <conditionalFormatting sqref="F21">
    <cfRule type="cellIs" dxfId="109" priority="134" stopIfTrue="1" operator="greaterThan">
      <formula>G21-$I$21</formula>
    </cfRule>
  </conditionalFormatting>
  <conditionalFormatting sqref="G21">
    <cfRule type="cellIs" dxfId="108" priority="135" stopIfTrue="1" operator="lessThan">
      <formula>F21+$I$21</formula>
    </cfRule>
  </conditionalFormatting>
  <conditionalFormatting sqref="H21">
    <cfRule type="cellIs" dxfId="107" priority="136" stopIfTrue="1" operator="equal">
      <formula>"Pode ser visitado"</formula>
    </cfRule>
  </conditionalFormatting>
  <conditionalFormatting sqref="H21">
    <cfRule type="cellIs" dxfId="106" priority="137" stopIfTrue="1" operator="equal">
      <formula>"Não visite"</formula>
    </cfRule>
  </conditionalFormatting>
  <conditionalFormatting sqref="I21">
    <cfRule type="cellIs" dxfId="105" priority="138" stopIfTrue="1" operator="greaterThan">
      <formula>G21-F21 + 0.0001</formula>
    </cfRule>
  </conditionalFormatting>
  <conditionalFormatting sqref="A22">
    <cfRule type="expression" dxfId="104" priority="139" stopIfTrue="1">
      <formula>ISBLANK(A22)</formula>
    </cfRule>
  </conditionalFormatting>
  <conditionalFormatting sqref="B22">
    <cfRule type="expression" dxfId="103" priority="140" stopIfTrue="1">
      <formula>ISBLANK(B22)</formula>
    </cfRule>
  </conditionalFormatting>
  <conditionalFormatting sqref="F22">
    <cfRule type="cellIs" dxfId="102" priority="141" stopIfTrue="1" operator="greaterThan">
      <formula>G22-$I$22</formula>
    </cfRule>
  </conditionalFormatting>
  <conditionalFormatting sqref="G22">
    <cfRule type="cellIs" dxfId="101" priority="142" stopIfTrue="1" operator="lessThan">
      <formula>F22+$I$22</formula>
    </cfRule>
  </conditionalFormatting>
  <conditionalFormatting sqref="H22">
    <cfRule type="cellIs" dxfId="100" priority="143" stopIfTrue="1" operator="equal">
      <formula>"Pode ser visitado"</formula>
    </cfRule>
  </conditionalFormatting>
  <conditionalFormatting sqref="H22">
    <cfRule type="cellIs" dxfId="99" priority="144" stopIfTrue="1" operator="equal">
      <formula>"Não visite"</formula>
    </cfRule>
  </conditionalFormatting>
  <conditionalFormatting sqref="I22">
    <cfRule type="cellIs" dxfId="98" priority="145" stopIfTrue="1" operator="greaterThan">
      <formula>G22-F22 + 0.0001</formula>
    </cfRule>
  </conditionalFormatting>
  <conditionalFormatting sqref="A23">
    <cfRule type="expression" dxfId="97" priority="146" stopIfTrue="1">
      <formula>ISBLANK(A23)</formula>
    </cfRule>
  </conditionalFormatting>
  <conditionalFormatting sqref="B23">
    <cfRule type="expression" dxfId="96" priority="147" stopIfTrue="1">
      <formula>ISBLANK(B23)</formula>
    </cfRule>
  </conditionalFormatting>
  <conditionalFormatting sqref="F23">
    <cfRule type="cellIs" dxfId="95" priority="148" stopIfTrue="1" operator="greaterThan">
      <formula>G23-$I$23</formula>
    </cfRule>
  </conditionalFormatting>
  <conditionalFormatting sqref="G23">
    <cfRule type="cellIs" dxfId="94" priority="149" stopIfTrue="1" operator="lessThan">
      <formula>F23+$I$23</formula>
    </cfRule>
  </conditionalFormatting>
  <conditionalFormatting sqref="H23">
    <cfRule type="cellIs" dxfId="93" priority="150" stopIfTrue="1" operator="equal">
      <formula>"Pode ser visitado"</formula>
    </cfRule>
  </conditionalFormatting>
  <conditionalFormatting sqref="H23">
    <cfRule type="cellIs" dxfId="92" priority="151" stopIfTrue="1" operator="equal">
      <formula>"Não visite"</formula>
    </cfRule>
  </conditionalFormatting>
  <conditionalFormatting sqref="I23">
    <cfRule type="cellIs" dxfId="91" priority="152" stopIfTrue="1" operator="greaterThan">
      <formula>G23-F23 + 0.0001</formula>
    </cfRule>
  </conditionalFormatting>
  <conditionalFormatting sqref="A24">
    <cfRule type="expression" dxfId="90" priority="153" stopIfTrue="1">
      <formula>ISBLANK(A24)</formula>
    </cfRule>
  </conditionalFormatting>
  <conditionalFormatting sqref="B24">
    <cfRule type="expression" dxfId="89" priority="154" stopIfTrue="1">
      <formula>ISBLANK(B24)</formula>
    </cfRule>
  </conditionalFormatting>
  <conditionalFormatting sqref="F24">
    <cfRule type="cellIs" dxfId="88" priority="155" stopIfTrue="1" operator="greaterThan">
      <formula>G24-$I$24</formula>
    </cfRule>
  </conditionalFormatting>
  <conditionalFormatting sqref="G24">
    <cfRule type="cellIs" dxfId="87" priority="156" stopIfTrue="1" operator="lessThan">
      <formula>F24+$I$24</formula>
    </cfRule>
  </conditionalFormatting>
  <conditionalFormatting sqref="H24">
    <cfRule type="cellIs" dxfId="86" priority="157" stopIfTrue="1" operator="equal">
      <formula>"Pode ser visitado"</formula>
    </cfRule>
  </conditionalFormatting>
  <conditionalFormatting sqref="H24">
    <cfRule type="cellIs" dxfId="85" priority="158" stopIfTrue="1" operator="equal">
      <formula>"Não visite"</formula>
    </cfRule>
  </conditionalFormatting>
  <conditionalFormatting sqref="I24">
    <cfRule type="cellIs" dxfId="84" priority="159" stopIfTrue="1" operator="greaterThan">
      <formula>G24-F24 + 0.0001</formula>
    </cfRule>
  </conditionalFormatting>
  <conditionalFormatting sqref="J3:J24">
    <cfRule type="cellIs" dxfId="83" priority="160" stopIfTrue="1" operator="lessThan">
      <formula>0</formula>
    </cfRule>
  </conditionalFormatting>
  <conditionalFormatting sqref="B2:B24">
    <cfRule type="duplicateValues" dxfId="82" priority="161"/>
  </conditionalFormatting>
  <dataValidations count="2">
    <dataValidation type="decimal" operator="greaterThan" allowBlank="1" showInputMessage="1" showErrorMessage="1" error="Insira um valor não negativo" sqref="K2:K24" xr:uid="{8055828A-B06B-4C04-B23D-EFD5FC5B42F3}">
      <formula1>-0.0001</formula1>
    </dataValidation>
    <dataValidation type="list" allowBlank="1" showInputMessage="1" showErrorMessage="1" sqref="H3:H24" xr:uid="{5DC2D8CA-C4DC-4FB1-94EC-23FD252DA4D7}">
      <formula1>"Deve ser visitado,Pode ser visitado,Não visite"</formula1>
    </dataValidation>
  </dataValidation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99698-9A32-411B-B6C8-1A2CF02CF5AF}">
  <sheetPr codeName="Planilha2"/>
  <dimension ref="A1:F530"/>
  <sheetViews>
    <sheetView topLeftCell="A16" workbookViewId="0"/>
  </sheetViews>
  <sheetFormatPr defaultRowHeight="15" x14ac:dyDescent="0.25"/>
  <cols>
    <col min="1" max="2" width="8.8554687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4025</v>
      </c>
    </row>
    <row r="2" spans="1:6" x14ac:dyDescent="0.25">
      <c r="A2" s="20" t="s">
        <v>4028</v>
      </c>
      <c r="B2" s="20" t="s">
        <v>4028</v>
      </c>
      <c r="C2" s="36">
        <v>0</v>
      </c>
      <c r="D2" s="37">
        <v>0</v>
      </c>
    </row>
    <row r="3" spans="1:6" x14ac:dyDescent="0.25">
      <c r="A3" s="23" t="s">
        <v>4028</v>
      </c>
      <c r="B3" s="23" t="s">
        <v>4004</v>
      </c>
      <c r="C3" s="38">
        <v>0.90700000000000003</v>
      </c>
      <c r="D3" s="24">
        <f xml:space="preserve"> C3 / (24 * 'VRP Solver Console'!C11)</f>
        <v>6.2986111111111109E-4</v>
      </c>
    </row>
    <row r="4" spans="1:6" x14ac:dyDescent="0.25">
      <c r="A4" s="23" t="s">
        <v>4028</v>
      </c>
      <c r="B4" s="23" t="s">
        <v>4005</v>
      </c>
      <c r="C4" s="39">
        <v>0.88900000000000001</v>
      </c>
      <c r="D4" s="25">
        <f xml:space="preserve"> C4 / (24 * 'VRP Solver Console'!C11)</f>
        <v>6.1736111111111117E-4</v>
      </c>
    </row>
    <row r="5" spans="1:6" x14ac:dyDescent="0.25">
      <c r="A5" s="23" t="s">
        <v>4028</v>
      </c>
      <c r="B5" s="23" t="s">
        <v>4006</v>
      </c>
      <c r="C5" s="38">
        <v>2.4620000000000002</v>
      </c>
      <c r="D5" s="24">
        <f xml:space="preserve"> C5 / (24 * 'VRP Solver Console'!C11)</f>
        <v>1.7097222222222223E-3</v>
      </c>
    </row>
    <row r="6" spans="1:6" x14ac:dyDescent="0.25">
      <c r="A6" s="23" t="s">
        <v>4028</v>
      </c>
      <c r="B6" s="23" t="s">
        <v>4007</v>
      </c>
      <c r="C6" s="39">
        <v>2.0339999999999998</v>
      </c>
      <c r="D6" s="25">
        <f xml:space="preserve"> C6 / (24 * 'VRP Solver Console'!C11)</f>
        <v>1.4124999999999999E-3</v>
      </c>
    </row>
    <row r="7" spans="1:6" x14ac:dyDescent="0.25">
      <c r="A7" s="23" t="s">
        <v>4028</v>
      </c>
      <c r="B7" s="23" t="s">
        <v>4008</v>
      </c>
      <c r="C7" s="38">
        <v>0.438</v>
      </c>
      <c r="D7" s="24">
        <f xml:space="preserve"> C7 / (24 * 'VRP Solver Console'!C11)</f>
        <v>3.0416666666666667E-4</v>
      </c>
    </row>
    <row r="8" spans="1:6" x14ac:dyDescent="0.25">
      <c r="A8" s="23" t="s">
        <v>4028</v>
      </c>
      <c r="B8" s="23" t="s">
        <v>4009</v>
      </c>
      <c r="C8" s="39">
        <v>0.90700000000000003</v>
      </c>
      <c r="D8" s="25">
        <f xml:space="preserve"> C8 / (24 * 'VRP Solver Console'!C11)</f>
        <v>6.2986111111111109E-4</v>
      </c>
    </row>
    <row r="9" spans="1:6" x14ac:dyDescent="0.25">
      <c r="A9" s="23" t="s">
        <v>4028</v>
      </c>
      <c r="B9" s="23" t="s">
        <v>4010</v>
      </c>
      <c r="C9" s="38">
        <v>0.96799999999999997</v>
      </c>
      <c r="D9" s="24">
        <f xml:space="preserve"> C9 / (24 * 'VRP Solver Console'!C11)</f>
        <v>6.7222222222222217E-4</v>
      </c>
    </row>
    <row r="10" spans="1:6" x14ac:dyDescent="0.25">
      <c r="A10" s="23" t="s">
        <v>4028</v>
      </c>
      <c r="B10" s="23" t="s">
        <v>4011</v>
      </c>
      <c r="C10" s="39">
        <v>2.2890000000000001</v>
      </c>
      <c r="D10" s="25">
        <f xml:space="preserve"> C10 / (24 * 'VRP Solver Console'!C11)</f>
        <v>1.5895833333333335E-3</v>
      </c>
    </row>
    <row r="11" spans="1:6" x14ac:dyDescent="0.25">
      <c r="A11" s="23" t="s">
        <v>4028</v>
      </c>
      <c r="B11" s="23" t="s">
        <v>4012</v>
      </c>
      <c r="C11" s="38">
        <v>3.198</v>
      </c>
      <c r="D11" s="24">
        <f xml:space="preserve"> C11 / (24 * 'VRP Solver Console'!C11)</f>
        <v>2.2208333333333333E-3</v>
      </c>
    </row>
    <row r="12" spans="1:6" x14ac:dyDescent="0.25">
      <c r="A12" s="23" t="s">
        <v>4028</v>
      </c>
      <c r="B12" s="23" t="s">
        <v>4013</v>
      </c>
      <c r="C12" s="39">
        <v>1.1519999999999999</v>
      </c>
      <c r="D12" s="25">
        <f xml:space="preserve"> C12 / (24 * 'VRP Solver Console'!C11)</f>
        <v>7.9999999999999993E-4</v>
      </c>
    </row>
    <row r="13" spans="1:6" x14ac:dyDescent="0.25">
      <c r="A13" s="23" t="s">
        <v>4028</v>
      </c>
      <c r="B13" s="23" t="s">
        <v>4014</v>
      </c>
      <c r="C13" s="38">
        <v>0.98699999999999999</v>
      </c>
      <c r="D13" s="24">
        <f xml:space="preserve"> C13 / (24 * 'VRP Solver Console'!C11)</f>
        <v>6.8541666666666664E-4</v>
      </c>
    </row>
    <row r="14" spans="1:6" x14ac:dyDescent="0.25">
      <c r="A14" s="23" t="s">
        <v>4028</v>
      </c>
      <c r="B14" s="23" t="s">
        <v>4015</v>
      </c>
      <c r="C14" s="39">
        <v>42.603999999999999</v>
      </c>
      <c r="D14" s="25">
        <f xml:space="preserve"> C14 / (24 * 'VRP Solver Console'!C11)</f>
        <v>2.9586111111111112E-2</v>
      </c>
    </row>
    <row r="15" spans="1:6" x14ac:dyDescent="0.25">
      <c r="A15" s="23" t="s">
        <v>4028</v>
      </c>
      <c r="B15" s="23" t="s">
        <v>4016</v>
      </c>
      <c r="C15" s="38">
        <v>42.603999999999999</v>
      </c>
      <c r="D15" s="24">
        <f xml:space="preserve"> C15 / (24 * 'VRP Solver Console'!C11)</f>
        <v>2.9586111111111112E-2</v>
      </c>
    </row>
    <row r="16" spans="1:6" x14ac:dyDescent="0.25">
      <c r="A16" s="23" t="s">
        <v>4028</v>
      </c>
      <c r="B16" s="23" t="s">
        <v>4017</v>
      </c>
      <c r="C16" s="39">
        <v>42.603999999999999</v>
      </c>
      <c r="D16" s="25">
        <f xml:space="preserve"> C16 / (24 * 'VRP Solver Console'!C11)</f>
        <v>2.9586111111111112E-2</v>
      </c>
    </row>
    <row r="17" spans="1:4" x14ac:dyDescent="0.25">
      <c r="A17" s="23" t="s">
        <v>4028</v>
      </c>
      <c r="B17" s="23" t="s">
        <v>4018</v>
      </c>
      <c r="C17" s="38">
        <v>42.603999999999999</v>
      </c>
      <c r="D17" s="24">
        <f xml:space="preserve"> C17 / (24 * 'VRP Solver Console'!C11)</f>
        <v>2.9586111111111112E-2</v>
      </c>
    </row>
    <row r="18" spans="1:4" x14ac:dyDescent="0.25">
      <c r="A18" s="23" t="s">
        <v>4028</v>
      </c>
      <c r="B18" s="23" t="s">
        <v>4019</v>
      </c>
      <c r="C18" s="39">
        <v>3.7309999999999999</v>
      </c>
      <c r="D18" s="25">
        <f xml:space="preserve"> C18 / (24 * 'VRP Solver Console'!C11)</f>
        <v>2.5909722222222219E-3</v>
      </c>
    </row>
    <row r="19" spans="1:4" x14ac:dyDescent="0.25">
      <c r="A19" s="23" t="s">
        <v>4028</v>
      </c>
      <c r="B19" s="23" t="s">
        <v>4020</v>
      </c>
      <c r="C19" s="38">
        <v>1.401</v>
      </c>
      <c r="D19" s="24">
        <f xml:space="preserve"> C19 / (24 * 'VRP Solver Console'!C11)</f>
        <v>9.7291666666666663E-4</v>
      </c>
    </row>
    <row r="20" spans="1:4" x14ac:dyDescent="0.25">
      <c r="A20" s="23" t="s">
        <v>4028</v>
      </c>
      <c r="B20" s="23" t="s">
        <v>4021</v>
      </c>
      <c r="C20" s="39">
        <v>2.419</v>
      </c>
      <c r="D20" s="25">
        <f xml:space="preserve"> C20 / (24 * 'VRP Solver Console'!C11)</f>
        <v>1.6798611111111111E-3</v>
      </c>
    </row>
    <row r="21" spans="1:4" x14ac:dyDescent="0.25">
      <c r="A21" s="23" t="s">
        <v>4028</v>
      </c>
      <c r="B21" s="23" t="s">
        <v>4022</v>
      </c>
      <c r="C21" s="38">
        <v>2.2229999999999999</v>
      </c>
      <c r="D21" s="24">
        <f xml:space="preserve"> C21 / (24 * 'VRP Solver Console'!C11)</f>
        <v>1.54375E-3</v>
      </c>
    </row>
    <row r="22" spans="1:4" x14ac:dyDescent="0.25">
      <c r="A22" s="23" t="s">
        <v>4028</v>
      </c>
      <c r="B22" s="23" t="s">
        <v>4023</v>
      </c>
      <c r="C22" s="39">
        <v>3.24</v>
      </c>
      <c r="D22" s="25">
        <f xml:space="preserve"> C22 / (24 * 'VRP Solver Console'!C11)</f>
        <v>2.2500000000000003E-3</v>
      </c>
    </row>
    <row r="23" spans="1:4" x14ac:dyDescent="0.25">
      <c r="A23" s="23" t="s">
        <v>4028</v>
      </c>
      <c r="B23" s="23" t="s">
        <v>4024</v>
      </c>
      <c r="C23" s="38">
        <v>40.531999999999996</v>
      </c>
      <c r="D23" s="24">
        <f xml:space="preserve"> C23 / (24 * 'VRP Solver Console'!C11)</f>
        <v>2.8147222222222219E-2</v>
      </c>
    </row>
    <row r="24" spans="1:4" x14ac:dyDescent="0.25">
      <c r="A24" s="23" t="s">
        <v>4028</v>
      </c>
      <c r="B24" s="23" t="s">
        <v>4003</v>
      </c>
      <c r="C24" s="39">
        <v>1.9990000000000001</v>
      </c>
      <c r="D24" s="25">
        <f xml:space="preserve"> C24 / (24 * 'VRP Solver Console'!C11)</f>
        <v>1.3881944444444445E-3</v>
      </c>
    </row>
    <row r="25" spans="1:4" x14ac:dyDescent="0.25">
      <c r="A25" s="23" t="s">
        <v>4004</v>
      </c>
      <c r="B25" s="23" t="s">
        <v>4028</v>
      </c>
      <c r="C25" s="38">
        <v>0.90800000000000003</v>
      </c>
      <c r="D25" s="24">
        <f xml:space="preserve"> C25 / (24 * 'VRP Solver Console'!C11)</f>
        <v>6.3055555555555553E-4</v>
      </c>
    </row>
    <row r="26" spans="1:4" x14ac:dyDescent="0.25">
      <c r="A26" s="23" t="s">
        <v>4004</v>
      </c>
      <c r="B26" s="23" t="s">
        <v>4004</v>
      </c>
      <c r="C26" s="39">
        <v>0</v>
      </c>
      <c r="D26" s="25">
        <v>0</v>
      </c>
    </row>
    <row r="27" spans="1:4" x14ac:dyDescent="0.25">
      <c r="A27" s="23" t="s">
        <v>4004</v>
      </c>
      <c r="B27" s="23" t="s">
        <v>4005</v>
      </c>
      <c r="C27" s="38">
        <v>0.84</v>
      </c>
      <c r="D27" s="24">
        <f xml:space="preserve"> C27 / (24 * 'VRP Solver Console'!C11)</f>
        <v>5.8333333333333327E-4</v>
      </c>
    </row>
    <row r="28" spans="1:4" x14ac:dyDescent="0.25">
      <c r="A28" s="23" t="s">
        <v>4004</v>
      </c>
      <c r="B28" s="23" t="s">
        <v>4006</v>
      </c>
      <c r="C28" s="39">
        <v>1.675</v>
      </c>
      <c r="D28" s="25">
        <f xml:space="preserve"> C28 / (24 * 'VRP Solver Console'!C11)</f>
        <v>1.1631944444444446E-3</v>
      </c>
    </row>
    <row r="29" spans="1:4" x14ac:dyDescent="0.25">
      <c r="A29" s="23" t="s">
        <v>4004</v>
      </c>
      <c r="B29" s="23" t="s">
        <v>4007</v>
      </c>
      <c r="C29" s="38">
        <v>1.9850000000000001</v>
      </c>
      <c r="D29" s="24">
        <f xml:space="preserve"> C29 / (24 * 'VRP Solver Console'!C11)</f>
        <v>1.3784722222222223E-3</v>
      </c>
    </row>
    <row r="30" spans="1:4" x14ac:dyDescent="0.25">
      <c r="A30" s="23" t="s">
        <v>4004</v>
      </c>
      <c r="B30" s="23" t="s">
        <v>4008</v>
      </c>
      <c r="C30" s="39">
        <v>0.54400000000000004</v>
      </c>
      <c r="D30" s="25">
        <f xml:space="preserve"> C30 / (24 * 'VRP Solver Console'!C11)</f>
        <v>3.7777777777777782E-4</v>
      </c>
    </row>
    <row r="31" spans="1:4" x14ac:dyDescent="0.25">
      <c r="A31" s="23" t="s">
        <v>4004</v>
      </c>
      <c r="B31" s="23" t="s">
        <v>4009</v>
      </c>
      <c r="C31" s="38">
        <v>0</v>
      </c>
      <c r="D31" s="24">
        <f xml:space="preserve"> C31 / (24 * 'VRP Solver Console'!C11)</f>
        <v>0</v>
      </c>
    </row>
    <row r="32" spans="1:4" x14ac:dyDescent="0.25">
      <c r="A32" s="23" t="s">
        <v>4004</v>
      </c>
      <c r="B32" s="23" t="s">
        <v>4010</v>
      </c>
      <c r="C32" s="39">
        <v>0.76200000000000001</v>
      </c>
      <c r="D32" s="25">
        <f xml:space="preserve"> C32 / (24 * 'VRP Solver Console'!C11)</f>
        <v>5.2916666666666672E-4</v>
      </c>
    </row>
    <row r="33" spans="1:4" x14ac:dyDescent="0.25">
      <c r="A33" s="23" t="s">
        <v>4004</v>
      </c>
      <c r="B33" s="23" t="s">
        <v>4011</v>
      </c>
      <c r="C33" s="38">
        <v>1.556</v>
      </c>
      <c r="D33" s="24">
        <f xml:space="preserve"> C33 / (24 * 'VRP Solver Console'!C11)</f>
        <v>1.0805555555555555E-3</v>
      </c>
    </row>
    <row r="34" spans="1:4" x14ac:dyDescent="0.25">
      <c r="A34" s="23" t="s">
        <v>4004</v>
      </c>
      <c r="B34" s="23" t="s">
        <v>4012</v>
      </c>
      <c r="C34" s="39">
        <v>3.149</v>
      </c>
      <c r="D34" s="25">
        <f xml:space="preserve"> C34 / (24 * 'VRP Solver Console'!C11)</f>
        <v>2.1868055555555556E-3</v>
      </c>
    </row>
    <row r="35" spans="1:4" x14ac:dyDescent="0.25">
      <c r="A35" s="23" t="s">
        <v>4004</v>
      </c>
      <c r="B35" s="23" t="s">
        <v>4013</v>
      </c>
      <c r="C35" s="38">
        <v>2.1150000000000002</v>
      </c>
      <c r="D35" s="24">
        <f xml:space="preserve"> C35 / (24 * 'VRP Solver Console'!C11)</f>
        <v>1.4687500000000002E-3</v>
      </c>
    </row>
    <row r="36" spans="1:4" x14ac:dyDescent="0.25">
      <c r="A36" s="23" t="s">
        <v>4004</v>
      </c>
      <c r="B36" s="23" t="s">
        <v>4014</v>
      </c>
      <c r="C36" s="39">
        <v>2.0750000000000002</v>
      </c>
      <c r="D36" s="25">
        <f xml:space="preserve"> C36 / (24 * 'VRP Solver Console'!C11)</f>
        <v>1.4409722222222224E-3</v>
      </c>
    </row>
    <row r="37" spans="1:4" x14ac:dyDescent="0.25">
      <c r="A37" s="23" t="s">
        <v>4004</v>
      </c>
      <c r="B37" s="23" t="s">
        <v>4015</v>
      </c>
      <c r="C37" s="38">
        <v>43.189</v>
      </c>
      <c r="D37" s="24">
        <f xml:space="preserve"> C37 / (24 * 'VRP Solver Console'!C11)</f>
        <v>2.9992361111111112E-2</v>
      </c>
    </row>
    <row r="38" spans="1:4" x14ac:dyDescent="0.25">
      <c r="A38" s="23" t="s">
        <v>4004</v>
      </c>
      <c r="B38" s="23" t="s">
        <v>4016</v>
      </c>
      <c r="C38" s="39">
        <v>43.189</v>
      </c>
      <c r="D38" s="25">
        <f xml:space="preserve"> C38 / (24 * 'VRP Solver Console'!C11)</f>
        <v>2.9992361111111112E-2</v>
      </c>
    </row>
    <row r="39" spans="1:4" x14ac:dyDescent="0.25">
      <c r="A39" s="23" t="s">
        <v>4004</v>
      </c>
      <c r="B39" s="23" t="s">
        <v>4017</v>
      </c>
      <c r="C39" s="38">
        <v>43.189</v>
      </c>
      <c r="D39" s="24">
        <f xml:space="preserve"> C39 / (24 * 'VRP Solver Console'!C11)</f>
        <v>2.9992361111111112E-2</v>
      </c>
    </row>
    <row r="40" spans="1:4" x14ac:dyDescent="0.25">
      <c r="A40" s="23" t="s">
        <v>4004</v>
      </c>
      <c r="B40" s="23" t="s">
        <v>4018</v>
      </c>
      <c r="C40" s="39">
        <v>43.189</v>
      </c>
      <c r="D40" s="25">
        <f xml:space="preserve"> C40 / (24 * 'VRP Solver Console'!C11)</f>
        <v>2.9992361111111112E-2</v>
      </c>
    </row>
    <row r="41" spans="1:4" x14ac:dyDescent="0.25">
      <c r="A41" s="23" t="s">
        <v>4004</v>
      </c>
      <c r="B41" s="23" t="s">
        <v>4019</v>
      </c>
      <c r="C41" s="38">
        <v>4.3159999999999998</v>
      </c>
      <c r="D41" s="24">
        <f xml:space="preserve"> C41 / (24 * 'VRP Solver Console'!C11)</f>
        <v>2.9972222222222223E-3</v>
      </c>
    </row>
    <row r="42" spans="1:4" x14ac:dyDescent="0.25">
      <c r="A42" s="23" t="s">
        <v>4004</v>
      </c>
      <c r="B42" s="23" t="s">
        <v>4020</v>
      </c>
      <c r="C42" s="39">
        <v>0.93400000000000005</v>
      </c>
      <c r="D42" s="25">
        <f xml:space="preserve"> C42 / (24 * 'VRP Solver Console'!C11)</f>
        <v>6.486111111111112E-4</v>
      </c>
    </row>
    <row r="43" spans="1:4" x14ac:dyDescent="0.25">
      <c r="A43" s="23" t="s">
        <v>4004</v>
      </c>
      <c r="B43" s="23" t="s">
        <v>4021</v>
      </c>
      <c r="C43" s="38">
        <v>2.37</v>
      </c>
      <c r="D43" s="24">
        <f xml:space="preserve"> C43 / (24 * 'VRP Solver Console'!C11)</f>
        <v>1.6458333333333333E-3</v>
      </c>
    </row>
    <row r="44" spans="1:4" x14ac:dyDescent="0.25">
      <c r="A44" s="23" t="s">
        <v>4004</v>
      </c>
      <c r="B44" s="23" t="s">
        <v>4022</v>
      </c>
      <c r="C44" s="39">
        <v>1.2030000000000001</v>
      </c>
      <c r="D44" s="25">
        <f xml:space="preserve"> C44 / (24 * 'VRP Solver Console'!C11)</f>
        <v>8.3541666666666671E-4</v>
      </c>
    </row>
    <row r="45" spans="1:4" x14ac:dyDescent="0.25">
      <c r="A45" s="23" t="s">
        <v>4004</v>
      </c>
      <c r="B45" s="23" t="s">
        <v>4023</v>
      </c>
      <c r="C45" s="38">
        <v>3.8250000000000002</v>
      </c>
      <c r="D45" s="24">
        <f xml:space="preserve"> C45 / (24 * 'VRP Solver Console'!C11)</f>
        <v>2.6562500000000002E-3</v>
      </c>
    </row>
    <row r="46" spans="1:4" x14ac:dyDescent="0.25">
      <c r="A46" s="23" t="s">
        <v>4004</v>
      </c>
      <c r="B46" s="23" t="s">
        <v>4024</v>
      </c>
      <c r="C46" s="39">
        <v>41.116999999999997</v>
      </c>
      <c r="D46" s="25">
        <f xml:space="preserve"> C46 / (24 * 'VRP Solver Console'!C11)</f>
        <v>2.855347222222222E-2</v>
      </c>
    </row>
    <row r="47" spans="1:4" x14ac:dyDescent="0.25">
      <c r="A47" s="23" t="s">
        <v>4004</v>
      </c>
      <c r="B47" s="23" t="s">
        <v>4003</v>
      </c>
      <c r="C47" s="38">
        <v>1.95</v>
      </c>
      <c r="D47" s="24">
        <f xml:space="preserve"> C47 / (24 * 'VRP Solver Console'!C11)</f>
        <v>1.3541666666666667E-3</v>
      </c>
    </row>
    <row r="48" spans="1:4" x14ac:dyDescent="0.25">
      <c r="A48" s="23" t="s">
        <v>4005</v>
      </c>
      <c r="B48" s="23" t="s">
        <v>4028</v>
      </c>
      <c r="C48" s="39">
        <v>0.95899999999999996</v>
      </c>
      <c r="D48" s="25">
        <f xml:space="preserve"> C48 / (24 * 'VRP Solver Console'!C11)</f>
        <v>6.659722222222222E-4</v>
      </c>
    </row>
    <row r="49" spans="1:4" x14ac:dyDescent="0.25">
      <c r="A49" s="23" t="s">
        <v>4005</v>
      </c>
      <c r="B49" s="23" t="s">
        <v>4004</v>
      </c>
      <c r="C49" s="38">
        <v>1.042</v>
      </c>
      <c r="D49" s="24">
        <f xml:space="preserve"> C49 / (24 * 'VRP Solver Console'!C11)</f>
        <v>7.2361111111111118E-4</v>
      </c>
    </row>
    <row r="50" spans="1:4" x14ac:dyDescent="0.25">
      <c r="A50" s="23" t="s">
        <v>4005</v>
      </c>
      <c r="B50" s="23" t="s">
        <v>4005</v>
      </c>
      <c r="C50" s="39">
        <v>0</v>
      </c>
      <c r="D50" s="25">
        <v>0</v>
      </c>
    </row>
    <row r="51" spans="1:4" x14ac:dyDescent="0.25">
      <c r="A51" s="23" t="s">
        <v>4005</v>
      </c>
      <c r="B51" s="23" t="s">
        <v>4006</v>
      </c>
      <c r="C51" s="38">
        <v>2.4</v>
      </c>
      <c r="D51" s="24">
        <f xml:space="preserve"> C51 / (24 * 'VRP Solver Console'!C11)</f>
        <v>1.6666666666666666E-3</v>
      </c>
    </row>
    <row r="52" spans="1:4" x14ac:dyDescent="0.25">
      <c r="A52" s="23" t="s">
        <v>4005</v>
      </c>
      <c r="B52" s="23" t="s">
        <v>4007</v>
      </c>
      <c r="C52" s="39">
        <v>1.1439999999999999</v>
      </c>
      <c r="D52" s="25">
        <f xml:space="preserve"> C52 / (24 * 'VRP Solver Console'!C11)</f>
        <v>7.9444444444444441E-4</v>
      </c>
    </row>
    <row r="53" spans="1:4" x14ac:dyDescent="0.25">
      <c r="A53" s="23" t="s">
        <v>4005</v>
      </c>
      <c r="B53" s="23" t="s">
        <v>4008</v>
      </c>
      <c r="C53" s="38">
        <v>0.52</v>
      </c>
      <c r="D53" s="24">
        <f xml:space="preserve"> C53 / (24 * 'VRP Solver Console'!C11)</f>
        <v>3.6111111111111115E-4</v>
      </c>
    </row>
    <row r="54" spans="1:4" x14ac:dyDescent="0.25">
      <c r="A54" s="23" t="s">
        <v>4005</v>
      </c>
      <c r="B54" s="23" t="s">
        <v>4009</v>
      </c>
      <c r="C54" s="39">
        <v>1.042</v>
      </c>
      <c r="D54" s="25">
        <f xml:space="preserve"> C54 / (24 * 'VRP Solver Console'!C11)</f>
        <v>7.2361111111111118E-4</v>
      </c>
    </row>
    <row r="55" spans="1:4" x14ac:dyDescent="0.25">
      <c r="A55" s="23" t="s">
        <v>4005</v>
      </c>
      <c r="B55" s="23" t="s">
        <v>4010</v>
      </c>
      <c r="C55" s="38">
        <v>1.744</v>
      </c>
      <c r="D55" s="24">
        <f xml:space="preserve"> C55 / (24 * 'VRP Solver Console'!C11)</f>
        <v>1.2111111111111112E-3</v>
      </c>
    </row>
    <row r="56" spans="1:4" x14ac:dyDescent="0.25">
      <c r="A56" s="23" t="s">
        <v>4005</v>
      </c>
      <c r="B56" s="23" t="s">
        <v>4011</v>
      </c>
      <c r="C56" s="39">
        <v>2.298</v>
      </c>
      <c r="D56" s="25">
        <f xml:space="preserve"> C56 / (24 * 'VRP Solver Console'!C11)</f>
        <v>1.5958333333333334E-3</v>
      </c>
    </row>
    <row r="57" spans="1:4" x14ac:dyDescent="0.25">
      <c r="A57" s="23" t="s">
        <v>4005</v>
      </c>
      <c r="B57" s="23" t="s">
        <v>4012</v>
      </c>
      <c r="C57" s="38">
        <v>4.0780000000000003</v>
      </c>
      <c r="D57" s="24">
        <f xml:space="preserve"> C57 / (24 * 'VRP Solver Console'!C11)</f>
        <v>2.8319444444444447E-3</v>
      </c>
    </row>
    <row r="58" spans="1:4" x14ac:dyDescent="0.25">
      <c r="A58" s="23" t="s">
        <v>4005</v>
      </c>
      <c r="B58" s="23" t="s">
        <v>4013</v>
      </c>
      <c r="C58" s="39">
        <v>1.274</v>
      </c>
      <c r="D58" s="25">
        <f xml:space="preserve"> C58 / (24 * 'VRP Solver Console'!C11)</f>
        <v>8.8472222222222229E-4</v>
      </c>
    </row>
    <row r="59" spans="1:4" x14ac:dyDescent="0.25">
      <c r="A59" s="23" t="s">
        <v>4005</v>
      </c>
      <c r="B59" s="23" t="s">
        <v>4014</v>
      </c>
      <c r="C59" s="38">
        <v>2.6120000000000001</v>
      </c>
      <c r="D59" s="24">
        <f xml:space="preserve"> C59 / (24 * 'VRP Solver Console'!C11)</f>
        <v>1.813888888888889E-3</v>
      </c>
    </row>
    <row r="60" spans="1:4" x14ac:dyDescent="0.25">
      <c r="A60" s="23" t="s">
        <v>4005</v>
      </c>
      <c r="B60" s="23" t="s">
        <v>4015</v>
      </c>
      <c r="C60" s="39">
        <v>42.231000000000002</v>
      </c>
      <c r="D60" s="25">
        <f xml:space="preserve"> C60 / (24 * 'VRP Solver Console'!C11)</f>
        <v>2.9327083333333333E-2</v>
      </c>
    </row>
    <row r="61" spans="1:4" x14ac:dyDescent="0.25">
      <c r="A61" s="23" t="s">
        <v>4005</v>
      </c>
      <c r="B61" s="23" t="s">
        <v>4016</v>
      </c>
      <c r="C61" s="38">
        <v>42.231000000000002</v>
      </c>
      <c r="D61" s="24">
        <f xml:space="preserve"> C61 / (24 * 'VRP Solver Console'!C11)</f>
        <v>2.9327083333333333E-2</v>
      </c>
    </row>
    <row r="62" spans="1:4" x14ac:dyDescent="0.25">
      <c r="A62" s="23" t="s">
        <v>4005</v>
      </c>
      <c r="B62" s="23" t="s">
        <v>4017</v>
      </c>
      <c r="C62" s="39">
        <v>42.231000000000002</v>
      </c>
      <c r="D62" s="25">
        <f xml:space="preserve"> C62 / (24 * 'VRP Solver Console'!C11)</f>
        <v>2.9327083333333333E-2</v>
      </c>
    </row>
    <row r="63" spans="1:4" x14ac:dyDescent="0.25">
      <c r="A63" s="23" t="s">
        <v>4005</v>
      </c>
      <c r="B63" s="23" t="s">
        <v>4018</v>
      </c>
      <c r="C63" s="38">
        <v>42.231000000000002</v>
      </c>
      <c r="D63" s="24">
        <f xml:space="preserve"> C63 / (24 * 'VRP Solver Console'!C11)</f>
        <v>2.9327083333333333E-2</v>
      </c>
    </row>
    <row r="64" spans="1:4" x14ac:dyDescent="0.25">
      <c r="A64" s="23" t="s">
        <v>4005</v>
      </c>
      <c r="B64" s="23" t="s">
        <v>4019</v>
      </c>
      <c r="C64" s="39">
        <v>3.3580000000000001</v>
      </c>
      <c r="D64" s="25">
        <f xml:space="preserve"> C64 / (24 * 'VRP Solver Console'!C11)</f>
        <v>2.3319444444444446E-3</v>
      </c>
    </row>
    <row r="65" spans="1:4" x14ac:dyDescent="0.25">
      <c r="A65" s="23" t="s">
        <v>4005</v>
      </c>
      <c r="B65" s="23" t="s">
        <v>4020</v>
      </c>
      <c r="C65" s="38">
        <v>1.7729999999999999</v>
      </c>
      <c r="D65" s="24">
        <f xml:space="preserve"> C65 / (24 * 'VRP Solver Console'!C11)</f>
        <v>1.2312499999999999E-3</v>
      </c>
    </row>
    <row r="66" spans="1:4" x14ac:dyDescent="0.25">
      <c r="A66" s="23" t="s">
        <v>4005</v>
      </c>
      <c r="B66" s="23" t="s">
        <v>4021</v>
      </c>
      <c r="C66" s="39">
        <v>3.2989999999999999</v>
      </c>
      <c r="D66" s="25">
        <f xml:space="preserve"> C66 / (24 * 'VRP Solver Console'!C11)</f>
        <v>2.290972222222222E-3</v>
      </c>
    </row>
    <row r="67" spans="1:4" x14ac:dyDescent="0.25">
      <c r="A67" s="23" t="s">
        <v>4005</v>
      </c>
      <c r="B67" s="23" t="s">
        <v>4022</v>
      </c>
      <c r="C67" s="38">
        <v>1.9279999999999999</v>
      </c>
      <c r="D67" s="24">
        <f xml:space="preserve"> C67 / (24 * 'VRP Solver Console'!C11)</f>
        <v>1.3388888888888888E-3</v>
      </c>
    </row>
    <row r="68" spans="1:4" x14ac:dyDescent="0.25">
      <c r="A68" s="23" t="s">
        <v>4005</v>
      </c>
      <c r="B68" s="23" t="s">
        <v>4023</v>
      </c>
      <c r="C68" s="39">
        <v>2.9430000000000001</v>
      </c>
      <c r="D68" s="25">
        <f xml:space="preserve"> C68 / (24 * 'VRP Solver Console'!C11)</f>
        <v>2.04375E-3</v>
      </c>
    </row>
    <row r="69" spans="1:4" x14ac:dyDescent="0.25">
      <c r="A69" s="23" t="s">
        <v>4005</v>
      </c>
      <c r="B69" s="23" t="s">
        <v>4024</v>
      </c>
      <c r="C69" s="38">
        <v>40.158999999999999</v>
      </c>
      <c r="D69" s="24">
        <f xml:space="preserve"> C69 / (24 * 'VRP Solver Console'!C11)</f>
        <v>2.7888194444444445E-2</v>
      </c>
    </row>
    <row r="70" spans="1:4" x14ac:dyDescent="0.25">
      <c r="A70" s="23" t="s">
        <v>4005</v>
      </c>
      <c r="B70" s="23" t="s">
        <v>4003</v>
      </c>
      <c r="C70" s="39">
        <v>2.879</v>
      </c>
      <c r="D70" s="25">
        <f xml:space="preserve"> C70 / (24 * 'VRP Solver Console'!C11)</f>
        <v>1.9993055555555554E-3</v>
      </c>
    </row>
    <row r="71" spans="1:4" x14ac:dyDescent="0.25">
      <c r="A71" s="23" t="s">
        <v>4006</v>
      </c>
      <c r="B71" s="23" t="s">
        <v>4028</v>
      </c>
      <c r="C71" s="38">
        <v>2.0779999999999998</v>
      </c>
      <c r="D71" s="24">
        <f xml:space="preserve"> C71 / (24 * 'VRP Solver Console'!C11)</f>
        <v>1.4430555555555555E-3</v>
      </c>
    </row>
    <row r="72" spans="1:4" x14ac:dyDescent="0.25">
      <c r="A72" s="23" t="s">
        <v>4006</v>
      </c>
      <c r="B72" s="23" t="s">
        <v>4004</v>
      </c>
      <c r="C72" s="39">
        <v>1.6679999999999999</v>
      </c>
      <c r="D72" s="25">
        <f xml:space="preserve"> C72 / (24 * 'VRP Solver Console'!C11)</f>
        <v>1.1583333333333333E-3</v>
      </c>
    </row>
    <row r="73" spans="1:4" x14ac:dyDescent="0.25">
      <c r="A73" s="23" t="s">
        <v>4006</v>
      </c>
      <c r="B73" s="23" t="s">
        <v>4005</v>
      </c>
      <c r="C73" s="38">
        <v>2.2669999999999999</v>
      </c>
      <c r="D73" s="24">
        <f xml:space="preserve"> C73 / (24 * 'VRP Solver Console'!C11)</f>
        <v>1.5743055555555556E-3</v>
      </c>
    </row>
    <row r="74" spans="1:4" x14ac:dyDescent="0.25">
      <c r="A74" s="23" t="s">
        <v>4006</v>
      </c>
      <c r="B74" s="23" t="s">
        <v>4006</v>
      </c>
      <c r="C74" s="39">
        <v>0</v>
      </c>
      <c r="D74" s="25">
        <v>0</v>
      </c>
    </row>
    <row r="75" spans="1:4" x14ac:dyDescent="0.25">
      <c r="A75" s="23" t="s">
        <v>4006</v>
      </c>
      <c r="B75" s="23" t="s">
        <v>4007</v>
      </c>
      <c r="C75" s="38">
        <v>2.149</v>
      </c>
      <c r="D75" s="24">
        <f xml:space="preserve"> C75 / (24 * 'VRP Solver Console'!C11)</f>
        <v>1.4923611111111112E-3</v>
      </c>
    </row>
    <row r="76" spans="1:4" x14ac:dyDescent="0.25">
      <c r="A76" s="23" t="s">
        <v>4006</v>
      </c>
      <c r="B76" s="23" t="s">
        <v>4008</v>
      </c>
      <c r="C76" s="39">
        <v>2.2130000000000001</v>
      </c>
      <c r="D76" s="25">
        <f xml:space="preserve"> C76 / (24 * 'VRP Solver Console'!C11)</f>
        <v>1.5368055555555556E-3</v>
      </c>
    </row>
    <row r="77" spans="1:4" x14ac:dyDescent="0.25">
      <c r="A77" s="23" t="s">
        <v>4006</v>
      </c>
      <c r="B77" s="23" t="s">
        <v>4009</v>
      </c>
      <c r="C77" s="38">
        <v>1.6679999999999999</v>
      </c>
      <c r="D77" s="24">
        <f xml:space="preserve"> C77 / (24 * 'VRP Solver Console'!C11)</f>
        <v>1.1583333333333333E-3</v>
      </c>
    </row>
    <row r="78" spans="1:4" x14ac:dyDescent="0.25">
      <c r="A78" s="23" t="s">
        <v>4006</v>
      </c>
      <c r="B78" s="23" t="s">
        <v>4010</v>
      </c>
      <c r="C78" s="39">
        <v>1.23</v>
      </c>
      <c r="D78" s="25">
        <f xml:space="preserve"> C78 / (24 * 'VRP Solver Console'!C11)</f>
        <v>8.541666666666667E-4</v>
      </c>
    </row>
    <row r="79" spans="1:4" x14ac:dyDescent="0.25">
      <c r="A79" s="23" t="s">
        <v>4006</v>
      </c>
      <c r="B79" s="23" t="s">
        <v>4011</v>
      </c>
      <c r="C79" s="38">
        <v>0.60599999999999998</v>
      </c>
      <c r="D79" s="24">
        <f xml:space="preserve"> C79 / (24 * 'VRP Solver Console'!C11)</f>
        <v>4.2083333333333333E-4</v>
      </c>
    </row>
    <row r="80" spans="1:4" x14ac:dyDescent="0.25">
      <c r="A80" s="23" t="s">
        <v>4006</v>
      </c>
      <c r="B80" s="23" t="s">
        <v>4012</v>
      </c>
      <c r="C80" s="39">
        <v>2.3490000000000002</v>
      </c>
      <c r="D80" s="25">
        <f xml:space="preserve"> C80 / (24 * 'VRP Solver Console'!C11)</f>
        <v>1.6312500000000001E-3</v>
      </c>
    </row>
    <row r="81" spans="1:4" x14ac:dyDescent="0.25">
      <c r="A81" s="23" t="s">
        <v>4006</v>
      </c>
      <c r="B81" s="23" t="s">
        <v>4013</v>
      </c>
      <c r="C81" s="38">
        <v>3.5419999999999998</v>
      </c>
      <c r="D81" s="24">
        <f xml:space="preserve"> C81 / (24 * 'VRP Solver Console'!C11)</f>
        <v>2.4597222222222221E-3</v>
      </c>
    </row>
    <row r="82" spans="1:4" x14ac:dyDescent="0.25">
      <c r="A82" s="23" t="s">
        <v>4006</v>
      </c>
      <c r="B82" s="23" t="s">
        <v>4014</v>
      </c>
      <c r="C82" s="39">
        <v>3.4049999999999998</v>
      </c>
      <c r="D82" s="25">
        <f xml:space="preserve"> C82 / (24 * 'VRP Solver Console'!C11)</f>
        <v>2.3645833333333331E-3</v>
      </c>
    </row>
    <row r="83" spans="1:4" x14ac:dyDescent="0.25">
      <c r="A83" s="23" t="s">
        <v>4006</v>
      </c>
      <c r="B83" s="23" t="s">
        <v>4015</v>
      </c>
      <c r="C83" s="38">
        <v>44.518999999999998</v>
      </c>
      <c r="D83" s="24">
        <f xml:space="preserve"> C83 / (24 * 'VRP Solver Console'!C11)</f>
        <v>3.091597222222222E-2</v>
      </c>
    </row>
    <row r="84" spans="1:4" x14ac:dyDescent="0.25">
      <c r="A84" s="23" t="s">
        <v>4006</v>
      </c>
      <c r="B84" s="23" t="s">
        <v>4016</v>
      </c>
      <c r="C84" s="39">
        <v>44.518999999999998</v>
      </c>
      <c r="D84" s="25">
        <f xml:space="preserve"> C84 / (24 * 'VRP Solver Console'!C11)</f>
        <v>3.091597222222222E-2</v>
      </c>
    </row>
    <row r="85" spans="1:4" x14ac:dyDescent="0.25">
      <c r="A85" s="23" t="s">
        <v>4006</v>
      </c>
      <c r="B85" s="23" t="s">
        <v>4017</v>
      </c>
      <c r="C85" s="38">
        <v>44.518999999999998</v>
      </c>
      <c r="D85" s="24">
        <f xml:space="preserve"> C85 / (24 * 'VRP Solver Console'!C11)</f>
        <v>3.091597222222222E-2</v>
      </c>
    </row>
    <row r="86" spans="1:4" x14ac:dyDescent="0.25">
      <c r="A86" s="23" t="s">
        <v>4006</v>
      </c>
      <c r="B86" s="23" t="s">
        <v>4018</v>
      </c>
      <c r="C86" s="39">
        <v>44.518999999999998</v>
      </c>
      <c r="D86" s="25">
        <f xml:space="preserve"> C86 / (24 * 'VRP Solver Console'!C11)</f>
        <v>3.091597222222222E-2</v>
      </c>
    </row>
    <row r="87" spans="1:4" x14ac:dyDescent="0.25">
      <c r="A87" s="23" t="s">
        <v>4006</v>
      </c>
      <c r="B87" s="23" t="s">
        <v>4019</v>
      </c>
      <c r="C87" s="38">
        <v>5.6459999999999999</v>
      </c>
      <c r="D87" s="24">
        <f xml:space="preserve"> C87 / (24 * 'VRP Solver Console'!C11)</f>
        <v>3.9208333333333335E-3</v>
      </c>
    </row>
    <row r="88" spans="1:4" x14ac:dyDescent="0.25">
      <c r="A88" s="23" t="s">
        <v>4006</v>
      </c>
      <c r="B88" s="23" t="s">
        <v>4020</v>
      </c>
      <c r="C88" s="39">
        <v>0.86299999999999999</v>
      </c>
      <c r="D88" s="25">
        <f xml:space="preserve"> C88 / (24 * 'VRP Solver Console'!C11)</f>
        <v>5.9930555555555551E-4</v>
      </c>
    </row>
    <row r="89" spans="1:4" x14ac:dyDescent="0.25">
      <c r="A89" s="23" t="s">
        <v>4006</v>
      </c>
      <c r="B89" s="23" t="s">
        <v>4021</v>
      </c>
      <c r="C89" s="38">
        <v>1.57</v>
      </c>
      <c r="D89" s="24">
        <f xml:space="preserve"> C89 / (24 * 'VRP Solver Console'!C11)</f>
        <v>1.0902777777777779E-3</v>
      </c>
    </row>
    <row r="90" spans="1:4" x14ac:dyDescent="0.25">
      <c r="A90" s="23" t="s">
        <v>4006</v>
      </c>
      <c r="B90" s="23" t="s">
        <v>4022</v>
      </c>
      <c r="C90" s="39">
        <v>0.317</v>
      </c>
      <c r="D90" s="25">
        <f xml:space="preserve"> C90 / (24 * 'VRP Solver Console'!C11)</f>
        <v>2.2013888888888889E-4</v>
      </c>
    </row>
    <row r="91" spans="1:4" x14ac:dyDescent="0.25">
      <c r="A91" s="23" t="s">
        <v>4006</v>
      </c>
      <c r="B91" s="23" t="s">
        <v>4023</v>
      </c>
      <c r="C91" s="38">
        <v>5.1550000000000002</v>
      </c>
      <c r="D91" s="24">
        <f xml:space="preserve"> C91 / (24 * 'VRP Solver Console'!C11)</f>
        <v>3.5798611111111114E-3</v>
      </c>
    </row>
    <row r="92" spans="1:4" x14ac:dyDescent="0.25">
      <c r="A92" s="23" t="s">
        <v>4006</v>
      </c>
      <c r="B92" s="23" t="s">
        <v>4024</v>
      </c>
      <c r="C92" s="39">
        <v>42.447000000000003</v>
      </c>
      <c r="D92" s="25">
        <f xml:space="preserve"> C92 / (24 * 'VRP Solver Console'!C11)</f>
        <v>2.9477083333333334E-2</v>
      </c>
    </row>
    <row r="93" spans="1:4" x14ac:dyDescent="0.25">
      <c r="A93" s="23" t="s">
        <v>4006</v>
      </c>
      <c r="B93" s="23" t="s">
        <v>4003</v>
      </c>
      <c r="C93" s="38">
        <v>1.1499999999999999</v>
      </c>
      <c r="D93" s="24">
        <f xml:space="preserve"> C93 / (24 * 'VRP Solver Console'!C11)</f>
        <v>7.9861111111111105E-4</v>
      </c>
    </row>
    <row r="94" spans="1:4" x14ac:dyDescent="0.25">
      <c r="A94" s="23" t="s">
        <v>4007</v>
      </c>
      <c r="B94" s="23" t="s">
        <v>4028</v>
      </c>
      <c r="C94" s="39">
        <v>2.008</v>
      </c>
      <c r="D94" s="25">
        <f xml:space="preserve"> C94 / (24 * 'VRP Solver Console'!C11)</f>
        <v>1.3944444444444445E-3</v>
      </c>
    </row>
    <row r="95" spans="1:4" x14ac:dyDescent="0.25">
      <c r="A95" s="23" t="s">
        <v>4007</v>
      </c>
      <c r="B95" s="23" t="s">
        <v>4004</v>
      </c>
      <c r="C95" s="38">
        <v>1.6759999999999999</v>
      </c>
      <c r="D95" s="24">
        <f xml:space="preserve"> C95 / (24 * 'VRP Solver Console'!C11)</f>
        <v>1.1638888888888888E-3</v>
      </c>
    </row>
    <row r="96" spans="1:4" x14ac:dyDescent="0.25">
      <c r="A96" s="23" t="s">
        <v>4007</v>
      </c>
      <c r="B96" s="23" t="s">
        <v>4005</v>
      </c>
      <c r="C96" s="39">
        <v>1.6339999999999999</v>
      </c>
      <c r="D96" s="25">
        <f xml:space="preserve"> C96 / (24 * 'VRP Solver Console'!C11)</f>
        <v>1.1347222222222221E-3</v>
      </c>
    </row>
    <row r="97" spans="1:4" x14ac:dyDescent="0.25">
      <c r="A97" s="23" t="s">
        <v>4007</v>
      </c>
      <c r="B97" s="23" t="s">
        <v>4006</v>
      </c>
      <c r="C97" s="38">
        <v>2.1120000000000001</v>
      </c>
      <c r="D97" s="24">
        <f xml:space="preserve"> C97 / (24 * 'VRP Solver Console'!C11)</f>
        <v>1.4666666666666667E-3</v>
      </c>
    </row>
    <row r="98" spans="1:4" x14ac:dyDescent="0.25">
      <c r="A98" s="23" t="s">
        <v>4007</v>
      </c>
      <c r="B98" s="23" t="s">
        <v>4007</v>
      </c>
      <c r="C98" s="39">
        <v>0</v>
      </c>
      <c r="D98" s="25">
        <v>0</v>
      </c>
    </row>
    <row r="99" spans="1:4" x14ac:dyDescent="0.25">
      <c r="A99" s="23" t="s">
        <v>4007</v>
      </c>
      <c r="B99" s="23" t="s">
        <v>4008</v>
      </c>
      <c r="C99" s="38">
        <v>1.569</v>
      </c>
      <c r="D99" s="24">
        <f xml:space="preserve"> C99 / (24 * 'VRP Solver Console'!C11)</f>
        <v>1.0895833333333332E-3</v>
      </c>
    </row>
    <row r="100" spans="1:4" x14ac:dyDescent="0.25">
      <c r="A100" s="23" t="s">
        <v>4007</v>
      </c>
      <c r="B100" s="23" t="s">
        <v>4009</v>
      </c>
      <c r="C100" s="39">
        <v>1.6759999999999999</v>
      </c>
      <c r="D100" s="25">
        <f xml:space="preserve"> C100 / (24 * 'VRP Solver Console'!C11)</f>
        <v>1.1638888888888888E-3</v>
      </c>
    </row>
    <row r="101" spans="1:4" x14ac:dyDescent="0.25">
      <c r="A101" s="23" t="s">
        <v>4007</v>
      </c>
      <c r="B101" s="23" t="s">
        <v>4010</v>
      </c>
      <c r="C101" s="38">
        <v>2.2349999999999999</v>
      </c>
      <c r="D101" s="24">
        <f xml:space="preserve"> C101 / (24 * 'VRP Solver Console'!C11)</f>
        <v>1.5520833333333333E-3</v>
      </c>
    </row>
    <row r="102" spans="1:4" x14ac:dyDescent="0.25">
      <c r="A102" s="23" t="s">
        <v>4007</v>
      </c>
      <c r="B102" s="23" t="s">
        <v>4011</v>
      </c>
      <c r="C102" s="39">
        <v>2.91</v>
      </c>
      <c r="D102" s="25">
        <f xml:space="preserve"> C102 / (24 * 'VRP Solver Console'!C11)</f>
        <v>2.0208333333333332E-3</v>
      </c>
    </row>
    <row r="103" spans="1:4" x14ac:dyDescent="0.25">
      <c r="A103" s="23" t="s">
        <v>4007</v>
      </c>
      <c r="B103" s="23" t="s">
        <v>4012</v>
      </c>
      <c r="C103" s="38">
        <v>4.4260000000000002</v>
      </c>
      <c r="D103" s="24">
        <f xml:space="preserve"> C103 / (24 * 'VRP Solver Console'!C11)</f>
        <v>3.0736111111111112E-3</v>
      </c>
    </row>
    <row r="104" spans="1:4" x14ac:dyDescent="0.25">
      <c r="A104" s="23" t="s">
        <v>4007</v>
      </c>
      <c r="B104" s="23" t="s">
        <v>4013</v>
      </c>
      <c r="C104" s="39">
        <v>2.323</v>
      </c>
      <c r="D104" s="25">
        <f xml:space="preserve"> C104 / (24 * 'VRP Solver Console'!C11)</f>
        <v>1.6131944444444444E-3</v>
      </c>
    </row>
    <row r="105" spans="1:4" x14ac:dyDescent="0.25">
      <c r="A105" s="23" t="s">
        <v>4007</v>
      </c>
      <c r="B105" s="23" t="s">
        <v>4014</v>
      </c>
      <c r="C105" s="38">
        <v>3.661</v>
      </c>
      <c r="D105" s="24">
        <f xml:space="preserve"> C105 / (24 * 'VRP Solver Console'!C11)</f>
        <v>2.5423611111111111E-3</v>
      </c>
    </row>
    <row r="106" spans="1:4" x14ac:dyDescent="0.25">
      <c r="A106" s="23" t="s">
        <v>4007</v>
      </c>
      <c r="B106" s="23" t="s">
        <v>4015</v>
      </c>
      <c r="C106" s="39">
        <v>43.28</v>
      </c>
      <c r="D106" s="25">
        <f xml:space="preserve"> C106 / (24 * 'VRP Solver Console'!C11)</f>
        <v>3.0055555555555558E-2</v>
      </c>
    </row>
    <row r="107" spans="1:4" x14ac:dyDescent="0.25">
      <c r="A107" s="23" t="s">
        <v>4007</v>
      </c>
      <c r="B107" s="23" t="s">
        <v>4016</v>
      </c>
      <c r="C107" s="38">
        <v>43.28</v>
      </c>
      <c r="D107" s="24">
        <f xml:space="preserve"> C107 / (24 * 'VRP Solver Console'!C11)</f>
        <v>3.0055555555555558E-2</v>
      </c>
    </row>
    <row r="108" spans="1:4" x14ac:dyDescent="0.25">
      <c r="A108" s="23" t="s">
        <v>4007</v>
      </c>
      <c r="B108" s="23" t="s">
        <v>4017</v>
      </c>
      <c r="C108" s="39">
        <v>43.28</v>
      </c>
      <c r="D108" s="25">
        <f xml:space="preserve"> C108 / (24 * 'VRP Solver Console'!C11)</f>
        <v>3.0055555555555558E-2</v>
      </c>
    </row>
    <row r="109" spans="1:4" x14ac:dyDescent="0.25">
      <c r="A109" s="23" t="s">
        <v>4007</v>
      </c>
      <c r="B109" s="23" t="s">
        <v>4018</v>
      </c>
      <c r="C109" s="38">
        <v>43.28</v>
      </c>
      <c r="D109" s="24">
        <f xml:space="preserve"> C109 / (24 * 'VRP Solver Console'!C11)</f>
        <v>3.0055555555555558E-2</v>
      </c>
    </row>
    <row r="110" spans="1:4" x14ac:dyDescent="0.25">
      <c r="A110" s="23" t="s">
        <v>4007</v>
      </c>
      <c r="B110" s="23" t="s">
        <v>4019</v>
      </c>
      <c r="C110" s="39">
        <v>4.407</v>
      </c>
      <c r="D110" s="25">
        <f xml:space="preserve"> C110 / (24 * 'VRP Solver Console'!C11)</f>
        <v>3.0604166666666666E-3</v>
      </c>
    </row>
    <row r="111" spans="1:4" x14ac:dyDescent="0.25">
      <c r="A111" s="23" t="s">
        <v>4007</v>
      </c>
      <c r="B111" s="23" t="s">
        <v>4020</v>
      </c>
      <c r="C111" s="38">
        <v>2.3849999999999998</v>
      </c>
      <c r="D111" s="24">
        <f xml:space="preserve"> C111 / (24 * 'VRP Solver Console'!C11)</f>
        <v>1.65625E-3</v>
      </c>
    </row>
    <row r="112" spans="1:4" x14ac:dyDescent="0.25">
      <c r="A112" s="23" t="s">
        <v>4007</v>
      </c>
      <c r="B112" s="23" t="s">
        <v>4021</v>
      </c>
      <c r="C112" s="39">
        <v>3.6469999999999998</v>
      </c>
      <c r="D112" s="25">
        <f xml:space="preserve"> C112 / (24 * 'VRP Solver Console'!C11)</f>
        <v>2.532638888888889E-3</v>
      </c>
    </row>
    <row r="113" spans="1:4" x14ac:dyDescent="0.25">
      <c r="A113" s="23" t="s">
        <v>4007</v>
      </c>
      <c r="B113" s="23" t="s">
        <v>4022</v>
      </c>
      <c r="C113" s="38">
        <v>2.129</v>
      </c>
      <c r="D113" s="24">
        <f xml:space="preserve"> C113 / (24 * 'VRP Solver Console'!C11)</f>
        <v>1.4784722222222222E-3</v>
      </c>
    </row>
    <row r="114" spans="1:4" x14ac:dyDescent="0.25">
      <c r="A114" s="23" t="s">
        <v>4007</v>
      </c>
      <c r="B114" s="23" t="s">
        <v>4023</v>
      </c>
      <c r="C114" s="39">
        <v>3.992</v>
      </c>
      <c r="D114" s="25">
        <f xml:space="preserve"> C114 / (24 * 'VRP Solver Console'!C11)</f>
        <v>2.7722222222222224E-3</v>
      </c>
    </row>
    <row r="115" spans="1:4" x14ac:dyDescent="0.25">
      <c r="A115" s="23" t="s">
        <v>4007</v>
      </c>
      <c r="B115" s="23" t="s">
        <v>4024</v>
      </c>
      <c r="C115" s="38">
        <v>41.207999999999998</v>
      </c>
      <c r="D115" s="24">
        <f xml:space="preserve"> C115 / (24 * 'VRP Solver Console'!C11)</f>
        <v>2.8616666666666665E-2</v>
      </c>
    </row>
    <row r="116" spans="1:4" x14ac:dyDescent="0.25">
      <c r="A116" s="23" t="s">
        <v>4007</v>
      </c>
      <c r="B116" s="23" t="s">
        <v>4003</v>
      </c>
      <c r="C116" s="39">
        <v>3.2269999999999999</v>
      </c>
      <c r="D116" s="25">
        <f xml:space="preserve"> C116 / (24 * 'VRP Solver Console'!C11)</f>
        <v>2.2409722222222223E-3</v>
      </c>
    </row>
    <row r="117" spans="1:4" x14ac:dyDescent="0.25">
      <c r="A117" s="23" t="s">
        <v>4008</v>
      </c>
      <c r="B117" s="23" t="s">
        <v>4028</v>
      </c>
      <c r="C117" s="38">
        <v>0.438</v>
      </c>
      <c r="D117" s="24">
        <f xml:space="preserve"> C117 / (24 * 'VRP Solver Console'!C11)</f>
        <v>3.0416666666666667E-4</v>
      </c>
    </row>
    <row r="118" spans="1:4" x14ac:dyDescent="0.25">
      <c r="A118" s="23" t="s">
        <v>4008</v>
      </c>
      <c r="B118" s="23" t="s">
        <v>4004</v>
      </c>
      <c r="C118" s="39">
        <v>0.54400000000000004</v>
      </c>
      <c r="D118" s="25">
        <f xml:space="preserve"> C118 / (24 * 'VRP Solver Console'!C11)</f>
        <v>3.7777777777777782E-4</v>
      </c>
    </row>
    <row r="119" spans="1:4" x14ac:dyDescent="0.25">
      <c r="A119" s="23" t="s">
        <v>4008</v>
      </c>
      <c r="B119" s="23" t="s">
        <v>4005</v>
      </c>
      <c r="C119" s="38">
        <v>0.52500000000000002</v>
      </c>
      <c r="D119" s="24">
        <f xml:space="preserve"> C119 / (24 * 'VRP Solver Console'!C11)</f>
        <v>3.6458333333333335E-4</v>
      </c>
    </row>
    <row r="120" spans="1:4" x14ac:dyDescent="0.25">
      <c r="A120" s="23" t="s">
        <v>4008</v>
      </c>
      <c r="B120" s="23" t="s">
        <v>4006</v>
      </c>
      <c r="C120" s="39">
        <v>2.2200000000000002</v>
      </c>
      <c r="D120" s="25">
        <f xml:space="preserve"> C120 / (24 * 'VRP Solver Console'!C11)</f>
        <v>1.5416666666666669E-3</v>
      </c>
    </row>
    <row r="121" spans="1:4" x14ac:dyDescent="0.25">
      <c r="A121" s="23" t="s">
        <v>4008</v>
      </c>
      <c r="B121" s="23" t="s">
        <v>4007</v>
      </c>
      <c r="C121" s="38">
        <v>1.67</v>
      </c>
      <c r="D121" s="24">
        <f xml:space="preserve"> C121 / (24 * 'VRP Solver Console'!C11)</f>
        <v>1.1597222222222221E-3</v>
      </c>
    </row>
    <row r="122" spans="1:4" x14ac:dyDescent="0.25">
      <c r="A122" s="23" t="s">
        <v>4008</v>
      </c>
      <c r="B122" s="23" t="s">
        <v>4008</v>
      </c>
      <c r="C122" s="39">
        <v>0</v>
      </c>
      <c r="D122" s="25">
        <v>0</v>
      </c>
    </row>
    <row r="123" spans="1:4" x14ac:dyDescent="0.25">
      <c r="A123" s="23" t="s">
        <v>4008</v>
      </c>
      <c r="B123" s="23" t="s">
        <v>4009</v>
      </c>
      <c r="C123" s="38">
        <v>0.54400000000000004</v>
      </c>
      <c r="D123" s="24">
        <f xml:space="preserve"> C123 / (24 * 'VRP Solver Console'!C11)</f>
        <v>3.7777777777777782E-4</v>
      </c>
    </row>
    <row r="124" spans="1:4" x14ac:dyDescent="0.25">
      <c r="A124" s="23" t="s">
        <v>4008</v>
      </c>
      <c r="B124" s="23" t="s">
        <v>4010</v>
      </c>
      <c r="C124" s="39">
        <v>1.246</v>
      </c>
      <c r="D124" s="25">
        <f xml:space="preserve"> C124 / (24 * 'VRP Solver Console'!C11)</f>
        <v>8.6527777777777775E-4</v>
      </c>
    </row>
    <row r="125" spans="1:4" x14ac:dyDescent="0.25">
      <c r="A125" s="23" t="s">
        <v>4008</v>
      </c>
      <c r="B125" s="23" t="s">
        <v>4011</v>
      </c>
      <c r="C125" s="38">
        <v>2.73</v>
      </c>
      <c r="D125" s="24">
        <f xml:space="preserve"> C125 / (24 * 'VRP Solver Console'!C11)</f>
        <v>1.8958333333333334E-3</v>
      </c>
    </row>
    <row r="126" spans="1:4" x14ac:dyDescent="0.25">
      <c r="A126" s="23" t="s">
        <v>4008</v>
      </c>
      <c r="B126" s="23" t="s">
        <v>4012</v>
      </c>
      <c r="C126" s="39">
        <v>3.6389999999999998</v>
      </c>
      <c r="D126" s="25">
        <f xml:space="preserve"> C126 / (24 * 'VRP Solver Console'!C11)</f>
        <v>2.527083333333333E-3</v>
      </c>
    </row>
    <row r="127" spans="1:4" x14ac:dyDescent="0.25">
      <c r="A127" s="23" t="s">
        <v>4008</v>
      </c>
      <c r="B127" s="23" t="s">
        <v>4013</v>
      </c>
      <c r="C127" s="38">
        <v>1.222</v>
      </c>
      <c r="D127" s="24">
        <f xml:space="preserve"> C127 / (24 * 'VRP Solver Console'!C11)</f>
        <v>8.4861111111111107E-4</v>
      </c>
    </row>
    <row r="128" spans="1:4" x14ac:dyDescent="0.25">
      <c r="A128" s="23" t="s">
        <v>4008</v>
      </c>
      <c r="B128" s="23" t="s">
        <v>4014</v>
      </c>
      <c r="C128" s="39">
        <v>1.3480000000000001</v>
      </c>
      <c r="D128" s="25">
        <f xml:space="preserve"> C128 / (24 * 'VRP Solver Console'!C11)</f>
        <v>9.3611111111111119E-4</v>
      </c>
    </row>
    <row r="129" spans="1:4" x14ac:dyDescent="0.25">
      <c r="A129" s="23" t="s">
        <v>4008</v>
      </c>
      <c r="B129" s="23" t="s">
        <v>4015</v>
      </c>
      <c r="C129" s="38">
        <v>42.179000000000002</v>
      </c>
      <c r="D129" s="24">
        <f xml:space="preserve"> C129 / (24 * 'VRP Solver Console'!C11)</f>
        <v>2.9290972222222225E-2</v>
      </c>
    </row>
    <row r="130" spans="1:4" x14ac:dyDescent="0.25">
      <c r="A130" s="23" t="s">
        <v>4008</v>
      </c>
      <c r="B130" s="23" t="s">
        <v>4016</v>
      </c>
      <c r="C130" s="39">
        <v>42.179000000000002</v>
      </c>
      <c r="D130" s="25">
        <f xml:space="preserve"> C130 / (24 * 'VRP Solver Console'!C11)</f>
        <v>2.9290972222222225E-2</v>
      </c>
    </row>
    <row r="131" spans="1:4" x14ac:dyDescent="0.25">
      <c r="A131" s="23" t="s">
        <v>4008</v>
      </c>
      <c r="B131" s="23" t="s">
        <v>4017</v>
      </c>
      <c r="C131" s="38">
        <v>42.179000000000002</v>
      </c>
      <c r="D131" s="24">
        <f xml:space="preserve"> C131 / (24 * 'VRP Solver Console'!C11)</f>
        <v>2.9290972222222225E-2</v>
      </c>
    </row>
    <row r="132" spans="1:4" x14ac:dyDescent="0.25">
      <c r="A132" s="23" t="s">
        <v>4008</v>
      </c>
      <c r="B132" s="23" t="s">
        <v>4018</v>
      </c>
      <c r="C132" s="39">
        <v>42.179000000000002</v>
      </c>
      <c r="D132" s="25">
        <f xml:space="preserve"> C132 / (24 * 'VRP Solver Console'!C11)</f>
        <v>2.9290972222222225E-2</v>
      </c>
    </row>
    <row r="133" spans="1:4" x14ac:dyDescent="0.25">
      <c r="A133" s="23" t="s">
        <v>4008</v>
      </c>
      <c r="B133" s="23" t="s">
        <v>4019</v>
      </c>
      <c r="C133" s="38">
        <v>3.306</v>
      </c>
      <c r="D133" s="24">
        <f xml:space="preserve"> C133 / (24 * 'VRP Solver Console'!C11)</f>
        <v>2.2958333333333333E-3</v>
      </c>
    </row>
    <row r="134" spans="1:4" x14ac:dyDescent="0.25">
      <c r="A134" s="23" t="s">
        <v>4008</v>
      </c>
      <c r="B134" s="23" t="s">
        <v>4020</v>
      </c>
      <c r="C134" s="39">
        <v>1.4790000000000001</v>
      </c>
      <c r="D134" s="25">
        <f xml:space="preserve"> C134 / (24 * 'VRP Solver Console'!C11)</f>
        <v>1.0270833333333334E-3</v>
      </c>
    </row>
    <row r="135" spans="1:4" x14ac:dyDescent="0.25">
      <c r="A135" s="23" t="s">
        <v>4008</v>
      </c>
      <c r="B135" s="23" t="s">
        <v>4021</v>
      </c>
      <c r="C135" s="38">
        <v>2.86</v>
      </c>
      <c r="D135" s="24">
        <f xml:space="preserve"> C135 / (24 * 'VRP Solver Console'!C11)</f>
        <v>1.9861111111111112E-3</v>
      </c>
    </row>
    <row r="136" spans="1:4" x14ac:dyDescent="0.25">
      <c r="A136" s="23" t="s">
        <v>4008</v>
      </c>
      <c r="B136" s="23" t="s">
        <v>4022</v>
      </c>
      <c r="C136" s="39">
        <v>1.748</v>
      </c>
      <c r="D136" s="25">
        <f xml:space="preserve"> C136 / (24 * 'VRP Solver Console'!C11)</f>
        <v>1.2138888888888889E-3</v>
      </c>
    </row>
    <row r="137" spans="1:4" x14ac:dyDescent="0.25">
      <c r="A137" s="23" t="s">
        <v>4008</v>
      </c>
      <c r="B137" s="23" t="s">
        <v>4023</v>
      </c>
      <c r="C137" s="38">
        <v>3.681</v>
      </c>
      <c r="D137" s="24">
        <f xml:space="preserve"> C137 / (24 * 'VRP Solver Console'!C11)</f>
        <v>2.5562499999999999E-3</v>
      </c>
    </row>
    <row r="138" spans="1:4" x14ac:dyDescent="0.25">
      <c r="A138" s="23" t="s">
        <v>4008</v>
      </c>
      <c r="B138" s="23" t="s">
        <v>4024</v>
      </c>
      <c r="C138" s="39">
        <v>40.106999999999999</v>
      </c>
      <c r="D138" s="25">
        <f xml:space="preserve"> C138 / (24 * 'VRP Solver Console'!C11)</f>
        <v>2.7852083333333333E-2</v>
      </c>
    </row>
    <row r="139" spans="1:4" x14ac:dyDescent="0.25">
      <c r="A139" s="23" t="s">
        <v>4008</v>
      </c>
      <c r="B139" s="23" t="s">
        <v>4003</v>
      </c>
      <c r="C139" s="38">
        <v>2.44</v>
      </c>
      <c r="D139" s="24">
        <f xml:space="preserve"> C139 / (24 * 'VRP Solver Console'!C11)</f>
        <v>1.6944444444444444E-3</v>
      </c>
    </row>
    <row r="140" spans="1:4" x14ac:dyDescent="0.25">
      <c r="A140" s="23" t="s">
        <v>4009</v>
      </c>
      <c r="B140" s="23" t="s">
        <v>4028</v>
      </c>
      <c r="C140" s="39">
        <v>0.90800000000000003</v>
      </c>
      <c r="D140" s="25">
        <f xml:space="preserve"> C140 / (24 * 'VRP Solver Console'!C11)</f>
        <v>6.3055555555555553E-4</v>
      </c>
    </row>
    <row r="141" spans="1:4" x14ac:dyDescent="0.25">
      <c r="A141" s="23" t="s">
        <v>4009</v>
      </c>
      <c r="B141" s="23" t="s">
        <v>4004</v>
      </c>
      <c r="C141" s="38">
        <v>0</v>
      </c>
      <c r="D141" s="24">
        <f xml:space="preserve"> C141 / (24 * 'VRP Solver Console'!C11)</f>
        <v>0</v>
      </c>
    </row>
    <row r="142" spans="1:4" x14ac:dyDescent="0.25">
      <c r="A142" s="23" t="s">
        <v>4009</v>
      </c>
      <c r="B142" s="23" t="s">
        <v>4005</v>
      </c>
      <c r="C142" s="39">
        <v>0.84</v>
      </c>
      <c r="D142" s="25">
        <f xml:space="preserve"> C142 / (24 * 'VRP Solver Console'!C11)</f>
        <v>5.8333333333333327E-4</v>
      </c>
    </row>
    <row r="143" spans="1:4" x14ac:dyDescent="0.25">
      <c r="A143" s="23" t="s">
        <v>4009</v>
      </c>
      <c r="B143" s="23" t="s">
        <v>4006</v>
      </c>
      <c r="C143" s="38">
        <v>1.675</v>
      </c>
      <c r="D143" s="24">
        <f xml:space="preserve"> C143 / (24 * 'VRP Solver Console'!C11)</f>
        <v>1.1631944444444446E-3</v>
      </c>
    </row>
    <row r="144" spans="1:4" x14ac:dyDescent="0.25">
      <c r="A144" s="23" t="s">
        <v>4009</v>
      </c>
      <c r="B144" s="23" t="s">
        <v>4007</v>
      </c>
      <c r="C144" s="39">
        <v>1.9850000000000001</v>
      </c>
      <c r="D144" s="25">
        <f xml:space="preserve"> C144 / (24 * 'VRP Solver Console'!C11)</f>
        <v>1.3784722222222223E-3</v>
      </c>
    </row>
    <row r="145" spans="1:4" x14ac:dyDescent="0.25">
      <c r="A145" s="23" t="s">
        <v>4009</v>
      </c>
      <c r="B145" s="23" t="s">
        <v>4008</v>
      </c>
      <c r="C145" s="38">
        <v>0.54400000000000004</v>
      </c>
      <c r="D145" s="24">
        <f xml:space="preserve"> C145 / (24 * 'VRP Solver Console'!C11)</f>
        <v>3.7777777777777782E-4</v>
      </c>
    </row>
    <row r="146" spans="1:4" x14ac:dyDescent="0.25">
      <c r="A146" s="23" t="s">
        <v>4009</v>
      </c>
      <c r="B146" s="23" t="s">
        <v>4009</v>
      </c>
      <c r="C146" s="39">
        <v>0</v>
      </c>
      <c r="D146" s="25">
        <v>0</v>
      </c>
    </row>
    <row r="147" spans="1:4" x14ac:dyDescent="0.25">
      <c r="A147" s="23" t="s">
        <v>4009</v>
      </c>
      <c r="B147" s="23" t="s">
        <v>4010</v>
      </c>
      <c r="C147" s="38">
        <v>0.76200000000000001</v>
      </c>
      <c r="D147" s="24">
        <f xml:space="preserve"> C147 / (24 * 'VRP Solver Console'!C11)</f>
        <v>5.2916666666666672E-4</v>
      </c>
    </row>
    <row r="148" spans="1:4" x14ac:dyDescent="0.25">
      <c r="A148" s="23" t="s">
        <v>4009</v>
      </c>
      <c r="B148" s="23" t="s">
        <v>4011</v>
      </c>
      <c r="C148" s="39">
        <v>1.556</v>
      </c>
      <c r="D148" s="25">
        <f xml:space="preserve"> C148 / (24 * 'VRP Solver Console'!C11)</f>
        <v>1.0805555555555555E-3</v>
      </c>
    </row>
    <row r="149" spans="1:4" x14ac:dyDescent="0.25">
      <c r="A149" s="23" t="s">
        <v>4009</v>
      </c>
      <c r="B149" s="23" t="s">
        <v>4012</v>
      </c>
      <c r="C149" s="38">
        <v>3.149</v>
      </c>
      <c r="D149" s="24">
        <f xml:space="preserve"> C149 / (24 * 'VRP Solver Console'!C11)</f>
        <v>2.1868055555555556E-3</v>
      </c>
    </row>
    <row r="150" spans="1:4" x14ac:dyDescent="0.25">
      <c r="A150" s="23" t="s">
        <v>4009</v>
      </c>
      <c r="B150" s="23" t="s">
        <v>4013</v>
      </c>
      <c r="C150" s="39">
        <v>2.1150000000000002</v>
      </c>
      <c r="D150" s="25">
        <f xml:space="preserve"> C150 / (24 * 'VRP Solver Console'!C11)</f>
        <v>1.4687500000000002E-3</v>
      </c>
    </row>
    <row r="151" spans="1:4" x14ac:dyDescent="0.25">
      <c r="A151" s="23" t="s">
        <v>4009</v>
      </c>
      <c r="B151" s="23" t="s">
        <v>4014</v>
      </c>
      <c r="C151" s="38">
        <v>2.0750000000000002</v>
      </c>
      <c r="D151" s="24">
        <f xml:space="preserve"> C151 / (24 * 'VRP Solver Console'!C11)</f>
        <v>1.4409722222222224E-3</v>
      </c>
    </row>
    <row r="152" spans="1:4" x14ac:dyDescent="0.25">
      <c r="A152" s="23" t="s">
        <v>4009</v>
      </c>
      <c r="B152" s="23" t="s">
        <v>4015</v>
      </c>
      <c r="C152" s="39">
        <v>43.189</v>
      </c>
      <c r="D152" s="25">
        <f xml:space="preserve"> C152 / (24 * 'VRP Solver Console'!C11)</f>
        <v>2.9992361111111112E-2</v>
      </c>
    </row>
    <row r="153" spans="1:4" x14ac:dyDescent="0.25">
      <c r="A153" s="23" t="s">
        <v>4009</v>
      </c>
      <c r="B153" s="23" t="s">
        <v>4016</v>
      </c>
      <c r="C153" s="38">
        <v>43.189</v>
      </c>
      <c r="D153" s="24">
        <f xml:space="preserve"> C153 / (24 * 'VRP Solver Console'!C11)</f>
        <v>2.9992361111111112E-2</v>
      </c>
    </row>
    <row r="154" spans="1:4" x14ac:dyDescent="0.25">
      <c r="A154" s="23" t="s">
        <v>4009</v>
      </c>
      <c r="B154" s="23" t="s">
        <v>4017</v>
      </c>
      <c r="C154" s="39">
        <v>43.189</v>
      </c>
      <c r="D154" s="25">
        <f xml:space="preserve"> C154 / (24 * 'VRP Solver Console'!C11)</f>
        <v>2.9992361111111112E-2</v>
      </c>
    </row>
    <row r="155" spans="1:4" x14ac:dyDescent="0.25">
      <c r="A155" s="23" t="s">
        <v>4009</v>
      </c>
      <c r="B155" s="23" t="s">
        <v>4018</v>
      </c>
      <c r="C155" s="38">
        <v>43.189</v>
      </c>
      <c r="D155" s="24">
        <f xml:space="preserve"> C155 / (24 * 'VRP Solver Console'!C11)</f>
        <v>2.9992361111111112E-2</v>
      </c>
    </row>
    <row r="156" spans="1:4" x14ac:dyDescent="0.25">
      <c r="A156" s="23" t="s">
        <v>4009</v>
      </c>
      <c r="B156" s="23" t="s">
        <v>4019</v>
      </c>
      <c r="C156" s="39">
        <v>4.3159999999999998</v>
      </c>
      <c r="D156" s="25">
        <f xml:space="preserve"> C156 / (24 * 'VRP Solver Console'!C11)</f>
        <v>2.9972222222222223E-3</v>
      </c>
    </row>
    <row r="157" spans="1:4" x14ac:dyDescent="0.25">
      <c r="A157" s="23" t="s">
        <v>4009</v>
      </c>
      <c r="B157" s="23" t="s">
        <v>4020</v>
      </c>
      <c r="C157" s="38">
        <v>0.93400000000000005</v>
      </c>
      <c r="D157" s="24">
        <f xml:space="preserve"> C157 / (24 * 'VRP Solver Console'!C11)</f>
        <v>6.486111111111112E-4</v>
      </c>
    </row>
    <row r="158" spans="1:4" x14ac:dyDescent="0.25">
      <c r="A158" s="23" t="s">
        <v>4009</v>
      </c>
      <c r="B158" s="23" t="s">
        <v>4021</v>
      </c>
      <c r="C158" s="39">
        <v>2.37</v>
      </c>
      <c r="D158" s="25">
        <f xml:space="preserve"> C158 / (24 * 'VRP Solver Console'!C11)</f>
        <v>1.6458333333333333E-3</v>
      </c>
    </row>
    <row r="159" spans="1:4" x14ac:dyDescent="0.25">
      <c r="A159" s="23" t="s">
        <v>4009</v>
      </c>
      <c r="B159" s="23" t="s">
        <v>4022</v>
      </c>
      <c r="C159" s="38">
        <v>1.2030000000000001</v>
      </c>
      <c r="D159" s="24">
        <f xml:space="preserve"> C159 / (24 * 'VRP Solver Console'!C11)</f>
        <v>8.3541666666666671E-4</v>
      </c>
    </row>
    <row r="160" spans="1:4" x14ac:dyDescent="0.25">
      <c r="A160" s="23" t="s">
        <v>4009</v>
      </c>
      <c r="B160" s="23" t="s">
        <v>4023</v>
      </c>
      <c r="C160" s="39">
        <v>3.8250000000000002</v>
      </c>
      <c r="D160" s="25">
        <f xml:space="preserve"> C160 / (24 * 'VRP Solver Console'!C11)</f>
        <v>2.6562500000000002E-3</v>
      </c>
    </row>
    <row r="161" spans="1:4" x14ac:dyDescent="0.25">
      <c r="A161" s="23" t="s">
        <v>4009</v>
      </c>
      <c r="B161" s="23" t="s">
        <v>4024</v>
      </c>
      <c r="C161" s="38">
        <v>41.116999999999997</v>
      </c>
      <c r="D161" s="24">
        <f xml:space="preserve"> C161 / (24 * 'VRP Solver Console'!C11)</f>
        <v>2.855347222222222E-2</v>
      </c>
    </row>
    <row r="162" spans="1:4" x14ac:dyDescent="0.25">
      <c r="A162" s="23" t="s">
        <v>4009</v>
      </c>
      <c r="B162" s="23" t="s">
        <v>4003</v>
      </c>
      <c r="C162" s="39">
        <v>1.95</v>
      </c>
      <c r="D162" s="25">
        <f xml:space="preserve"> C162 / (24 * 'VRP Solver Console'!C11)</f>
        <v>1.3541666666666667E-3</v>
      </c>
    </row>
    <row r="163" spans="1:4" x14ac:dyDescent="0.25">
      <c r="A163" s="23" t="s">
        <v>4010</v>
      </c>
      <c r="B163" s="23" t="s">
        <v>4028</v>
      </c>
      <c r="C163" s="38">
        <v>0.96799999999999997</v>
      </c>
      <c r="D163" s="24">
        <f xml:space="preserve"> C163 / (24 * 'VRP Solver Console'!C11)</f>
        <v>6.7222222222222217E-4</v>
      </c>
    </row>
    <row r="164" spans="1:4" x14ac:dyDescent="0.25">
      <c r="A164" s="23" t="s">
        <v>4010</v>
      </c>
      <c r="B164" s="23" t="s">
        <v>4004</v>
      </c>
      <c r="C164" s="39">
        <v>0.7</v>
      </c>
      <c r="D164" s="25">
        <f xml:space="preserve"> C164 / (24 * 'VRP Solver Console'!C11)</f>
        <v>4.861111111111111E-4</v>
      </c>
    </row>
    <row r="165" spans="1:4" x14ac:dyDescent="0.25">
      <c r="A165" s="23" t="s">
        <v>4010</v>
      </c>
      <c r="B165" s="23" t="s">
        <v>4005</v>
      </c>
      <c r="C165" s="38">
        <v>1.5189999999999999</v>
      </c>
      <c r="D165" s="24">
        <f xml:space="preserve"> C165 / (24 * 'VRP Solver Console'!C11)</f>
        <v>1.054861111111111E-3</v>
      </c>
    </row>
    <row r="166" spans="1:4" x14ac:dyDescent="0.25">
      <c r="A166" s="23" t="s">
        <v>4010</v>
      </c>
      <c r="B166" s="23" t="s">
        <v>4006</v>
      </c>
      <c r="C166" s="39">
        <v>1.216</v>
      </c>
      <c r="D166" s="25">
        <f xml:space="preserve"> C166 / (24 * 'VRP Solver Console'!C11)</f>
        <v>8.4444444444444443E-4</v>
      </c>
    </row>
    <row r="167" spans="1:4" x14ac:dyDescent="0.25">
      <c r="A167" s="23" t="s">
        <v>4010</v>
      </c>
      <c r="B167" s="23" t="s">
        <v>4007</v>
      </c>
      <c r="C167" s="38">
        <v>2.6640000000000001</v>
      </c>
      <c r="D167" s="24">
        <f xml:space="preserve"> C167 / (24 * 'VRP Solver Console'!C11)</f>
        <v>1.8500000000000001E-3</v>
      </c>
    </row>
    <row r="168" spans="1:4" x14ac:dyDescent="0.25">
      <c r="A168" s="23" t="s">
        <v>4010</v>
      </c>
      <c r="B168" s="23" t="s">
        <v>4008</v>
      </c>
      <c r="C168" s="39">
        <v>1.246</v>
      </c>
      <c r="D168" s="25">
        <f xml:space="preserve"> C168 / (24 * 'VRP Solver Console'!C11)</f>
        <v>8.6527777777777775E-4</v>
      </c>
    </row>
    <row r="169" spans="1:4" x14ac:dyDescent="0.25">
      <c r="A169" s="23" t="s">
        <v>4010</v>
      </c>
      <c r="B169" s="23" t="s">
        <v>4009</v>
      </c>
      <c r="C169" s="38">
        <v>0.7</v>
      </c>
      <c r="D169" s="24">
        <f xml:space="preserve"> C169 / (24 * 'VRP Solver Console'!C11)</f>
        <v>4.861111111111111E-4</v>
      </c>
    </row>
    <row r="170" spans="1:4" x14ac:dyDescent="0.25">
      <c r="A170" s="23" t="s">
        <v>4010</v>
      </c>
      <c r="B170" s="23" t="s">
        <v>4010</v>
      </c>
      <c r="C170" s="39">
        <v>0</v>
      </c>
      <c r="D170" s="25">
        <v>0</v>
      </c>
    </row>
    <row r="171" spans="1:4" x14ac:dyDescent="0.25">
      <c r="A171" s="23" t="s">
        <v>4010</v>
      </c>
      <c r="B171" s="23" t="s">
        <v>4011</v>
      </c>
      <c r="C171" s="38">
        <v>0.98799999999999999</v>
      </c>
      <c r="D171" s="24">
        <f xml:space="preserve"> C171 / (24 * 'VRP Solver Console'!C11)</f>
        <v>6.8611111111111108E-4</v>
      </c>
    </row>
    <row r="172" spans="1:4" x14ac:dyDescent="0.25">
      <c r="A172" s="23" t="s">
        <v>4010</v>
      </c>
      <c r="B172" s="23" t="s">
        <v>4012</v>
      </c>
      <c r="C172" s="39">
        <v>2.335</v>
      </c>
      <c r="D172" s="25">
        <f xml:space="preserve"> C172 / (24 * 'VRP Solver Console'!C11)</f>
        <v>1.6215277777777777E-3</v>
      </c>
    </row>
    <row r="173" spans="1:4" x14ac:dyDescent="0.25">
      <c r="A173" s="23" t="s">
        <v>4010</v>
      </c>
      <c r="B173" s="23" t="s">
        <v>4013</v>
      </c>
      <c r="C173" s="38">
        <v>2.794</v>
      </c>
      <c r="D173" s="24">
        <f xml:space="preserve"> C173 / (24 * 'VRP Solver Console'!C11)</f>
        <v>1.9402777777777777E-3</v>
      </c>
    </row>
    <row r="174" spans="1:4" x14ac:dyDescent="0.25">
      <c r="A174" s="23" t="s">
        <v>4010</v>
      </c>
      <c r="B174" s="23" t="s">
        <v>4014</v>
      </c>
      <c r="C174" s="39">
        <v>2.774</v>
      </c>
      <c r="D174" s="25">
        <f xml:space="preserve"> C174 / (24 * 'VRP Solver Console'!C11)</f>
        <v>1.9263888888888889E-3</v>
      </c>
    </row>
    <row r="175" spans="1:4" x14ac:dyDescent="0.25">
      <c r="A175" s="23" t="s">
        <v>4010</v>
      </c>
      <c r="B175" s="23" t="s">
        <v>4015</v>
      </c>
      <c r="C175" s="38">
        <v>43.887999999999998</v>
      </c>
      <c r="D175" s="24">
        <f xml:space="preserve"> C175 / (24 * 'VRP Solver Console'!C11)</f>
        <v>3.0477777777777777E-2</v>
      </c>
    </row>
    <row r="176" spans="1:4" x14ac:dyDescent="0.25">
      <c r="A176" s="23" t="s">
        <v>4010</v>
      </c>
      <c r="B176" s="23" t="s">
        <v>4016</v>
      </c>
      <c r="C176" s="39">
        <v>43.887999999999998</v>
      </c>
      <c r="D176" s="25">
        <f xml:space="preserve"> C176 / (24 * 'VRP Solver Console'!C11)</f>
        <v>3.0477777777777777E-2</v>
      </c>
    </row>
    <row r="177" spans="1:4" x14ac:dyDescent="0.25">
      <c r="A177" s="23" t="s">
        <v>4010</v>
      </c>
      <c r="B177" s="23" t="s">
        <v>4017</v>
      </c>
      <c r="C177" s="38">
        <v>43.887999999999998</v>
      </c>
      <c r="D177" s="24">
        <f xml:space="preserve"> C177 / (24 * 'VRP Solver Console'!C11)</f>
        <v>3.0477777777777777E-2</v>
      </c>
    </row>
    <row r="178" spans="1:4" x14ac:dyDescent="0.25">
      <c r="A178" s="23" t="s">
        <v>4010</v>
      </c>
      <c r="B178" s="23" t="s">
        <v>4018</v>
      </c>
      <c r="C178" s="39">
        <v>43.887999999999998</v>
      </c>
      <c r="D178" s="25">
        <f xml:space="preserve"> C178 / (24 * 'VRP Solver Console'!C11)</f>
        <v>3.0477777777777777E-2</v>
      </c>
    </row>
    <row r="179" spans="1:4" x14ac:dyDescent="0.25">
      <c r="A179" s="23" t="s">
        <v>4010</v>
      </c>
      <c r="B179" s="23" t="s">
        <v>4019</v>
      </c>
      <c r="C179" s="38">
        <v>5.0149999999999997</v>
      </c>
      <c r="D179" s="24">
        <f xml:space="preserve"> C179 / (24 * 'VRP Solver Console'!C11)</f>
        <v>3.4826388888888888E-3</v>
      </c>
    </row>
    <row r="180" spans="1:4" x14ac:dyDescent="0.25">
      <c r="A180" s="23" t="s">
        <v>4010</v>
      </c>
      <c r="B180" s="23" t="s">
        <v>4020</v>
      </c>
      <c r="C180" s="39">
        <v>0.36599999999999999</v>
      </c>
      <c r="D180" s="25">
        <f xml:space="preserve"> C180 / (24 * 'VRP Solver Console'!C11)</f>
        <v>2.5416666666666665E-4</v>
      </c>
    </row>
    <row r="181" spans="1:4" x14ac:dyDescent="0.25">
      <c r="A181" s="23" t="s">
        <v>4010</v>
      </c>
      <c r="B181" s="23" t="s">
        <v>4021</v>
      </c>
      <c r="C181" s="38">
        <v>1.556</v>
      </c>
      <c r="D181" s="24">
        <f xml:space="preserve"> C181 / (24 * 'VRP Solver Console'!C11)</f>
        <v>1.0805555555555555E-3</v>
      </c>
    </row>
    <row r="182" spans="1:4" x14ac:dyDescent="0.25">
      <c r="A182" s="23" t="s">
        <v>4010</v>
      </c>
      <c r="B182" s="23" t="s">
        <v>4022</v>
      </c>
      <c r="C182" s="39">
        <v>0.92200000000000004</v>
      </c>
      <c r="D182" s="25">
        <f xml:space="preserve"> C182 / (24 * 'VRP Solver Console'!C11)</f>
        <v>6.4027777777777781E-4</v>
      </c>
    </row>
    <row r="183" spans="1:4" x14ac:dyDescent="0.25">
      <c r="A183" s="23" t="s">
        <v>4010</v>
      </c>
      <c r="B183" s="23" t="s">
        <v>4023</v>
      </c>
      <c r="C183" s="38">
        <v>4.524</v>
      </c>
      <c r="D183" s="24">
        <f xml:space="preserve"> C183 / (24 * 'VRP Solver Console'!C11)</f>
        <v>3.1416666666666667E-3</v>
      </c>
    </row>
    <row r="184" spans="1:4" x14ac:dyDescent="0.25">
      <c r="A184" s="23" t="s">
        <v>4010</v>
      </c>
      <c r="B184" s="23" t="s">
        <v>4024</v>
      </c>
      <c r="C184" s="39">
        <v>41.816000000000003</v>
      </c>
      <c r="D184" s="25">
        <f xml:space="preserve"> C184 / (24 * 'VRP Solver Console'!C11)</f>
        <v>2.9038888888888892E-2</v>
      </c>
    </row>
    <row r="185" spans="1:4" x14ac:dyDescent="0.25">
      <c r="A185" s="23" t="s">
        <v>4010</v>
      </c>
      <c r="B185" s="23" t="s">
        <v>4003</v>
      </c>
      <c r="C185" s="38">
        <v>1.1359999999999999</v>
      </c>
      <c r="D185" s="24">
        <f xml:space="preserve"> C185 / (24 * 'VRP Solver Console'!C11)</f>
        <v>7.8888888888888878E-4</v>
      </c>
    </row>
    <row r="186" spans="1:4" x14ac:dyDescent="0.25">
      <c r="A186" s="23" t="s">
        <v>4011</v>
      </c>
      <c r="B186" s="23" t="s">
        <v>4028</v>
      </c>
      <c r="C186" s="39">
        <v>1.85</v>
      </c>
      <c r="D186" s="25">
        <f xml:space="preserve"> C186 / (24 * 'VRP Solver Console'!C11)</f>
        <v>1.2847222222222223E-3</v>
      </c>
    </row>
    <row r="187" spans="1:4" x14ac:dyDescent="0.25">
      <c r="A187" s="23" t="s">
        <v>4011</v>
      </c>
      <c r="B187" s="23" t="s">
        <v>4004</v>
      </c>
      <c r="C187" s="38">
        <v>1.534</v>
      </c>
      <c r="D187" s="24">
        <f xml:space="preserve"> C187 / (24 * 'VRP Solver Console'!C11)</f>
        <v>1.0652777777777778E-3</v>
      </c>
    </row>
    <row r="188" spans="1:4" x14ac:dyDescent="0.25">
      <c r="A188" s="23" t="s">
        <v>4011</v>
      </c>
      <c r="B188" s="23" t="s">
        <v>4005</v>
      </c>
      <c r="C188" s="39">
        <v>2.133</v>
      </c>
      <c r="D188" s="25">
        <f xml:space="preserve"> C188 / (24 * 'VRP Solver Console'!C11)</f>
        <v>1.4812499999999999E-3</v>
      </c>
    </row>
    <row r="189" spans="1:4" x14ac:dyDescent="0.25">
      <c r="A189" s="23" t="s">
        <v>4011</v>
      </c>
      <c r="B189" s="23" t="s">
        <v>4006</v>
      </c>
      <c r="C189" s="38">
        <v>0.60599999999999998</v>
      </c>
      <c r="D189" s="24">
        <f xml:space="preserve"> C189 / (24 * 'VRP Solver Console'!C11)</f>
        <v>4.2083333333333333E-4</v>
      </c>
    </row>
    <row r="190" spans="1:4" x14ac:dyDescent="0.25">
      <c r="A190" s="23" t="s">
        <v>4011</v>
      </c>
      <c r="B190" s="23" t="s">
        <v>4007</v>
      </c>
      <c r="C190" s="39">
        <v>2.7229999999999999</v>
      </c>
      <c r="D190" s="25">
        <f xml:space="preserve"> C190 / (24 * 'VRP Solver Console'!C11)</f>
        <v>1.8909722222222221E-3</v>
      </c>
    </row>
    <row r="191" spans="1:4" x14ac:dyDescent="0.25">
      <c r="A191" s="23" t="s">
        <v>4011</v>
      </c>
      <c r="B191" s="23" t="s">
        <v>4008</v>
      </c>
      <c r="C191" s="38">
        <v>2.0790000000000002</v>
      </c>
      <c r="D191" s="24">
        <f xml:space="preserve"> C191 / (24 * 'VRP Solver Console'!C11)</f>
        <v>1.4437500000000002E-3</v>
      </c>
    </row>
    <row r="192" spans="1:4" x14ac:dyDescent="0.25">
      <c r="A192" s="23" t="s">
        <v>4011</v>
      </c>
      <c r="B192" s="23" t="s">
        <v>4009</v>
      </c>
      <c r="C192" s="39">
        <v>1.534</v>
      </c>
      <c r="D192" s="25">
        <f xml:space="preserve"> C192 / (24 * 'VRP Solver Console'!C11)</f>
        <v>1.0652777777777778E-3</v>
      </c>
    </row>
    <row r="193" spans="1:4" x14ac:dyDescent="0.25">
      <c r="A193" s="23" t="s">
        <v>4011</v>
      </c>
      <c r="B193" s="23" t="s">
        <v>4010</v>
      </c>
      <c r="C193" s="38">
        <v>1.002</v>
      </c>
      <c r="D193" s="24">
        <f xml:space="preserve"> C193 / (24 * 'VRP Solver Console'!C11)</f>
        <v>6.9583333333333335E-4</v>
      </c>
    </row>
    <row r="194" spans="1:4" x14ac:dyDescent="0.25">
      <c r="A194" s="23" t="s">
        <v>4011</v>
      </c>
      <c r="B194" s="23" t="s">
        <v>4011</v>
      </c>
      <c r="C194" s="39">
        <v>0</v>
      </c>
      <c r="D194" s="25">
        <v>0</v>
      </c>
    </row>
    <row r="195" spans="1:4" x14ac:dyDescent="0.25">
      <c r="A195" s="23" t="s">
        <v>4011</v>
      </c>
      <c r="B195" s="23" t="s">
        <v>4012</v>
      </c>
      <c r="C195" s="38">
        <v>2.121</v>
      </c>
      <c r="D195" s="24">
        <f xml:space="preserve"> C195 / (24 * 'VRP Solver Console'!C11)</f>
        <v>1.4729166666666666E-3</v>
      </c>
    </row>
    <row r="196" spans="1:4" x14ac:dyDescent="0.25">
      <c r="A196" s="23" t="s">
        <v>4011</v>
      </c>
      <c r="B196" s="23" t="s">
        <v>4013</v>
      </c>
      <c r="C196" s="39">
        <v>3.4079999999999999</v>
      </c>
      <c r="D196" s="25">
        <f xml:space="preserve"> C196 / (24 * 'VRP Solver Console'!C11)</f>
        <v>2.3666666666666667E-3</v>
      </c>
    </row>
    <row r="197" spans="1:4" x14ac:dyDescent="0.25">
      <c r="A197" s="23" t="s">
        <v>4011</v>
      </c>
      <c r="B197" s="23" t="s">
        <v>4014</v>
      </c>
      <c r="C197" s="38">
        <v>3.177</v>
      </c>
      <c r="D197" s="24">
        <f xml:space="preserve"> C197 / (24 * 'VRP Solver Console'!C11)</f>
        <v>2.2062499999999999E-3</v>
      </c>
    </row>
    <row r="198" spans="1:4" x14ac:dyDescent="0.25">
      <c r="A198" s="23" t="s">
        <v>4011</v>
      </c>
      <c r="B198" s="23" t="s">
        <v>4015</v>
      </c>
      <c r="C198" s="39">
        <v>44.290999999999997</v>
      </c>
      <c r="D198" s="25">
        <f xml:space="preserve"> C198 / (24 * 'VRP Solver Console'!C11)</f>
        <v>3.0757638888888886E-2</v>
      </c>
    </row>
    <row r="199" spans="1:4" x14ac:dyDescent="0.25">
      <c r="A199" s="23" t="s">
        <v>4011</v>
      </c>
      <c r="B199" s="23" t="s">
        <v>4016</v>
      </c>
      <c r="C199" s="38">
        <v>44.290999999999997</v>
      </c>
      <c r="D199" s="24">
        <f xml:space="preserve"> C199 / (24 * 'VRP Solver Console'!C11)</f>
        <v>3.0757638888888886E-2</v>
      </c>
    </row>
    <row r="200" spans="1:4" x14ac:dyDescent="0.25">
      <c r="A200" s="23" t="s">
        <v>4011</v>
      </c>
      <c r="B200" s="23" t="s">
        <v>4017</v>
      </c>
      <c r="C200" s="39">
        <v>44.290999999999997</v>
      </c>
      <c r="D200" s="25">
        <f xml:space="preserve"> C200 / (24 * 'VRP Solver Console'!C11)</f>
        <v>3.0757638888888886E-2</v>
      </c>
    </row>
    <row r="201" spans="1:4" x14ac:dyDescent="0.25">
      <c r="A201" s="23" t="s">
        <v>4011</v>
      </c>
      <c r="B201" s="23" t="s">
        <v>4018</v>
      </c>
      <c r="C201" s="38">
        <v>44.290999999999997</v>
      </c>
      <c r="D201" s="24">
        <f xml:space="preserve"> C201 / (24 * 'VRP Solver Console'!C11)</f>
        <v>3.0757638888888886E-2</v>
      </c>
    </row>
    <row r="202" spans="1:4" x14ac:dyDescent="0.25">
      <c r="A202" s="23" t="s">
        <v>4011</v>
      </c>
      <c r="B202" s="23" t="s">
        <v>4019</v>
      </c>
      <c r="C202" s="39">
        <v>5.4180000000000001</v>
      </c>
      <c r="D202" s="25">
        <f xml:space="preserve"> C202 / (24 * 'VRP Solver Console'!C11)</f>
        <v>3.7625000000000002E-3</v>
      </c>
    </row>
    <row r="203" spans="1:4" x14ac:dyDescent="0.25">
      <c r="A203" s="23" t="s">
        <v>4011</v>
      </c>
      <c r="B203" s="23" t="s">
        <v>4020</v>
      </c>
      <c r="C203" s="38">
        <v>0.63500000000000001</v>
      </c>
      <c r="D203" s="24">
        <f xml:space="preserve"> C203 / (24 * 'VRP Solver Console'!C11)</f>
        <v>4.4097222222222221E-4</v>
      </c>
    </row>
    <row r="204" spans="1:4" x14ac:dyDescent="0.25">
      <c r="A204" s="23" t="s">
        <v>4011</v>
      </c>
      <c r="B204" s="23" t="s">
        <v>4021</v>
      </c>
      <c r="C204" s="39">
        <v>1.3420000000000001</v>
      </c>
      <c r="D204" s="25">
        <f xml:space="preserve"> C204 / (24 * 'VRP Solver Console'!C11)</f>
        <v>9.3194444444444455E-4</v>
      </c>
    </row>
    <row r="205" spans="1:4" x14ac:dyDescent="0.25">
      <c r="A205" s="23" t="s">
        <v>4011</v>
      </c>
      <c r="B205" s="23" t="s">
        <v>4022</v>
      </c>
      <c r="C205" s="38">
        <v>0.54500000000000004</v>
      </c>
      <c r="D205" s="24">
        <f xml:space="preserve"> C205 / (24 * 'VRP Solver Console'!C11)</f>
        <v>3.7847222222222226E-4</v>
      </c>
    </row>
    <row r="206" spans="1:4" x14ac:dyDescent="0.25">
      <c r="A206" s="23" t="s">
        <v>4011</v>
      </c>
      <c r="B206" s="23" t="s">
        <v>4023</v>
      </c>
      <c r="C206" s="39">
        <v>4.9269999999999996</v>
      </c>
      <c r="D206" s="25">
        <f xml:space="preserve"> C206 / (24 * 'VRP Solver Console'!C11)</f>
        <v>3.4215277777777777E-3</v>
      </c>
    </row>
    <row r="207" spans="1:4" x14ac:dyDescent="0.25">
      <c r="A207" s="23" t="s">
        <v>4011</v>
      </c>
      <c r="B207" s="23" t="s">
        <v>4024</v>
      </c>
      <c r="C207" s="38">
        <v>42.219000000000001</v>
      </c>
      <c r="D207" s="24">
        <f xml:space="preserve"> C207 / (24 * 'VRP Solver Console'!C11)</f>
        <v>2.9318750000000001E-2</v>
      </c>
    </row>
    <row r="208" spans="1:4" x14ac:dyDescent="0.25">
      <c r="A208" s="23" t="s">
        <v>4011</v>
      </c>
      <c r="B208" s="23" t="s">
        <v>4003</v>
      </c>
      <c r="C208" s="39">
        <v>0.92200000000000004</v>
      </c>
      <c r="D208" s="25">
        <f xml:space="preserve"> C208 / (24 * 'VRP Solver Console'!C11)</f>
        <v>6.4027777777777781E-4</v>
      </c>
    </row>
    <row r="209" spans="1:4" x14ac:dyDescent="0.25">
      <c r="A209" s="23" t="s">
        <v>4012</v>
      </c>
      <c r="B209" s="23" t="s">
        <v>4028</v>
      </c>
      <c r="C209" s="38">
        <v>2.339</v>
      </c>
      <c r="D209" s="24">
        <f xml:space="preserve"> C209 / (24 * 'VRP Solver Console'!C11)</f>
        <v>1.6243055555555555E-3</v>
      </c>
    </row>
    <row r="210" spans="1:4" x14ac:dyDescent="0.25">
      <c r="A210" s="23" t="s">
        <v>4012</v>
      </c>
      <c r="B210" s="23" t="s">
        <v>4004</v>
      </c>
      <c r="C210" s="39">
        <v>2.4489999999999998</v>
      </c>
      <c r="D210" s="25">
        <f xml:space="preserve"> C210 / (24 * 'VRP Solver Console'!C11)</f>
        <v>1.7006944444444443E-3</v>
      </c>
    </row>
    <row r="211" spans="1:4" x14ac:dyDescent="0.25">
      <c r="A211" s="23" t="s">
        <v>4012</v>
      </c>
      <c r="B211" s="23" t="s">
        <v>4005</v>
      </c>
      <c r="C211" s="38">
        <v>2.4159999999999999</v>
      </c>
      <c r="D211" s="24">
        <f xml:space="preserve"> C211 / (24 * 'VRP Solver Console'!C11)</f>
        <v>1.6777777777777778E-3</v>
      </c>
    </row>
    <row r="212" spans="1:4" x14ac:dyDescent="0.25">
      <c r="A212" s="23" t="s">
        <v>4012</v>
      </c>
      <c r="B212" s="23" t="s">
        <v>4006</v>
      </c>
      <c r="C212" s="39">
        <v>0.88900000000000001</v>
      </c>
      <c r="D212" s="25">
        <f xml:space="preserve"> C212 / (24 * 'VRP Solver Console'!C11)</f>
        <v>6.1736111111111117E-4</v>
      </c>
    </row>
    <row r="213" spans="1:4" x14ac:dyDescent="0.25">
      <c r="A213" s="23" t="s">
        <v>4012</v>
      </c>
      <c r="B213" s="23" t="s">
        <v>4007</v>
      </c>
      <c r="C213" s="38">
        <v>3.5609999999999999</v>
      </c>
      <c r="D213" s="24">
        <f xml:space="preserve"> C213 / (24 * 'VRP Solver Console'!C11)</f>
        <v>2.4729166666666667E-3</v>
      </c>
    </row>
    <row r="214" spans="1:4" x14ac:dyDescent="0.25">
      <c r="A214" s="23" t="s">
        <v>4012</v>
      </c>
      <c r="B214" s="23" t="s">
        <v>4008</v>
      </c>
      <c r="C214" s="39">
        <v>2.7749999999999999</v>
      </c>
      <c r="D214" s="25">
        <f xml:space="preserve"> C214 / (24 * 'VRP Solver Console'!C11)</f>
        <v>1.9270833333333332E-3</v>
      </c>
    </row>
    <row r="215" spans="1:4" x14ac:dyDescent="0.25">
      <c r="A215" s="23" t="s">
        <v>4012</v>
      </c>
      <c r="B215" s="23" t="s">
        <v>4009</v>
      </c>
      <c r="C215" s="38">
        <v>2.4489999999999998</v>
      </c>
      <c r="D215" s="24">
        <f xml:space="preserve"> C215 / (24 * 'VRP Solver Console'!C11)</f>
        <v>1.7006944444444443E-3</v>
      </c>
    </row>
    <row r="216" spans="1:4" x14ac:dyDescent="0.25">
      <c r="A216" s="23" t="s">
        <v>4012</v>
      </c>
      <c r="B216" s="23" t="s">
        <v>4010</v>
      </c>
      <c r="C216" s="39">
        <v>1.2829999999999999</v>
      </c>
      <c r="D216" s="25">
        <f xml:space="preserve"> C216 / (24 * 'VRP Solver Console'!C11)</f>
        <v>8.9097222222222214E-4</v>
      </c>
    </row>
    <row r="217" spans="1:4" x14ac:dyDescent="0.25">
      <c r="A217" s="23" t="s">
        <v>4012</v>
      </c>
      <c r="B217" s="23" t="s">
        <v>4011</v>
      </c>
      <c r="C217" s="38">
        <v>0.66</v>
      </c>
      <c r="D217" s="24">
        <f xml:space="preserve"> C217 / (24 * 'VRP Solver Console'!C11)</f>
        <v>4.5833333333333338E-4</v>
      </c>
    </row>
    <row r="218" spans="1:4" x14ac:dyDescent="0.25">
      <c r="A218" s="23" t="s">
        <v>4012</v>
      </c>
      <c r="B218" s="23" t="s">
        <v>4012</v>
      </c>
      <c r="C218" s="39">
        <v>0</v>
      </c>
      <c r="D218" s="25">
        <v>0</v>
      </c>
    </row>
    <row r="219" spans="1:4" x14ac:dyDescent="0.25">
      <c r="A219" s="23" t="s">
        <v>4012</v>
      </c>
      <c r="B219" s="23" t="s">
        <v>4013</v>
      </c>
      <c r="C219" s="38">
        <v>4.7389999999999999</v>
      </c>
      <c r="D219" s="24">
        <f xml:space="preserve"> C219 / (24 * 'VRP Solver Console'!C11)</f>
        <v>3.290972222222222E-3</v>
      </c>
    </row>
    <row r="220" spans="1:4" x14ac:dyDescent="0.25">
      <c r="A220" s="23" t="s">
        <v>4012</v>
      </c>
      <c r="B220" s="23" t="s">
        <v>4014</v>
      </c>
      <c r="C220" s="39">
        <v>2.3559999999999999</v>
      </c>
      <c r="D220" s="25">
        <f xml:space="preserve"> C220 / (24 * 'VRP Solver Console'!C11)</f>
        <v>1.636111111111111E-3</v>
      </c>
    </row>
    <row r="221" spans="1:4" x14ac:dyDescent="0.25">
      <c r="A221" s="23" t="s">
        <v>4012</v>
      </c>
      <c r="B221" s="23" t="s">
        <v>4015</v>
      </c>
      <c r="C221" s="38">
        <v>43.47</v>
      </c>
      <c r="D221" s="24">
        <f xml:space="preserve"> C221 / (24 * 'VRP Solver Console'!C11)</f>
        <v>3.0187499999999999E-2</v>
      </c>
    </row>
    <row r="222" spans="1:4" x14ac:dyDescent="0.25">
      <c r="A222" s="23" t="s">
        <v>4012</v>
      </c>
      <c r="B222" s="23" t="s">
        <v>4016</v>
      </c>
      <c r="C222" s="39">
        <v>43.47</v>
      </c>
      <c r="D222" s="25">
        <f xml:space="preserve"> C222 / (24 * 'VRP Solver Console'!C11)</f>
        <v>3.0187499999999999E-2</v>
      </c>
    </row>
    <row r="223" spans="1:4" x14ac:dyDescent="0.25">
      <c r="A223" s="23" t="s">
        <v>4012</v>
      </c>
      <c r="B223" s="23" t="s">
        <v>4017</v>
      </c>
      <c r="C223" s="38">
        <v>43.47</v>
      </c>
      <c r="D223" s="24">
        <f xml:space="preserve"> C223 / (24 * 'VRP Solver Console'!C11)</f>
        <v>3.0187499999999999E-2</v>
      </c>
    </row>
    <row r="224" spans="1:4" x14ac:dyDescent="0.25">
      <c r="A224" s="23" t="s">
        <v>4012</v>
      </c>
      <c r="B224" s="23" t="s">
        <v>4018</v>
      </c>
      <c r="C224" s="39">
        <v>43.47</v>
      </c>
      <c r="D224" s="25">
        <f xml:space="preserve"> C224 / (24 * 'VRP Solver Console'!C11)</f>
        <v>3.0187499999999999E-2</v>
      </c>
    </row>
    <row r="225" spans="1:4" x14ac:dyDescent="0.25">
      <c r="A225" s="23" t="s">
        <v>4012</v>
      </c>
      <c r="B225" s="23" t="s">
        <v>4019</v>
      </c>
      <c r="C225" s="38">
        <v>4.5970000000000004</v>
      </c>
      <c r="D225" s="24">
        <f xml:space="preserve"> C225 / (24 * 'VRP Solver Console'!C11)</f>
        <v>3.1923611111111115E-3</v>
      </c>
    </row>
    <row r="226" spans="1:4" x14ac:dyDescent="0.25">
      <c r="A226" s="23" t="s">
        <v>4012</v>
      </c>
      <c r="B226" s="23" t="s">
        <v>4020</v>
      </c>
      <c r="C226" s="39">
        <v>1.3169999999999999</v>
      </c>
      <c r="D226" s="25">
        <f xml:space="preserve"> C226 / (24 * 'VRP Solver Console'!C11)</f>
        <v>9.1458333333333333E-4</v>
      </c>
    </row>
    <row r="227" spans="1:4" x14ac:dyDescent="0.25">
      <c r="A227" s="23" t="s">
        <v>4012</v>
      </c>
      <c r="B227" s="23" t="s">
        <v>4021</v>
      </c>
      <c r="C227" s="38">
        <v>0.52100000000000002</v>
      </c>
      <c r="D227" s="24">
        <f xml:space="preserve"> C227 / (24 * 'VRP Solver Console'!C11)</f>
        <v>3.6180555555555559E-4</v>
      </c>
    </row>
    <row r="228" spans="1:4" x14ac:dyDescent="0.25">
      <c r="A228" s="23" t="s">
        <v>4012</v>
      </c>
      <c r="B228" s="23" t="s">
        <v>4022</v>
      </c>
      <c r="C228" s="39">
        <v>0.82799999999999996</v>
      </c>
      <c r="D228" s="25">
        <f xml:space="preserve"> C228 / (24 * 'VRP Solver Console'!C11)</f>
        <v>5.7499999999999999E-4</v>
      </c>
    </row>
    <row r="229" spans="1:4" x14ac:dyDescent="0.25">
      <c r="A229" s="23" t="s">
        <v>4012</v>
      </c>
      <c r="B229" s="23" t="s">
        <v>4023</v>
      </c>
      <c r="C229" s="38">
        <v>4.1059999999999999</v>
      </c>
      <c r="D229" s="24">
        <f xml:space="preserve"> C229 / (24 * 'VRP Solver Console'!C11)</f>
        <v>2.851388888888889E-3</v>
      </c>
    </row>
    <row r="230" spans="1:4" x14ac:dyDescent="0.25">
      <c r="A230" s="23" t="s">
        <v>4012</v>
      </c>
      <c r="B230" s="23" t="s">
        <v>4024</v>
      </c>
      <c r="C230" s="39">
        <v>41.398000000000003</v>
      </c>
      <c r="D230" s="25">
        <f xml:space="preserve"> C230 / (24 * 'VRP Solver Console'!C11)</f>
        <v>2.8748611111111114E-2</v>
      </c>
    </row>
    <row r="231" spans="1:4" x14ac:dyDescent="0.25">
      <c r="A231" s="23" t="s">
        <v>4012</v>
      </c>
      <c r="B231" s="23" t="s">
        <v>4003</v>
      </c>
      <c r="C231" s="38">
        <v>0.25600000000000001</v>
      </c>
      <c r="D231" s="24">
        <f xml:space="preserve"> C231 / (24 * 'VRP Solver Console'!C11)</f>
        <v>1.7777777777777779E-4</v>
      </c>
    </row>
    <row r="232" spans="1:4" x14ac:dyDescent="0.25">
      <c r="A232" s="23" t="s">
        <v>4013</v>
      </c>
      <c r="B232" s="23" t="s">
        <v>4028</v>
      </c>
      <c r="C232" s="39">
        <v>2.6219999999999999</v>
      </c>
      <c r="D232" s="25">
        <f xml:space="preserve"> C232 / (24 * 'VRP Solver Console'!C11)</f>
        <v>1.8208333333333332E-3</v>
      </c>
    </row>
    <row r="233" spans="1:4" x14ac:dyDescent="0.25">
      <c r="A233" s="23" t="s">
        <v>4013</v>
      </c>
      <c r="B233" s="23" t="s">
        <v>4004</v>
      </c>
      <c r="C233" s="38">
        <v>3.2090000000000001</v>
      </c>
      <c r="D233" s="24">
        <f xml:space="preserve"> C233 / (24 * 'VRP Solver Console'!C11)</f>
        <v>2.2284722222222224E-3</v>
      </c>
    </row>
    <row r="234" spans="1:4" x14ac:dyDescent="0.25">
      <c r="A234" s="23" t="s">
        <v>4013</v>
      </c>
      <c r="B234" s="23" t="s">
        <v>4005</v>
      </c>
      <c r="C234" s="39">
        <v>3.4580000000000002</v>
      </c>
      <c r="D234" s="25">
        <f xml:space="preserve"> C234 / (24 * 'VRP Solver Console'!C11)</f>
        <v>2.4013888888888891E-3</v>
      </c>
    </row>
    <row r="235" spans="1:4" x14ac:dyDescent="0.25">
      <c r="A235" s="23" t="s">
        <v>4013</v>
      </c>
      <c r="B235" s="23" t="s">
        <v>4006</v>
      </c>
      <c r="C235" s="38">
        <v>4.24</v>
      </c>
      <c r="D235" s="24">
        <f xml:space="preserve"> C235 / (24 * 'VRP Solver Console'!C11)</f>
        <v>2.9444444444444444E-3</v>
      </c>
    </row>
    <row r="236" spans="1:4" x14ac:dyDescent="0.25">
      <c r="A236" s="23" t="s">
        <v>4013</v>
      </c>
      <c r="B236" s="23" t="s">
        <v>4007</v>
      </c>
      <c r="C236" s="39">
        <v>3.6320000000000001</v>
      </c>
      <c r="D236" s="25">
        <f xml:space="preserve"> C236 / (24 * 'VRP Solver Console'!C11)</f>
        <v>2.5222222222222221E-3</v>
      </c>
    </row>
    <row r="237" spans="1:4" x14ac:dyDescent="0.25">
      <c r="A237" s="23" t="s">
        <v>4013</v>
      </c>
      <c r="B237" s="23" t="s">
        <v>4008</v>
      </c>
      <c r="C237" s="38">
        <v>2.7410000000000001</v>
      </c>
      <c r="D237" s="24">
        <f xml:space="preserve"> C237 / (24 * 'VRP Solver Console'!C11)</f>
        <v>1.9034722222222222E-3</v>
      </c>
    </row>
    <row r="238" spans="1:4" x14ac:dyDescent="0.25">
      <c r="A238" s="23" t="s">
        <v>4013</v>
      </c>
      <c r="B238" s="23" t="s">
        <v>4009</v>
      </c>
      <c r="C238" s="39">
        <v>3.2090000000000001</v>
      </c>
      <c r="D238" s="25">
        <f xml:space="preserve"> C238 / (24 * 'VRP Solver Console'!C11)</f>
        <v>2.2284722222222224E-3</v>
      </c>
    </row>
    <row r="239" spans="1:4" x14ac:dyDescent="0.25">
      <c r="A239" s="23" t="s">
        <v>4013</v>
      </c>
      <c r="B239" s="23" t="s">
        <v>4010</v>
      </c>
      <c r="C239" s="38">
        <v>3.2690000000000001</v>
      </c>
      <c r="D239" s="24">
        <f xml:space="preserve"> C239 / (24 * 'VRP Solver Console'!C11)</f>
        <v>2.2701388888888888E-3</v>
      </c>
    </row>
    <row r="240" spans="1:4" x14ac:dyDescent="0.25">
      <c r="A240" s="23" t="s">
        <v>4013</v>
      </c>
      <c r="B240" s="23" t="s">
        <v>4011</v>
      </c>
      <c r="C240" s="39">
        <v>4.0670000000000002</v>
      </c>
      <c r="D240" s="25">
        <f xml:space="preserve"> C240 / (24 * 'VRP Solver Console'!C11)</f>
        <v>2.8243055555555556E-3</v>
      </c>
    </row>
    <row r="241" spans="1:4" x14ac:dyDescent="0.25">
      <c r="A241" s="23" t="s">
        <v>4013</v>
      </c>
      <c r="B241" s="23" t="s">
        <v>4012</v>
      </c>
      <c r="C241" s="38">
        <v>4.976</v>
      </c>
      <c r="D241" s="24">
        <f xml:space="preserve"> C241 / (24 * 'VRP Solver Console'!C11)</f>
        <v>3.4555555555555555E-3</v>
      </c>
    </row>
    <row r="242" spans="1:4" x14ac:dyDescent="0.25">
      <c r="A242" s="23" t="s">
        <v>4013</v>
      </c>
      <c r="B242" s="23" t="s">
        <v>4013</v>
      </c>
      <c r="C242" s="39">
        <v>0</v>
      </c>
      <c r="D242" s="25">
        <v>0</v>
      </c>
    </row>
    <row r="243" spans="1:4" x14ac:dyDescent="0.25">
      <c r="A243" s="23" t="s">
        <v>4013</v>
      </c>
      <c r="B243" s="23" t="s">
        <v>4014</v>
      </c>
      <c r="C243" s="38">
        <v>1.337</v>
      </c>
      <c r="D243" s="24">
        <f xml:space="preserve"> C243 / (24 * 'VRP Solver Console'!C11)</f>
        <v>9.2847222222222224E-4</v>
      </c>
    </row>
    <row r="244" spans="1:4" x14ac:dyDescent="0.25">
      <c r="A244" s="23" t="s">
        <v>4013</v>
      </c>
      <c r="B244" s="23" t="s">
        <v>4015</v>
      </c>
      <c r="C244" s="39">
        <v>40.956000000000003</v>
      </c>
      <c r="D244" s="25">
        <f xml:space="preserve"> C244 / (24 * 'VRP Solver Console'!C11)</f>
        <v>2.8441666666666667E-2</v>
      </c>
    </row>
    <row r="245" spans="1:4" x14ac:dyDescent="0.25">
      <c r="A245" s="23" t="s">
        <v>4013</v>
      </c>
      <c r="B245" s="23" t="s">
        <v>4016</v>
      </c>
      <c r="C245" s="38">
        <v>40.956000000000003</v>
      </c>
      <c r="D245" s="24">
        <f xml:space="preserve"> C245 / (24 * 'VRP Solver Console'!C11)</f>
        <v>2.8441666666666667E-2</v>
      </c>
    </row>
    <row r="246" spans="1:4" x14ac:dyDescent="0.25">
      <c r="A246" s="23" t="s">
        <v>4013</v>
      </c>
      <c r="B246" s="23" t="s">
        <v>4017</v>
      </c>
      <c r="C246" s="39">
        <v>40.956000000000003</v>
      </c>
      <c r="D246" s="25">
        <f xml:space="preserve"> C246 / (24 * 'VRP Solver Console'!C11)</f>
        <v>2.8441666666666667E-2</v>
      </c>
    </row>
    <row r="247" spans="1:4" x14ac:dyDescent="0.25">
      <c r="A247" s="23" t="s">
        <v>4013</v>
      </c>
      <c r="B247" s="23" t="s">
        <v>4018</v>
      </c>
      <c r="C247" s="38">
        <v>40.956000000000003</v>
      </c>
      <c r="D247" s="24">
        <f xml:space="preserve"> C247 / (24 * 'VRP Solver Console'!C11)</f>
        <v>2.8441666666666667E-2</v>
      </c>
    </row>
    <row r="248" spans="1:4" x14ac:dyDescent="0.25">
      <c r="A248" s="23" t="s">
        <v>4013</v>
      </c>
      <c r="B248" s="23" t="s">
        <v>4019</v>
      </c>
      <c r="C248" s="39">
        <v>2.0830000000000002</v>
      </c>
      <c r="D248" s="25">
        <f xml:space="preserve"> C248 / (24 * 'VRP Solver Console'!C11)</f>
        <v>1.4465277777777779E-3</v>
      </c>
    </row>
    <row r="249" spans="1:4" x14ac:dyDescent="0.25">
      <c r="A249" s="23" t="s">
        <v>4013</v>
      </c>
      <c r="B249" s="23" t="s">
        <v>4020</v>
      </c>
      <c r="C249" s="38">
        <v>3.8559999999999999</v>
      </c>
      <c r="D249" s="24">
        <f xml:space="preserve"> C249 / (24 * 'VRP Solver Console'!C11)</f>
        <v>2.6777777777777776E-3</v>
      </c>
    </row>
    <row r="250" spans="1:4" x14ac:dyDescent="0.25">
      <c r="A250" s="23" t="s">
        <v>4013</v>
      </c>
      <c r="B250" s="23" t="s">
        <v>4021</v>
      </c>
      <c r="C250" s="39">
        <v>4.1970000000000001</v>
      </c>
      <c r="D250" s="25">
        <f xml:space="preserve"> C250 / (24 * 'VRP Solver Console'!C11)</f>
        <v>2.9145833333333333E-3</v>
      </c>
    </row>
    <row r="251" spans="1:4" x14ac:dyDescent="0.25">
      <c r="A251" s="23" t="s">
        <v>4013</v>
      </c>
      <c r="B251" s="23" t="s">
        <v>4022</v>
      </c>
      <c r="C251" s="38">
        <v>4.0010000000000003</v>
      </c>
      <c r="D251" s="24">
        <f xml:space="preserve"> C251 / (24 * 'VRP Solver Console'!C11)</f>
        <v>2.7784722222222225E-3</v>
      </c>
    </row>
    <row r="252" spans="1:4" x14ac:dyDescent="0.25">
      <c r="A252" s="23" t="s">
        <v>4013</v>
      </c>
      <c r="B252" s="23" t="s">
        <v>4023</v>
      </c>
      <c r="C252" s="39">
        <v>1.6679999999999999</v>
      </c>
      <c r="D252" s="25">
        <f xml:space="preserve"> C252 / (24 * 'VRP Solver Console'!C11)</f>
        <v>1.1583333333333333E-3</v>
      </c>
    </row>
    <row r="253" spans="1:4" x14ac:dyDescent="0.25">
      <c r="A253" s="23" t="s">
        <v>4013</v>
      </c>
      <c r="B253" s="23" t="s">
        <v>4024</v>
      </c>
      <c r="C253" s="38">
        <v>38.884</v>
      </c>
      <c r="D253" s="24">
        <f xml:space="preserve"> C253 / (24 * 'VRP Solver Console'!C11)</f>
        <v>2.7002777777777778E-2</v>
      </c>
    </row>
    <row r="254" spans="1:4" x14ac:dyDescent="0.25">
      <c r="A254" s="23" t="s">
        <v>4013</v>
      </c>
      <c r="B254" s="23" t="s">
        <v>4003</v>
      </c>
      <c r="C254" s="39">
        <v>3.7770000000000001</v>
      </c>
      <c r="D254" s="25">
        <f xml:space="preserve"> C254 / (24 * 'VRP Solver Console'!C11)</f>
        <v>2.6229166666666666E-3</v>
      </c>
    </row>
    <row r="255" spans="1:4" x14ac:dyDescent="0.25">
      <c r="A255" s="23" t="s">
        <v>4014</v>
      </c>
      <c r="B255" s="23" t="s">
        <v>4028</v>
      </c>
      <c r="C255" s="38">
        <v>1.306</v>
      </c>
      <c r="D255" s="24">
        <f xml:space="preserve"> C255 / (24 * 'VRP Solver Console'!C11)</f>
        <v>9.0694444444444449E-4</v>
      </c>
    </row>
    <row r="256" spans="1:4" x14ac:dyDescent="0.25">
      <c r="A256" s="23" t="s">
        <v>4014</v>
      </c>
      <c r="B256" s="23" t="s">
        <v>4004</v>
      </c>
      <c r="C256" s="39">
        <v>1.8740000000000001</v>
      </c>
      <c r="D256" s="25">
        <f xml:space="preserve"> C256 / (24 * 'VRP Solver Console'!C11)</f>
        <v>1.301388888888889E-3</v>
      </c>
    </row>
    <row r="257" spans="1:4" x14ac:dyDescent="0.25">
      <c r="A257" s="23" t="s">
        <v>4014</v>
      </c>
      <c r="B257" s="23" t="s">
        <v>4005</v>
      </c>
      <c r="C257" s="38">
        <v>2.1419999999999999</v>
      </c>
      <c r="D257" s="24">
        <f xml:space="preserve"> C257 / (24 * 'VRP Solver Console'!C11)</f>
        <v>1.4874999999999999E-3</v>
      </c>
    </row>
    <row r="258" spans="1:4" x14ac:dyDescent="0.25">
      <c r="A258" s="23" t="s">
        <v>4014</v>
      </c>
      <c r="B258" s="23" t="s">
        <v>4006</v>
      </c>
      <c r="C258" s="39">
        <v>2.9049999999999998</v>
      </c>
      <c r="D258" s="25">
        <f xml:space="preserve"> C258 / (24 * 'VRP Solver Console'!C11)</f>
        <v>2.0173611111111108E-3</v>
      </c>
    </row>
    <row r="259" spans="1:4" x14ac:dyDescent="0.25">
      <c r="A259" s="23" t="s">
        <v>4014</v>
      </c>
      <c r="B259" s="23" t="s">
        <v>4007</v>
      </c>
      <c r="C259" s="38">
        <v>3.8090000000000002</v>
      </c>
      <c r="D259" s="24">
        <f xml:space="preserve"> C259 / (24 * 'VRP Solver Console'!C11)</f>
        <v>2.6451388888888891E-3</v>
      </c>
    </row>
    <row r="260" spans="1:4" x14ac:dyDescent="0.25">
      <c r="A260" s="23" t="s">
        <v>4014</v>
      </c>
      <c r="B260" s="23" t="s">
        <v>4008</v>
      </c>
      <c r="C260" s="39">
        <v>1.7470000000000001</v>
      </c>
      <c r="D260" s="25">
        <f xml:space="preserve"> C260 / (24 * 'VRP Solver Console'!C11)</f>
        <v>1.2131944444444445E-3</v>
      </c>
    </row>
    <row r="261" spans="1:4" x14ac:dyDescent="0.25">
      <c r="A261" s="23" t="s">
        <v>4014</v>
      </c>
      <c r="B261" s="23" t="s">
        <v>4009</v>
      </c>
      <c r="C261" s="38">
        <v>1.8740000000000001</v>
      </c>
      <c r="D261" s="24">
        <f xml:space="preserve"> C261 / (24 * 'VRP Solver Console'!C11)</f>
        <v>1.301388888888889E-3</v>
      </c>
    </row>
    <row r="262" spans="1:4" x14ac:dyDescent="0.25">
      <c r="A262" s="23" t="s">
        <v>4014</v>
      </c>
      <c r="B262" s="23" t="s">
        <v>4010</v>
      </c>
      <c r="C262" s="39">
        <v>1.9339999999999999</v>
      </c>
      <c r="D262" s="25">
        <f xml:space="preserve"> C262 / (24 * 'VRP Solver Console'!C11)</f>
        <v>1.3430555555555555E-3</v>
      </c>
    </row>
    <row r="263" spans="1:4" x14ac:dyDescent="0.25">
      <c r="A263" s="23" t="s">
        <v>4014</v>
      </c>
      <c r="B263" s="23" t="s">
        <v>4011</v>
      </c>
      <c r="C263" s="38">
        <v>2.7320000000000002</v>
      </c>
      <c r="D263" s="24">
        <f xml:space="preserve"> C263 / (24 * 'VRP Solver Console'!C11)</f>
        <v>1.8972222222222225E-3</v>
      </c>
    </row>
    <row r="264" spans="1:4" x14ac:dyDescent="0.25">
      <c r="A264" s="23" t="s">
        <v>4014</v>
      </c>
      <c r="B264" s="23" t="s">
        <v>4012</v>
      </c>
      <c r="C264" s="39">
        <v>3.641</v>
      </c>
      <c r="D264" s="25">
        <f xml:space="preserve"> C264 / (24 * 'VRP Solver Console'!C11)</f>
        <v>2.5284722222222223E-3</v>
      </c>
    </row>
    <row r="265" spans="1:4" x14ac:dyDescent="0.25">
      <c r="A265" s="23" t="s">
        <v>4014</v>
      </c>
      <c r="B265" s="23" t="s">
        <v>4013</v>
      </c>
      <c r="C265" s="38">
        <v>2.4020000000000001</v>
      </c>
      <c r="D265" s="24">
        <f xml:space="preserve"> C265 / (24 * 'VRP Solver Console'!C11)</f>
        <v>1.6680555555555557E-3</v>
      </c>
    </row>
    <row r="266" spans="1:4" x14ac:dyDescent="0.25">
      <c r="A266" s="23" t="s">
        <v>4014</v>
      </c>
      <c r="B266" s="23" t="s">
        <v>4014</v>
      </c>
      <c r="C266" s="39">
        <v>0</v>
      </c>
      <c r="D266" s="25">
        <v>0</v>
      </c>
    </row>
    <row r="267" spans="1:4" x14ac:dyDescent="0.25">
      <c r="A267" s="23" t="s">
        <v>4014</v>
      </c>
      <c r="B267" s="23" t="s">
        <v>4015</v>
      </c>
      <c r="C267" s="38">
        <v>41.133000000000003</v>
      </c>
      <c r="D267" s="24">
        <f xml:space="preserve"> C267 / (24 * 'VRP Solver Console'!C11)</f>
        <v>2.8564583333333334E-2</v>
      </c>
    </row>
    <row r="268" spans="1:4" x14ac:dyDescent="0.25">
      <c r="A268" s="23" t="s">
        <v>4014</v>
      </c>
      <c r="B268" s="23" t="s">
        <v>4016</v>
      </c>
      <c r="C268" s="39">
        <v>41.133000000000003</v>
      </c>
      <c r="D268" s="25">
        <f xml:space="preserve"> C268 / (24 * 'VRP Solver Console'!C11)</f>
        <v>2.8564583333333334E-2</v>
      </c>
    </row>
    <row r="269" spans="1:4" x14ac:dyDescent="0.25">
      <c r="A269" s="23" t="s">
        <v>4014</v>
      </c>
      <c r="B269" s="23" t="s">
        <v>4017</v>
      </c>
      <c r="C269" s="38">
        <v>41.133000000000003</v>
      </c>
      <c r="D269" s="24">
        <f xml:space="preserve"> C269 / (24 * 'VRP Solver Console'!C11)</f>
        <v>2.8564583333333334E-2</v>
      </c>
    </row>
    <row r="270" spans="1:4" x14ac:dyDescent="0.25">
      <c r="A270" s="23" t="s">
        <v>4014</v>
      </c>
      <c r="B270" s="23" t="s">
        <v>4018</v>
      </c>
      <c r="C270" s="39">
        <v>41.133000000000003</v>
      </c>
      <c r="D270" s="25">
        <f xml:space="preserve"> C270 / (24 * 'VRP Solver Console'!C11)</f>
        <v>2.8564583333333334E-2</v>
      </c>
    </row>
    <row r="271" spans="1:4" x14ac:dyDescent="0.25">
      <c r="A271" s="23" t="s">
        <v>4014</v>
      </c>
      <c r="B271" s="23" t="s">
        <v>4019</v>
      </c>
      <c r="C271" s="38">
        <v>2.2599999999999998</v>
      </c>
      <c r="D271" s="24">
        <f xml:space="preserve"> C271 / (24 * 'VRP Solver Console'!C11)</f>
        <v>1.5694444444444443E-3</v>
      </c>
    </row>
    <row r="272" spans="1:4" x14ac:dyDescent="0.25">
      <c r="A272" s="23" t="s">
        <v>4014</v>
      </c>
      <c r="B272" s="23" t="s">
        <v>4020</v>
      </c>
      <c r="C272" s="39">
        <v>2.5209999999999999</v>
      </c>
      <c r="D272" s="25">
        <f xml:space="preserve"> C272 / (24 * 'VRP Solver Console'!C11)</f>
        <v>1.7506944444444445E-3</v>
      </c>
    </row>
    <row r="273" spans="1:4" x14ac:dyDescent="0.25">
      <c r="A273" s="23" t="s">
        <v>4014</v>
      </c>
      <c r="B273" s="23" t="s">
        <v>4021</v>
      </c>
      <c r="C273" s="38">
        <v>2.8620000000000001</v>
      </c>
      <c r="D273" s="24">
        <f xml:space="preserve"> C273 / (24 * 'VRP Solver Console'!C11)</f>
        <v>1.9875000000000001E-3</v>
      </c>
    </row>
    <row r="274" spans="1:4" x14ac:dyDescent="0.25">
      <c r="A274" s="23" t="s">
        <v>4014</v>
      </c>
      <c r="B274" s="23" t="s">
        <v>4022</v>
      </c>
      <c r="C274" s="39">
        <v>2.6659999999999999</v>
      </c>
      <c r="D274" s="25">
        <f xml:space="preserve"> C274 / (24 * 'VRP Solver Console'!C11)</f>
        <v>1.8513888888888887E-3</v>
      </c>
    </row>
    <row r="275" spans="1:4" x14ac:dyDescent="0.25">
      <c r="A275" s="23" t="s">
        <v>4014</v>
      </c>
      <c r="B275" s="23" t="s">
        <v>4023</v>
      </c>
      <c r="C275" s="38">
        <v>1.845</v>
      </c>
      <c r="D275" s="24">
        <f xml:space="preserve"> C275 / (24 * 'VRP Solver Console'!C11)</f>
        <v>1.2812500000000001E-3</v>
      </c>
    </row>
    <row r="276" spans="1:4" x14ac:dyDescent="0.25">
      <c r="A276" s="23" t="s">
        <v>4014</v>
      </c>
      <c r="B276" s="23" t="s">
        <v>4024</v>
      </c>
      <c r="C276" s="39">
        <v>39.061</v>
      </c>
      <c r="D276" s="25">
        <f xml:space="preserve"> C276 / (24 * 'VRP Solver Console'!C11)</f>
        <v>2.7125694444444445E-2</v>
      </c>
    </row>
    <row r="277" spans="1:4" x14ac:dyDescent="0.25">
      <c r="A277" s="23" t="s">
        <v>4014</v>
      </c>
      <c r="B277" s="23" t="s">
        <v>4003</v>
      </c>
      <c r="C277" s="38">
        <v>2.4420000000000002</v>
      </c>
      <c r="D277" s="24">
        <f xml:space="preserve"> C277 / (24 * 'VRP Solver Console'!C11)</f>
        <v>1.6958333333333335E-3</v>
      </c>
    </row>
    <row r="278" spans="1:4" x14ac:dyDescent="0.25">
      <c r="A278" s="23" t="s">
        <v>4015</v>
      </c>
      <c r="B278" s="23" t="s">
        <v>4028</v>
      </c>
      <c r="C278" s="39">
        <v>42.319000000000003</v>
      </c>
      <c r="D278" s="25">
        <f xml:space="preserve"> C278 / (24 * 'VRP Solver Console'!C11)</f>
        <v>2.9388194444444446E-2</v>
      </c>
    </row>
    <row r="279" spans="1:4" x14ac:dyDescent="0.25">
      <c r="A279" s="23" t="s">
        <v>4015</v>
      </c>
      <c r="B279" s="23" t="s">
        <v>4004</v>
      </c>
      <c r="C279" s="38">
        <v>42.905999999999999</v>
      </c>
      <c r="D279" s="24">
        <f xml:space="preserve"> C279 / (24 * 'VRP Solver Console'!C11)</f>
        <v>2.9795833333333334E-2</v>
      </c>
    </row>
    <row r="280" spans="1:4" x14ac:dyDescent="0.25">
      <c r="A280" s="23" t="s">
        <v>4015</v>
      </c>
      <c r="B280" s="23" t="s">
        <v>4005</v>
      </c>
      <c r="C280" s="39">
        <v>42.683</v>
      </c>
      <c r="D280" s="25">
        <f xml:space="preserve"> C280 / (24 * 'VRP Solver Console'!C11)</f>
        <v>2.9640972222222221E-2</v>
      </c>
    </row>
    <row r="281" spans="1:4" x14ac:dyDescent="0.25">
      <c r="A281" s="23" t="s">
        <v>4015</v>
      </c>
      <c r="B281" s="23" t="s">
        <v>4006</v>
      </c>
      <c r="C281" s="38">
        <v>43.936999999999998</v>
      </c>
      <c r="D281" s="24">
        <f xml:space="preserve"> C281 / (24 * 'VRP Solver Console'!C11)</f>
        <v>3.0511805555555552E-2</v>
      </c>
    </row>
    <row r="282" spans="1:4" x14ac:dyDescent="0.25">
      <c r="A282" s="23" t="s">
        <v>4015</v>
      </c>
      <c r="B282" s="23" t="s">
        <v>4007</v>
      </c>
      <c r="C282" s="39">
        <v>43.143999999999998</v>
      </c>
      <c r="D282" s="25">
        <f xml:space="preserve"> C282 / (24 * 'VRP Solver Console'!C11)</f>
        <v>2.9961111111111109E-2</v>
      </c>
    </row>
    <row r="283" spans="1:4" x14ac:dyDescent="0.25">
      <c r="A283" s="23" t="s">
        <v>4015</v>
      </c>
      <c r="B283" s="23" t="s">
        <v>4008</v>
      </c>
      <c r="C283" s="38">
        <v>42.438000000000002</v>
      </c>
      <c r="D283" s="24">
        <f xml:space="preserve"> C283 / (24 * 'VRP Solver Console'!C11)</f>
        <v>2.9470833333333335E-2</v>
      </c>
    </row>
    <row r="284" spans="1:4" x14ac:dyDescent="0.25">
      <c r="A284" s="23" t="s">
        <v>4015</v>
      </c>
      <c r="B284" s="23" t="s">
        <v>4009</v>
      </c>
      <c r="C284" s="39">
        <v>42.905999999999999</v>
      </c>
      <c r="D284" s="25">
        <f xml:space="preserve"> C284 / (24 * 'VRP Solver Console'!C11)</f>
        <v>2.9795833333333334E-2</v>
      </c>
    </row>
    <row r="285" spans="1:4" x14ac:dyDescent="0.25">
      <c r="A285" s="23" t="s">
        <v>4015</v>
      </c>
      <c r="B285" s="23" t="s">
        <v>4010</v>
      </c>
      <c r="C285" s="38">
        <v>42.966000000000001</v>
      </c>
      <c r="D285" s="24">
        <f xml:space="preserve"> C285 / (24 * 'VRP Solver Console'!C11)</f>
        <v>2.9837499999999999E-2</v>
      </c>
    </row>
    <row r="286" spans="1:4" x14ac:dyDescent="0.25">
      <c r="A286" s="23" t="s">
        <v>4015</v>
      </c>
      <c r="B286" s="23" t="s">
        <v>4011</v>
      </c>
      <c r="C286" s="39">
        <v>43.764000000000003</v>
      </c>
      <c r="D286" s="25">
        <f xml:space="preserve"> C286 / (24 * 'VRP Solver Console'!C11)</f>
        <v>3.0391666666666668E-2</v>
      </c>
    </row>
    <row r="287" spans="1:4" x14ac:dyDescent="0.25">
      <c r="A287" s="23" t="s">
        <v>4015</v>
      </c>
      <c r="B287" s="23" t="s">
        <v>4012</v>
      </c>
      <c r="C287" s="38">
        <v>44.673000000000002</v>
      </c>
      <c r="D287" s="24">
        <f xml:space="preserve"> C287 / (24 * 'VRP Solver Console'!C11)</f>
        <v>3.1022916666666667E-2</v>
      </c>
    </row>
    <row r="288" spans="1:4" x14ac:dyDescent="0.25">
      <c r="A288" s="23" t="s">
        <v>4015</v>
      </c>
      <c r="B288" s="23" t="s">
        <v>4013</v>
      </c>
      <c r="C288" s="39">
        <v>41.737000000000002</v>
      </c>
      <c r="D288" s="25">
        <f xml:space="preserve"> C288 / (24 * 'VRP Solver Console'!C11)</f>
        <v>2.8984027777777779E-2</v>
      </c>
    </row>
    <row r="289" spans="1:4" x14ac:dyDescent="0.25">
      <c r="A289" s="23" t="s">
        <v>4015</v>
      </c>
      <c r="B289" s="23" t="s">
        <v>4014</v>
      </c>
      <c r="C289" s="38">
        <v>41.033999999999999</v>
      </c>
      <c r="D289" s="24">
        <f xml:space="preserve"> C289 / (24 * 'VRP Solver Console'!C11)</f>
        <v>2.8495833333333331E-2</v>
      </c>
    </row>
    <row r="290" spans="1:4" x14ac:dyDescent="0.25">
      <c r="A290" s="23" t="s">
        <v>4015</v>
      </c>
      <c r="B290" s="23" t="s">
        <v>4015</v>
      </c>
      <c r="C290" s="39">
        <v>0</v>
      </c>
      <c r="D290" s="25">
        <v>0</v>
      </c>
    </row>
    <row r="291" spans="1:4" x14ac:dyDescent="0.25">
      <c r="A291" s="23" t="s">
        <v>4015</v>
      </c>
      <c r="B291" s="23" t="s">
        <v>4016</v>
      </c>
      <c r="C291" s="38">
        <v>0</v>
      </c>
      <c r="D291" s="24">
        <f xml:space="preserve"> C291 / (24 * 'VRP Solver Console'!C11)</f>
        <v>0</v>
      </c>
    </row>
    <row r="292" spans="1:4" x14ac:dyDescent="0.25">
      <c r="A292" s="23" t="s">
        <v>4015</v>
      </c>
      <c r="B292" s="23" t="s">
        <v>4017</v>
      </c>
      <c r="C292" s="39">
        <v>0</v>
      </c>
      <c r="D292" s="25">
        <f xml:space="preserve"> C292 / (24 * 'VRP Solver Console'!C11)</f>
        <v>0</v>
      </c>
    </row>
    <row r="293" spans="1:4" x14ac:dyDescent="0.25">
      <c r="A293" s="23" t="s">
        <v>4015</v>
      </c>
      <c r="B293" s="23" t="s">
        <v>4018</v>
      </c>
      <c r="C293" s="38">
        <v>0</v>
      </c>
      <c r="D293" s="24">
        <f xml:space="preserve"> C293 / (24 * 'VRP Solver Console'!C11)</f>
        <v>0</v>
      </c>
    </row>
    <row r="294" spans="1:4" x14ac:dyDescent="0.25">
      <c r="A294" s="23" t="s">
        <v>4015</v>
      </c>
      <c r="B294" s="23" t="s">
        <v>4019</v>
      </c>
      <c r="C294" s="39">
        <v>39.487000000000002</v>
      </c>
      <c r="D294" s="25">
        <f xml:space="preserve"> C294 / (24 * 'VRP Solver Console'!C11)</f>
        <v>2.7421527777777781E-2</v>
      </c>
    </row>
    <row r="295" spans="1:4" x14ac:dyDescent="0.25">
      <c r="A295" s="23" t="s">
        <v>4015</v>
      </c>
      <c r="B295" s="23" t="s">
        <v>4020</v>
      </c>
      <c r="C295" s="38">
        <v>43.552999999999997</v>
      </c>
      <c r="D295" s="24">
        <f xml:space="preserve"> C295 / (24 * 'VRP Solver Console'!C11)</f>
        <v>3.0245138888888887E-2</v>
      </c>
    </row>
    <row r="296" spans="1:4" x14ac:dyDescent="0.25">
      <c r="A296" s="23" t="s">
        <v>4015</v>
      </c>
      <c r="B296" s="23" t="s">
        <v>4021</v>
      </c>
      <c r="C296" s="39">
        <v>43.893999999999998</v>
      </c>
      <c r="D296" s="25">
        <f xml:space="preserve"> C296 / (24 * 'VRP Solver Console'!C11)</f>
        <v>3.0481944444444443E-2</v>
      </c>
    </row>
    <row r="297" spans="1:4" x14ac:dyDescent="0.25">
      <c r="A297" s="23" t="s">
        <v>4015</v>
      </c>
      <c r="B297" s="23" t="s">
        <v>4022</v>
      </c>
      <c r="C297" s="38">
        <v>43.698</v>
      </c>
      <c r="D297" s="24">
        <f xml:space="preserve"> C297 / (24 * 'VRP Solver Console'!C11)</f>
        <v>3.0345833333333332E-2</v>
      </c>
    </row>
    <row r="298" spans="1:4" x14ac:dyDescent="0.25">
      <c r="A298" s="23" t="s">
        <v>4015</v>
      </c>
      <c r="B298" s="23" t="s">
        <v>4023</v>
      </c>
      <c r="C298" s="39">
        <v>41.365000000000002</v>
      </c>
      <c r="D298" s="25">
        <f xml:space="preserve"> C298 / (24 * 'VRP Solver Console'!C11)</f>
        <v>2.8725694444444446E-2</v>
      </c>
    </row>
    <row r="299" spans="1:4" x14ac:dyDescent="0.25">
      <c r="A299" s="23" t="s">
        <v>4015</v>
      </c>
      <c r="B299" s="23" t="s">
        <v>4024</v>
      </c>
      <c r="C299" s="38">
        <v>1.9790000000000001</v>
      </c>
      <c r="D299" s="24">
        <f xml:space="preserve"> C299 / (24 * 'VRP Solver Console'!C11)</f>
        <v>1.3743055555555557E-3</v>
      </c>
    </row>
    <row r="300" spans="1:4" x14ac:dyDescent="0.25">
      <c r="A300" s="23" t="s">
        <v>4015</v>
      </c>
      <c r="B300" s="23" t="s">
        <v>4003</v>
      </c>
      <c r="C300" s="39">
        <v>43.473999999999997</v>
      </c>
      <c r="D300" s="25">
        <f xml:space="preserve"> C300 / (24 * 'VRP Solver Console'!C11)</f>
        <v>3.0190277777777774E-2</v>
      </c>
    </row>
    <row r="301" spans="1:4" x14ac:dyDescent="0.25">
      <c r="A301" s="23" t="s">
        <v>4016</v>
      </c>
      <c r="B301" s="23" t="s">
        <v>4028</v>
      </c>
      <c r="C301" s="38">
        <v>42.319000000000003</v>
      </c>
      <c r="D301" s="24">
        <f xml:space="preserve"> C301 / (24 * 'VRP Solver Console'!C11)</f>
        <v>2.9388194444444446E-2</v>
      </c>
    </row>
    <row r="302" spans="1:4" x14ac:dyDescent="0.25">
      <c r="A302" s="23" t="s">
        <v>4016</v>
      </c>
      <c r="B302" s="23" t="s">
        <v>4004</v>
      </c>
      <c r="C302" s="39">
        <v>42.905999999999999</v>
      </c>
      <c r="D302" s="25">
        <f xml:space="preserve"> C302 / (24 * 'VRP Solver Console'!C11)</f>
        <v>2.9795833333333334E-2</v>
      </c>
    </row>
    <row r="303" spans="1:4" x14ac:dyDescent="0.25">
      <c r="A303" s="23" t="s">
        <v>4016</v>
      </c>
      <c r="B303" s="23" t="s">
        <v>4005</v>
      </c>
      <c r="C303" s="38">
        <v>42.683</v>
      </c>
      <c r="D303" s="24">
        <f xml:space="preserve"> C303 / (24 * 'VRP Solver Console'!C11)</f>
        <v>2.9640972222222221E-2</v>
      </c>
    </row>
    <row r="304" spans="1:4" x14ac:dyDescent="0.25">
      <c r="A304" s="23" t="s">
        <v>4016</v>
      </c>
      <c r="B304" s="23" t="s">
        <v>4006</v>
      </c>
      <c r="C304" s="39">
        <v>43.936999999999998</v>
      </c>
      <c r="D304" s="25">
        <f xml:space="preserve"> C304 / (24 * 'VRP Solver Console'!C11)</f>
        <v>3.0511805555555552E-2</v>
      </c>
    </row>
    <row r="305" spans="1:4" x14ac:dyDescent="0.25">
      <c r="A305" s="23" t="s">
        <v>4016</v>
      </c>
      <c r="B305" s="23" t="s">
        <v>4007</v>
      </c>
      <c r="C305" s="38">
        <v>43.143999999999998</v>
      </c>
      <c r="D305" s="24">
        <f xml:space="preserve"> C305 / (24 * 'VRP Solver Console'!C11)</f>
        <v>2.9961111111111109E-2</v>
      </c>
    </row>
    <row r="306" spans="1:4" x14ac:dyDescent="0.25">
      <c r="A306" s="23" t="s">
        <v>4016</v>
      </c>
      <c r="B306" s="23" t="s">
        <v>4008</v>
      </c>
      <c r="C306" s="39">
        <v>42.438000000000002</v>
      </c>
      <c r="D306" s="25">
        <f xml:space="preserve"> C306 / (24 * 'VRP Solver Console'!C11)</f>
        <v>2.9470833333333335E-2</v>
      </c>
    </row>
    <row r="307" spans="1:4" x14ac:dyDescent="0.25">
      <c r="A307" s="23" t="s">
        <v>4016</v>
      </c>
      <c r="B307" s="23" t="s">
        <v>4009</v>
      </c>
      <c r="C307" s="38">
        <v>42.905999999999999</v>
      </c>
      <c r="D307" s="24">
        <f xml:space="preserve"> C307 / (24 * 'VRP Solver Console'!C11)</f>
        <v>2.9795833333333334E-2</v>
      </c>
    </row>
    <row r="308" spans="1:4" x14ac:dyDescent="0.25">
      <c r="A308" s="23" t="s">
        <v>4016</v>
      </c>
      <c r="B308" s="23" t="s">
        <v>4010</v>
      </c>
      <c r="C308" s="39">
        <v>42.966000000000001</v>
      </c>
      <c r="D308" s="25">
        <f xml:space="preserve"> C308 / (24 * 'VRP Solver Console'!C11)</f>
        <v>2.9837499999999999E-2</v>
      </c>
    </row>
    <row r="309" spans="1:4" x14ac:dyDescent="0.25">
      <c r="A309" s="23" t="s">
        <v>4016</v>
      </c>
      <c r="B309" s="23" t="s">
        <v>4011</v>
      </c>
      <c r="C309" s="38">
        <v>43.764000000000003</v>
      </c>
      <c r="D309" s="24">
        <f xml:space="preserve"> C309 / (24 * 'VRP Solver Console'!C11)</f>
        <v>3.0391666666666668E-2</v>
      </c>
    </row>
    <row r="310" spans="1:4" x14ac:dyDescent="0.25">
      <c r="A310" s="23" t="s">
        <v>4016</v>
      </c>
      <c r="B310" s="23" t="s">
        <v>4012</v>
      </c>
      <c r="C310" s="39">
        <v>44.673000000000002</v>
      </c>
      <c r="D310" s="25">
        <f xml:space="preserve"> C310 / (24 * 'VRP Solver Console'!C11)</f>
        <v>3.1022916666666667E-2</v>
      </c>
    </row>
    <row r="311" spans="1:4" x14ac:dyDescent="0.25">
      <c r="A311" s="23" t="s">
        <v>4016</v>
      </c>
      <c r="B311" s="23" t="s">
        <v>4013</v>
      </c>
      <c r="C311" s="38">
        <v>41.737000000000002</v>
      </c>
      <c r="D311" s="24">
        <f xml:space="preserve"> C311 / (24 * 'VRP Solver Console'!C11)</f>
        <v>2.8984027777777779E-2</v>
      </c>
    </row>
    <row r="312" spans="1:4" x14ac:dyDescent="0.25">
      <c r="A312" s="23" t="s">
        <v>4016</v>
      </c>
      <c r="B312" s="23" t="s">
        <v>4014</v>
      </c>
      <c r="C312" s="39">
        <v>41.033999999999999</v>
      </c>
      <c r="D312" s="25">
        <f xml:space="preserve"> C312 / (24 * 'VRP Solver Console'!C11)</f>
        <v>2.8495833333333331E-2</v>
      </c>
    </row>
    <row r="313" spans="1:4" x14ac:dyDescent="0.25">
      <c r="A313" s="23" t="s">
        <v>4016</v>
      </c>
      <c r="B313" s="23" t="s">
        <v>4015</v>
      </c>
      <c r="C313" s="38">
        <v>0</v>
      </c>
      <c r="D313" s="24">
        <f xml:space="preserve"> C313 / (24 * 'VRP Solver Console'!C11)</f>
        <v>0</v>
      </c>
    </row>
    <row r="314" spans="1:4" x14ac:dyDescent="0.25">
      <c r="A314" s="23" t="s">
        <v>4016</v>
      </c>
      <c r="B314" s="23" t="s">
        <v>4016</v>
      </c>
      <c r="C314" s="39">
        <v>0</v>
      </c>
      <c r="D314" s="25">
        <v>0</v>
      </c>
    </row>
    <row r="315" spans="1:4" x14ac:dyDescent="0.25">
      <c r="A315" s="23" t="s">
        <v>4016</v>
      </c>
      <c r="B315" s="23" t="s">
        <v>4017</v>
      </c>
      <c r="C315" s="38">
        <v>0</v>
      </c>
      <c r="D315" s="24">
        <f xml:space="preserve"> C315 / (24 * 'VRP Solver Console'!C11)</f>
        <v>0</v>
      </c>
    </row>
    <row r="316" spans="1:4" x14ac:dyDescent="0.25">
      <c r="A316" s="23" t="s">
        <v>4016</v>
      </c>
      <c r="B316" s="23" t="s">
        <v>4018</v>
      </c>
      <c r="C316" s="39">
        <v>0</v>
      </c>
      <c r="D316" s="25">
        <f xml:space="preserve"> C316 / (24 * 'VRP Solver Console'!C11)</f>
        <v>0</v>
      </c>
    </row>
    <row r="317" spans="1:4" x14ac:dyDescent="0.25">
      <c r="A317" s="23" t="s">
        <v>4016</v>
      </c>
      <c r="B317" s="23" t="s">
        <v>4019</v>
      </c>
      <c r="C317" s="38">
        <v>39.487000000000002</v>
      </c>
      <c r="D317" s="24">
        <f xml:space="preserve"> C317 / (24 * 'VRP Solver Console'!C11)</f>
        <v>2.7421527777777781E-2</v>
      </c>
    </row>
    <row r="318" spans="1:4" x14ac:dyDescent="0.25">
      <c r="A318" s="23" t="s">
        <v>4016</v>
      </c>
      <c r="B318" s="23" t="s">
        <v>4020</v>
      </c>
      <c r="C318" s="39">
        <v>43.552999999999997</v>
      </c>
      <c r="D318" s="25">
        <f xml:space="preserve"> C318 / (24 * 'VRP Solver Console'!C11)</f>
        <v>3.0245138888888887E-2</v>
      </c>
    </row>
    <row r="319" spans="1:4" x14ac:dyDescent="0.25">
      <c r="A319" s="23" t="s">
        <v>4016</v>
      </c>
      <c r="B319" s="23" t="s">
        <v>4021</v>
      </c>
      <c r="C319" s="38">
        <v>43.893999999999998</v>
      </c>
      <c r="D319" s="24">
        <f xml:space="preserve"> C319 / (24 * 'VRP Solver Console'!C11)</f>
        <v>3.0481944444444443E-2</v>
      </c>
    </row>
    <row r="320" spans="1:4" x14ac:dyDescent="0.25">
      <c r="A320" s="23" t="s">
        <v>4016</v>
      </c>
      <c r="B320" s="23" t="s">
        <v>4022</v>
      </c>
      <c r="C320" s="39">
        <v>43.698</v>
      </c>
      <c r="D320" s="25">
        <f xml:space="preserve"> C320 / (24 * 'VRP Solver Console'!C11)</f>
        <v>3.0345833333333332E-2</v>
      </c>
    </row>
    <row r="321" spans="1:4" x14ac:dyDescent="0.25">
      <c r="A321" s="23" t="s">
        <v>4016</v>
      </c>
      <c r="B321" s="23" t="s">
        <v>4023</v>
      </c>
      <c r="C321" s="38">
        <v>41.365000000000002</v>
      </c>
      <c r="D321" s="24">
        <f xml:space="preserve"> C321 / (24 * 'VRP Solver Console'!C11)</f>
        <v>2.8725694444444446E-2</v>
      </c>
    </row>
    <row r="322" spans="1:4" x14ac:dyDescent="0.25">
      <c r="A322" s="23" t="s">
        <v>4016</v>
      </c>
      <c r="B322" s="23" t="s">
        <v>4024</v>
      </c>
      <c r="C322" s="39">
        <v>1.9790000000000001</v>
      </c>
      <c r="D322" s="25">
        <f xml:space="preserve"> C322 / (24 * 'VRP Solver Console'!C11)</f>
        <v>1.3743055555555557E-3</v>
      </c>
    </row>
    <row r="323" spans="1:4" x14ac:dyDescent="0.25">
      <c r="A323" s="23" t="s">
        <v>4016</v>
      </c>
      <c r="B323" s="23" t="s">
        <v>4003</v>
      </c>
      <c r="C323" s="38">
        <v>43.473999999999997</v>
      </c>
      <c r="D323" s="24">
        <f xml:space="preserve"> C323 / (24 * 'VRP Solver Console'!C11)</f>
        <v>3.0190277777777774E-2</v>
      </c>
    </row>
    <row r="324" spans="1:4" x14ac:dyDescent="0.25">
      <c r="A324" s="23" t="s">
        <v>4017</v>
      </c>
      <c r="B324" s="23" t="s">
        <v>4028</v>
      </c>
      <c r="C324" s="39">
        <v>42.319000000000003</v>
      </c>
      <c r="D324" s="25">
        <f xml:space="preserve"> C324 / (24 * 'VRP Solver Console'!C11)</f>
        <v>2.9388194444444446E-2</v>
      </c>
    </row>
    <row r="325" spans="1:4" x14ac:dyDescent="0.25">
      <c r="A325" s="23" t="s">
        <v>4017</v>
      </c>
      <c r="B325" s="23" t="s">
        <v>4004</v>
      </c>
      <c r="C325" s="38">
        <v>42.905999999999999</v>
      </c>
      <c r="D325" s="24">
        <f xml:space="preserve"> C325 / (24 * 'VRP Solver Console'!C11)</f>
        <v>2.9795833333333334E-2</v>
      </c>
    </row>
    <row r="326" spans="1:4" x14ac:dyDescent="0.25">
      <c r="A326" s="23" t="s">
        <v>4017</v>
      </c>
      <c r="B326" s="23" t="s">
        <v>4005</v>
      </c>
      <c r="C326" s="39">
        <v>42.683</v>
      </c>
      <c r="D326" s="25">
        <f xml:space="preserve"> C326 / (24 * 'VRP Solver Console'!C11)</f>
        <v>2.9640972222222221E-2</v>
      </c>
    </row>
    <row r="327" spans="1:4" x14ac:dyDescent="0.25">
      <c r="A327" s="23" t="s">
        <v>4017</v>
      </c>
      <c r="B327" s="23" t="s">
        <v>4006</v>
      </c>
      <c r="C327" s="38">
        <v>43.936999999999998</v>
      </c>
      <c r="D327" s="24">
        <f xml:space="preserve"> C327 / (24 * 'VRP Solver Console'!C11)</f>
        <v>3.0511805555555552E-2</v>
      </c>
    </row>
    <row r="328" spans="1:4" x14ac:dyDescent="0.25">
      <c r="A328" s="23" t="s">
        <v>4017</v>
      </c>
      <c r="B328" s="23" t="s">
        <v>4007</v>
      </c>
      <c r="C328" s="39">
        <v>43.143999999999998</v>
      </c>
      <c r="D328" s="25">
        <f xml:space="preserve"> C328 / (24 * 'VRP Solver Console'!C11)</f>
        <v>2.9961111111111109E-2</v>
      </c>
    </row>
    <row r="329" spans="1:4" x14ac:dyDescent="0.25">
      <c r="A329" s="23" t="s">
        <v>4017</v>
      </c>
      <c r="B329" s="23" t="s">
        <v>4008</v>
      </c>
      <c r="C329" s="38">
        <v>42.438000000000002</v>
      </c>
      <c r="D329" s="24">
        <f xml:space="preserve"> C329 / (24 * 'VRP Solver Console'!C11)</f>
        <v>2.9470833333333335E-2</v>
      </c>
    </row>
    <row r="330" spans="1:4" x14ac:dyDescent="0.25">
      <c r="A330" s="23" t="s">
        <v>4017</v>
      </c>
      <c r="B330" s="23" t="s">
        <v>4009</v>
      </c>
      <c r="C330" s="39">
        <v>42.905999999999999</v>
      </c>
      <c r="D330" s="25">
        <f xml:space="preserve"> C330 / (24 * 'VRP Solver Console'!C11)</f>
        <v>2.9795833333333334E-2</v>
      </c>
    </row>
    <row r="331" spans="1:4" x14ac:dyDescent="0.25">
      <c r="A331" s="23" t="s">
        <v>4017</v>
      </c>
      <c r="B331" s="23" t="s">
        <v>4010</v>
      </c>
      <c r="C331" s="38">
        <v>42.966000000000001</v>
      </c>
      <c r="D331" s="24">
        <f xml:space="preserve"> C331 / (24 * 'VRP Solver Console'!C11)</f>
        <v>2.9837499999999999E-2</v>
      </c>
    </row>
    <row r="332" spans="1:4" x14ac:dyDescent="0.25">
      <c r="A332" s="23" t="s">
        <v>4017</v>
      </c>
      <c r="B332" s="23" t="s">
        <v>4011</v>
      </c>
      <c r="C332" s="39">
        <v>43.764000000000003</v>
      </c>
      <c r="D332" s="25">
        <f xml:space="preserve"> C332 / (24 * 'VRP Solver Console'!C11)</f>
        <v>3.0391666666666668E-2</v>
      </c>
    </row>
    <row r="333" spans="1:4" x14ac:dyDescent="0.25">
      <c r="A333" s="23" t="s">
        <v>4017</v>
      </c>
      <c r="B333" s="23" t="s">
        <v>4012</v>
      </c>
      <c r="C333" s="38">
        <v>44.673000000000002</v>
      </c>
      <c r="D333" s="24">
        <f xml:space="preserve"> C333 / (24 * 'VRP Solver Console'!C11)</f>
        <v>3.1022916666666667E-2</v>
      </c>
    </row>
    <row r="334" spans="1:4" x14ac:dyDescent="0.25">
      <c r="A334" s="23" t="s">
        <v>4017</v>
      </c>
      <c r="B334" s="23" t="s">
        <v>4013</v>
      </c>
      <c r="C334" s="39">
        <v>41.737000000000002</v>
      </c>
      <c r="D334" s="25">
        <f xml:space="preserve"> C334 / (24 * 'VRP Solver Console'!C11)</f>
        <v>2.8984027777777779E-2</v>
      </c>
    </row>
    <row r="335" spans="1:4" x14ac:dyDescent="0.25">
      <c r="A335" s="23" t="s">
        <v>4017</v>
      </c>
      <c r="B335" s="23" t="s">
        <v>4014</v>
      </c>
      <c r="C335" s="38">
        <v>41.033999999999999</v>
      </c>
      <c r="D335" s="24">
        <f xml:space="preserve"> C335 / (24 * 'VRP Solver Console'!C11)</f>
        <v>2.8495833333333331E-2</v>
      </c>
    </row>
    <row r="336" spans="1:4" x14ac:dyDescent="0.25">
      <c r="A336" s="23" t="s">
        <v>4017</v>
      </c>
      <c r="B336" s="23" t="s">
        <v>4015</v>
      </c>
      <c r="C336" s="39">
        <v>0</v>
      </c>
      <c r="D336" s="25">
        <f xml:space="preserve"> C336 / (24 * 'VRP Solver Console'!C11)</f>
        <v>0</v>
      </c>
    </row>
    <row r="337" spans="1:4" x14ac:dyDescent="0.25">
      <c r="A337" s="23" t="s">
        <v>4017</v>
      </c>
      <c r="B337" s="23" t="s">
        <v>4016</v>
      </c>
      <c r="C337" s="38">
        <v>0</v>
      </c>
      <c r="D337" s="24">
        <f xml:space="preserve"> C337 / (24 * 'VRP Solver Console'!C11)</f>
        <v>0</v>
      </c>
    </row>
    <row r="338" spans="1:4" x14ac:dyDescent="0.25">
      <c r="A338" s="23" t="s">
        <v>4017</v>
      </c>
      <c r="B338" s="23" t="s">
        <v>4017</v>
      </c>
      <c r="C338" s="39">
        <v>0</v>
      </c>
      <c r="D338" s="25">
        <v>0</v>
      </c>
    </row>
    <row r="339" spans="1:4" x14ac:dyDescent="0.25">
      <c r="A339" s="23" t="s">
        <v>4017</v>
      </c>
      <c r="B339" s="23" t="s">
        <v>4018</v>
      </c>
      <c r="C339" s="38">
        <v>0</v>
      </c>
      <c r="D339" s="24">
        <f xml:space="preserve"> C339 / (24 * 'VRP Solver Console'!C11)</f>
        <v>0</v>
      </c>
    </row>
    <row r="340" spans="1:4" x14ac:dyDescent="0.25">
      <c r="A340" s="23" t="s">
        <v>4017</v>
      </c>
      <c r="B340" s="23" t="s">
        <v>4019</v>
      </c>
      <c r="C340" s="39">
        <v>39.487000000000002</v>
      </c>
      <c r="D340" s="25">
        <f xml:space="preserve"> C340 / (24 * 'VRP Solver Console'!C11)</f>
        <v>2.7421527777777781E-2</v>
      </c>
    </row>
    <row r="341" spans="1:4" x14ac:dyDescent="0.25">
      <c r="A341" s="23" t="s">
        <v>4017</v>
      </c>
      <c r="B341" s="23" t="s">
        <v>4020</v>
      </c>
      <c r="C341" s="38">
        <v>43.552999999999997</v>
      </c>
      <c r="D341" s="24">
        <f xml:space="preserve"> C341 / (24 * 'VRP Solver Console'!C11)</f>
        <v>3.0245138888888887E-2</v>
      </c>
    </row>
    <row r="342" spans="1:4" x14ac:dyDescent="0.25">
      <c r="A342" s="23" t="s">
        <v>4017</v>
      </c>
      <c r="B342" s="23" t="s">
        <v>4021</v>
      </c>
      <c r="C342" s="39">
        <v>43.893999999999998</v>
      </c>
      <c r="D342" s="25">
        <f xml:space="preserve"> C342 / (24 * 'VRP Solver Console'!C11)</f>
        <v>3.0481944444444443E-2</v>
      </c>
    </row>
    <row r="343" spans="1:4" x14ac:dyDescent="0.25">
      <c r="A343" s="23" t="s">
        <v>4017</v>
      </c>
      <c r="B343" s="23" t="s">
        <v>4022</v>
      </c>
      <c r="C343" s="38">
        <v>43.698</v>
      </c>
      <c r="D343" s="24">
        <f xml:space="preserve"> C343 / (24 * 'VRP Solver Console'!C11)</f>
        <v>3.0345833333333332E-2</v>
      </c>
    </row>
    <row r="344" spans="1:4" x14ac:dyDescent="0.25">
      <c r="A344" s="23" t="s">
        <v>4017</v>
      </c>
      <c r="B344" s="23" t="s">
        <v>4023</v>
      </c>
      <c r="C344" s="39">
        <v>41.365000000000002</v>
      </c>
      <c r="D344" s="25">
        <f xml:space="preserve"> C344 / (24 * 'VRP Solver Console'!C11)</f>
        <v>2.8725694444444446E-2</v>
      </c>
    </row>
    <row r="345" spans="1:4" x14ac:dyDescent="0.25">
      <c r="A345" s="23" t="s">
        <v>4017</v>
      </c>
      <c r="B345" s="23" t="s">
        <v>4024</v>
      </c>
      <c r="C345" s="38">
        <v>1.9790000000000001</v>
      </c>
      <c r="D345" s="24">
        <f xml:space="preserve"> C345 / (24 * 'VRP Solver Console'!C11)</f>
        <v>1.3743055555555557E-3</v>
      </c>
    </row>
    <row r="346" spans="1:4" x14ac:dyDescent="0.25">
      <c r="A346" s="23" t="s">
        <v>4017</v>
      </c>
      <c r="B346" s="23" t="s">
        <v>4003</v>
      </c>
      <c r="C346" s="39">
        <v>43.473999999999997</v>
      </c>
      <c r="D346" s="25">
        <f xml:space="preserve"> C346 / (24 * 'VRP Solver Console'!C11)</f>
        <v>3.0190277777777774E-2</v>
      </c>
    </row>
    <row r="347" spans="1:4" x14ac:dyDescent="0.25">
      <c r="A347" s="23" t="s">
        <v>4018</v>
      </c>
      <c r="B347" s="23" t="s">
        <v>4028</v>
      </c>
      <c r="C347" s="38">
        <v>42.319000000000003</v>
      </c>
      <c r="D347" s="24">
        <f xml:space="preserve"> C347 / (24 * 'VRP Solver Console'!C11)</f>
        <v>2.9388194444444446E-2</v>
      </c>
    </row>
    <row r="348" spans="1:4" x14ac:dyDescent="0.25">
      <c r="A348" s="23" t="s">
        <v>4018</v>
      </c>
      <c r="B348" s="23" t="s">
        <v>4004</v>
      </c>
      <c r="C348" s="39">
        <v>42.905999999999999</v>
      </c>
      <c r="D348" s="25">
        <f xml:space="preserve"> C348 / (24 * 'VRP Solver Console'!C11)</f>
        <v>2.9795833333333334E-2</v>
      </c>
    </row>
    <row r="349" spans="1:4" x14ac:dyDescent="0.25">
      <c r="A349" s="23" t="s">
        <v>4018</v>
      </c>
      <c r="B349" s="23" t="s">
        <v>4005</v>
      </c>
      <c r="C349" s="38">
        <v>42.683</v>
      </c>
      <c r="D349" s="24">
        <f xml:space="preserve"> C349 / (24 * 'VRP Solver Console'!C11)</f>
        <v>2.9640972222222221E-2</v>
      </c>
    </row>
    <row r="350" spans="1:4" x14ac:dyDescent="0.25">
      <c r="A350" s="23" t="s">
        <v>4018</v>
      </c>
      <c r="B350" s="23" t="s">
        <v>4006</v>
      </c>
      <c r="C350" s="39">
        <v>43.936999999999998</v>
      </c>
      <c r="D350" s="25">
        <f xml:space="preserve"> C350 / (24 * 'VRP Solver Console'!C11)</f>
        <v>3.0511805555555552E-2</v>
      </c>
    </row>
    <row r="351" spans="1:4" x14ac:dyDescent="0.25">
      <c r="A351" s="23" t="s">
        <v>4018</v>
      </c>
      <c r="B351" s="23" t="s">
        <v>4007</v>
      </c>
      <c r="C351" s="38">
        <v>43.143999999999998</v>
      </c>
      <c r="D351" s="24">
        <f xml:space="preserve"> C351 / (24 * 'VRP Solver Console'!C11)</f>
        <v>2.9961111111111109E-2</v>
      </c>
    </row>
    <row r="352" spans="1:4" x14ac:dyDescent="0.25">
      <c r="A352" s="23" t="s">
        <v>4018</v>
      </c>
      <c r="B352" s="23" t="s">
        <v>4008</v>
      </c>
      <c r="C352" s="39">
        <v>42.438000000000002</v>
      </c>
      <c r="D352" s="25">
        <f xml:space="preserve"> C352 / (24 * 'VRP Solver Console'!C11)</f>
        <v>2.9470833333333335E-2</v>
      </c>
    </row>
    <row r="353" spans="1:4" x14ac:dyDescent="0.25">
      <c r="A353" s="23" t="s">
        <v>4018</v>
      </c>
      <c r="B353" s="23" t="s">
        <v>4009</v>
      </c>
      <c r="C353" s="38">
        <v>42.905999999999999</v>
      </c>
      <c r="D353" s="24">
        <f xml:space="preserve"> C353 / (24 * 'VRP Solver Console'!C11)</f>
        <v>2.9795833333333334E-2</v>
      </c>
    </row>
    <row r="354" spans="1:4" x14ac:dyDescent="0.25">
      <c r="A354" s="23" t="s">
        <v>4018</v>
      </c>
      <c r="B354" s="23" t="s">
        <v>4010</v>
      </c>
      <c r="C354" s="39">
        <v>42.966000000000001</v>
      </c>
      <c r="D354" s="25">
        <f xml:space="preserve"> C354 / (24 * 'VRP Solver Console'!C11)</f>
        <v>2.9837499999999999E-2</v>
      </c>
    </row>
    <row r="355" spans="1:4" x14ac:dyDescent="0.25">
      <c r="A355" s="23" t="s">
        <v>4018</v>
      </c>
      <c r="B355" s="23" t="s">
        <v>4011</v>
      </c>
      <c r="C355" s="38">
        <v>43.764000000000003</v>
      </c>
      <c r="D355" s="24">
        <f xml:space="preserve"> C355 / (24 * 'VRP Solver Console'!C11)</f>
        <v>3.0391666666666668E-2</v>
      </c>
    </row>
    <row r="356" spans="1:4" x14ac:dyDescent="0.25">
      <c r="A356" s="23" t="s">
        <v>4018</v>
      </c>
      <c r="B356" s="23" t="s">
        <v>4012</v>
      </c>
      <c r="C356" s="39">
        <v>44.673000000000002</v>
      </c>
      <c r="D356" s="25">
        <f xml:space="preserve"> C356 / (24 * 'VRP Solver Console'!C11)</f>
        <v>3.1022916666666667E-2</v>
      </c>
    </row>
    <row r="357" spans="1:4" x14ac:dyDescent="0.25">
      <c r="A357" s="23" t="s">
        <v>4018</v>
      </c>
      <c r="B357" s="23" t="s">
        <v>4013</v>
      </c>
      <c r="C357" s="38">
        <v>41.737000000000002</v>
      </c>
      <c r="D357" s="24">
        <f xml:space="preserve"> C357 / (24 * 'VRP Solver Console'!C11)</f>
        <v>2.8984027777777779E-2</v>
      </c>
    </row>
    <row r="358" spans="1:4" x14ac:dyDescent="0.25">
      <c r="A358" s="23" t="s">
        <v>4018</v>
      </c>
      <c r="B358" s="23" t="s">
        <v>4014</v>
      </c>
      <c r="C358" s="39">
        <v>41.033999999999999</v>
      </c>
      <c r="D358" s="25">
        <f xml:space="preserve"> C358 / (24 * 'VRP Solver Console'!C11)</f>
        <v>2.8495833333333331E-2</v>
      </c>
    </row>
    <row r="359" spans="1:4" x14ac:dyDescent="0.25">
      <c r="A359" s="23" t="s">
        <v>4018</v>
      </c>
      <c r="B359" s="23" t="s">
        <v>4015</v>
      </c>
      <c r="C359" s="38">
        <v>0</v>
      </c>
      <c r="D359" s="24">
        <f xml:space="preserve"> C359 / (24 * 'VRP Solver Console'!C11)</f>
        <v>0</v>
      </c>
    </row>
    <row r="360" spans="1:4" x14ac:dyDescent="0.25">
      <c r="A360" s="23" t="s">
        <v>4018</v>
      </c>
      <c r="B360" s="23" t="s">
        <v>4016</v>
      </c>
      <c r="C360" s="39">
        <v>0</v>
      </c>
      <c r="D360" s="25">
        <f xml:space="preserve"> C360 / (24 * 'VRP Solver Console'!C11)</f>
        <v>0</v>
      </c>
    </row>
    <row r="361" spans="1:4" x14ac:dyDescent="0.25">
      <c r="A361" s="23" t="s">
        <v>4018</v>
      </c>
      <c r="B361" s="23" t="s">
        <v>4017</v>
      </c>
      <c r="C361" s="38">
        <v>0</v>
      </c>
      <c r="D361" s="24">
        <f xml:space="preserve"> C361 / (24 * 'VRP Solver Console'!C11)</f>
        <v>0</v>
      </c>
    </row>
    <row r="362" spans="1:4" x14ac:dyDescent="0.25">
      <c r="A362" s="23" t="s">
        <v>4018</v>
      </c>
      <c r="B362" s="23" t="s">
        <v>4018</v>
      </c>
      <c r="C362" s="39">
        <v>0</v>
      </c>
      <c r="D362" s="25">
        <v>0</v>
      </c>
    </row>
    <row r="363" spans="1:4" x14ac:dyDescent="0.25">
      <c r="A363" s="23" t="s">
        <v>4018</v>
      </c>
      <c r="B363" s="23" t="s">
        <v>4019</v>
      </c>
      <c r="C363" s="38">
        <v>39.487000000000002</v>
      </c>
      <c r="D363" s="24">
        <f xml:space="preserve"> C363 / (24 * 'VRP Solver Console'!C11)</f>
        <v>2.7421527777777781E-2</v>
      </c>
    </row>
    <row r="364" spans="1:4" x14ac:dyDescent="0.25">
      <c r="A364" s="23" t="s">
        <v>4018</v>
      </c>
      <c r="B364" s="23" t="s">
        <v>4020</v>
      </c>
      <c r="C364" s="39">
        <v>43.552999999999997</v>
      </c>
      <c r="D364" s="25">
        <f xml:space="preserve"> C364 / (24 * 'VRP Solver Console'!C11)</f>
        <v>3.0245138888888887E-2</v>
      </c>
    </row>
    <row r="365" spans="1:4" x14ac:dyDescent="0.25">
      <c r="A365" s="23" t="s">
        <v>4018</v>
      </c>
      <c r="B365" s="23" t="s">
        <v>4021</v>
      </c>
      <c r="C365" s="38">
        <v>43.893999999999998</v>
      </c>
      <c r="D365" s="24">
        <f xml:space="preserve"> C365 / (24 * 'VRP Solver Console'!C11)</f>
        <v>3.0481944444444443E-2</v>
      </c>
    </row>
    <row r="366" spans="1:4" x14ac:dyDescent="0.25">
      <c r="A366" s="23" t="s">
        <v>4018</v>
      </c>
      <c r="B366" s="23" t="s">
        <v>4022</v>
      </c>
      <c r="C366" s="39">
        <v>43.698</v>
      </c>
      <c r="D366" s="25">
        <f xml:space="preserve"> C366 / (24 * 'VRP Solver Console'!C11)</f>
        <v>3.0345833333333332E-2</v>
      </c>
    </row>
    <row r="367" spans="1:4" x14ac:dyDescent="0.25">
      <c r="A367" s="23" t="s">
        <v>4018</v>
      </c>
      <c r="B367" s="23" t="s">
        <v>4023</v>
      </c>
      <c r="C367" s="38">
        <v>41.365000000000002</v>
      </c>
      <c r="D367" s="24">
        <f xml:space="preserve"> C367 / (24 * 'VRP Solver Console'!C11)</f>
        <v>2.8725694444444446E-2</v>
      </c>
    </row>
    <row r="368" spans="1:4" x14ac:dyDescent="0.25">
      <c r="A368" s="23" t="s">
        <v>4018</v>
      </c>
      <c r="B368" s="23" t="s">
        <v>4024</v>
      </c>
      <c r="C368" s="39">
        <v>1.9790000000000001</v>
      </c>
      <c r="D368" s="25">
        <f xml:space="preserve"> C368 / (24 * 'VRP Solver Console'!C11)</f>
        <v>1.3743055555555557E-3</v>
      </c>
    </row>
    <row r="369" spans="1:4" x14ac:dyDescent="0.25">
      <c r="A369" s="23" t="s">
        <v>4018</v>
      </c>
      <c r="B369" s="23" t="s">
        <v>4003</v>
      </c>
      <c r="C369" s="38">
        <v>43.473999999999997</v>
      </c>
      <c r="D369" s="24">
        <f xml:space="preserve"> C369 / (24 * 'VRP Solver Console'!C11)</f>
        <v>3.0190277777777774E-2</v>
      </c>
    </row>
    <row r="370" spans="1:4" x14ac:dyDescent="0.25">
      <c r="A370" s="23" t="s">
        <v>4019</v>
      </c>
      <c r="B370" s="23" t="s">
        <v>4028</v>
      </c>
      <c r="C370" s="39">
        <v>3.2549999999999999</v>
      </c>
      <c r="D370" s="25">
        <f xml:space="preserve"> C370 / (24 * 'VRP Solver Console'!C11)</f>
        <v>2.2604166666666667E-3</v>
      </c>
    </row>
    <row r="371" spans="1:4" x14ac:dyDescent="0.25">
      <c r="A371" s="23" t="s">
        <v>4019</v>
      </c>
      <c r="B371" s="23" t="s">
        <v>4004</v>
      </c>
      <c r="C371" s="38">
        <v>3.8420000000000001</v>
      </c>
      <c r="D371" s="24">
        <f xml:space="preserve"> C371 / (24 * 'VRP Solver Console'!C11)</f>
        <v>2.6680555555555555E-3</v>
      </c>
    </row>
    <row r="372" spans="1:4" x14ac:dyDescent="0.25">
      <c r="A372" s="23" t="s">
        <v>4019</v>
      </c>
      <c r="B372" s="23" t="s">
        <v>4005</v>
      </c>
      <c r="C372" s="39">
        <v>3.6190000000000002</v>
      </c>
      <c r="D372" s="25">
        <f xml:space="preserve"> C372 / (24 * 'VRP Solver Console'!C11)</f>
        <v>2.5131944444444446E-3</v>
      </c>
    </row>
    <row r="373" spans="1:4" x14ac:dyDescent="0.25">
      <c r="A373" s="23" t="s">
        <v>4019</v>
      </c>
      <c r="B373" s="23" t="s">
        <v>4006</v>
      </c>
      <c r="C373" s="38">
        <v>4.8730000000000002</v>
      </c>
      <c r="D373" s="24">
        <f xml:space="preserve"> C373 / (24 * 'VRP Solver Console'!C11)</f>
        <v>3.3840277777777779E-3</v>
      </c>
    </row>
    <row r="374" spans="1:4" x14ac:dyDescent="0.25">
      <c r="A374" s="23" t="s">
        <v>4019</v>
      </c>
      <c r="B374" s="23" t="s">
        <v>4007</v>
      </c>
      <c r="C374" s="39">
        <v>4.08</v>
      </c>
      <c r="D374" s="25">
        <f xml:space="preserve"> C374 / (24 * 'VRP Solver Console'!C11)</f>
        <v>2.8333333333333335E-3</v>
      </c>
    </row>
    <row r="375" spans="1:4" x14ac:dyDescent="0.25">
      <c r="A375" s="23" t="s">
        <v>4019</v>
      </c>
      <c r="B375" s="23" t="s">
        <v>4008</v>
      </c>
      <c r="C375" s="38">
        <v>3.3740000000000001</v>
      </c>
      <c r="D375" s="24">
        <f xml:space="preserve"> C375 / (24 * 'VRP Solver Console'!C11)</f>
        <v>2.3430555555555557E-3</v>
      </c>
    </row>
    <row r="376" spans="1:4" x14ac:dyDescent="0.25">
      <c r="A376" s="23" t="s">
        <v>4019</v>
      </c>
      <c r="B376" s="23" t="s">
        <v>4009</v>
      </c>
      <c r="C376" s="39">
        <v>3.8420000000000001</v>
      </c>
      <c r="D376" s="25">
        <f xml:space="preserve"> C376 / (24 * 'VRP Solver Console'!C11)</f>
        <v>2.6680555555555555E-3</v>
      </c>
    </row>
    <row r="377" spans="1:4" x14ac:dyDescent="0.25">
      <c r="A377" s="23" t="s">
        <v>4019</v>
      </c>
      <c r="B377" s="23" t="s">
        <v>4010</v>
      </c>
      <c r="C377" s="38">
        <v>3.9020000000000001</v>
      </c>
      <c r="D377" s="24">
        <f xml:space="preserve"> C377 / (24 * 'VRP Solver Console'!C11)</f>
        <v>2.7097222222222223E-3</v>
      </c>
    </row>
    <row r="378" spans="1:4" x14ac:dyDescent="0.25">
      <c r="A378" s="23" t="s">
        <v>4019</v>
      </c>
      <c r="B378" s="23" t="s">
        <v>4011</v>
      </c>
      <c r="C378" s="39">
        <v>4.7</v>
      </c>
      <c r="D378" s="25">
        <f xml:space="preserve"> C378 / (24 * 'VRP Solver Console'!C11)</f>
        <v>3.2638888888888891E-3</v>
      </c>
    </row>
    <row r="379" spans="1:4" x14ac:dyDescent="0.25">
      <c r="A379" s="23" t="s">
        <v>4019</v>
      </c>
      <c r="B379" s="23" t="s">
        <v>4012</v>
      </c>
      <c r="C379" s="38">
        <v>5.609</v>
      </c>
      <c r="D379" s="24">
        <f xml:space="preserve"> C379 / (24 * 'VRP Solver Console'!C11)</f>
        <v>3.895138888888889E-3</v>
      </c>
    </row>
    <row r="380" spans="1:4" x14ac:dyDescent="0.25">
      <c r="A380" s="23" t="s">
        <v>4019</v>
      </c>
      <c r="B380" s="23" t="s">
        <v>4013</v>
      </c>
      <c r="C380" s="39">
        <v>2.673</v>
      </c>
      <c r="D380" s="25">
        <f xml:space="preserve"> C380 / (24 * 'VRP Solver Console'!C11)</f>
        <v>1.85625E-3</v>
      </c>
    </row>
    <row r="381" spans="1:4" x14ac:dyDescent="0.25">
      <c r="A381" s="23" t="s">
        <v>4019</v>
      </c>
      <c r="B381" s="23" t="s">
        <v>4014</v>
      </c>
      <c r="C381" s="38">
        <v>1.97</v>
      </c>
      <c r="D381" s="24">
        <f xml:space="preserve"> C381 / (24 * 'VRP Solver Console'!C11)</f>
        <v>1.3680555555555555E-3</v>
      </c>
    </row>
    <row r="382" spans="1:4" x14ac:dyDescent="0.25">
      <c r="A382" s="23" t="s">
        <v>4019</v>
      </c>
      <c r="B382" s="23" t="s">
        <v>4015</v>
      </c>
      <c r="C382" s="39">
        <v>39.246000000000002</v>
      </c>
      <c r="D382" s="25">
        <f xml:space="preserve"> C382 / (24 * 'VRP Solver Console'!C11)</f>
        <v>2.725416666666667E-2</v>
      </c>
    </row>
    <row r="383" spans="1:4" x14ac:dyDescent="0.25">
      <c r="A383" s="23" t="s">
        <v>4019</v>
      </c>
      <c r="B383" s="23" t="s">
        <v>4016</v>
      </c>
      <c r="C383" s="38">
        <v>39.246000000000002</v>
      </c>
      <c r="D383" s="24">
        <f xml:space="preserve"> C383 / (24 * 'VRP Solver Console'!C11)</f>
        <v>2.725416666666667E-2</v>
      </c>
    </row>
    <row r="384" spans="1:4" x14ac:dyDescent="0.25">
      <c r="A384" s="23" t="s">
        <v>4019</v>
      </c>
      <c r="B384" s="23" t="s">
        <v>4017</v>
      </c>
      <c r="C384" s="39">
        <v>39.246000000000002</v>
      </c>
      <c r="D384" s="25">
        <f xml:space="preserve"> C384 / (24 * 'VRP Solver Console'!C11)</f>
        <v>2.725416666666667E-2</v>
      </c>
    </row>
    <row r="385" spans="1:4" x14ac:dyDescent="0.25">
      <c r="A385" s="23" t="s">
        <v>4019</v>
      </c>
      <c r="B385" s="23" t="s">
        <v>4018</v>
      </c>
      <c r="C385" s="38">
        <v>39.246000000000002</v>
      </c>
      <c r="D385" s="24">
        <f xml:space="preserve"> C385 / (24 * 'VRP Solver Console'!C11)</f>
        <v>2.725416666666667E-2</v>
      </c>
    </row>
    <row r="386" spans="1:4" x14ac:dyDescent="0.25">
      <c r="A386" s="23" t="s">
        <v>4019</v>
      </c>
      <c r="B386" s="23" t="s">
        <v>4019</v>
      </c>
      <c r="C386" s="39">
        <v>0</v>
      </c>
      <c r="D386" s="25">
        <v>0</v>
      </c>
    </row>
    <row r="387" spans="1:4" x14ac:dyDescent="0.25">
      <c r="A387" s="23" t="s">
        <v>4019</v>
      </c>
      <c r="B387" s="23" t="s">
        <v>4020</v>
      </c>
      <c r="C387" s="38">
        <v>4.4889999999999999</v>
      </c>
      <c r="D387" s="24">
        <f xml:space="preserve"> C387 / (24 * 'VRP Solver Console'!C11)</f>
        <v>3.1173611111111111E-3</v>
      </c>
    </row>
    <row r="388" spans="1:4" x14ac:dyDescent="0.25">
      <c r="A388" s="23" t="s">
        <v>4019</v>
      </c>
      <c r="B388" s="23" t="s">
        <v>4021</v>
      </c>
      <c r="C388" s="39">
        <v>4.83</v>
      </c>
      <c r="D388" s="25">
        <f xml:space="preserve"> C388 / (24 * 'VRP Solver Console'!C11)</f>
        <v>3.3541666666666668E-3</v>
      </c>
    </row>
    <row r="389" spans="1:4" x14ac:dyDescent="0.25">
      <c r="A389" s="23" t="s">
        <v>4019</v>
      </c>
      <c r="B389" s="23" t="s">
        <v>4022</v>
      </c>
      <c r="C389" s="38">
        <v>4.6340000000000003</v>
      </c>
      <c r="D389" s="24">
        <f xml:space="preserve"> C389 / (24 * 'VRP Solver Console'!C11)</f>
        <v>3.2180555555555556E-3</v>
      </c>
    </row>
    <row r="390" spans="1:4" x14ac:dyDescent="0.25">
      <c r="A390" s="23" t="s">
        <v>4019</v>
      </c>
      <c r="B390" s="23" t="s">
        <v>4023</v>
      </c>
      <c r="C390" s="39">
        <v>2.3010000000000002</v>
      </c>
      <c r="D390" s="25">
        <f xml:space="preserve"> C390 / (24 * 'VRP Solver Console'!C11)</f>
        <v>1.5979166666666668E-3</v>
      </c>
    </row>
    <row r="391" spans="1:4" x14ac:dyDescent="0.25">
      <c r="A391" s="23" t="s">
        <v>4019</v>
      </c>
      <c r="B391" s="23" t="s">
        <v>4024</v>
      </c>
      <c r="C391" s="38">
        <v>37.173999999999999</v>
      </c>
      <c r="D391" s="24">
        <f xml:space="preserve"> C391 / (24 * 'VRP Solver Console'!C11)</f>
        <v>2.5815277777777777E-2</v>
      </c>
    </row>
    <row r="392" spans="1:4" x14ac:dyDescent="0.25">
      <c r="A392" s="23" t="s">
        <v>4019</v>
      </c>
      <c r="B392" s="23" t="s">
        <v>4003</v>
      </c>
      <c r="C392" s="39">
        <v>4.41</v>
      </c>
      <c r="D392" s="25">
        <f xml:space="preserve"> C392 / (24 * 'VRP Solver Console'!C11)</f>
        <v>3.0625000000000001E-3</v>
      </c>
    </row>
    <row r="393" spans="1:4" x14ac:dyDescent="0.25">
      <c r="A393" s="23" t="s">
        <v>4020</v>
      </c>
      <c r="B393" s="23" t="s">
        <v>4028</v>
      </c>
      <c r="C393" s="38">
        <v>1.3360000000000001</v>
      </c>
      <c r="D393" s="24">
        <f xml:space="preserve"> C393 / (24 * 'VRP Solver Console'!C11)</f>
        <v>9.277777777777778E-4</v>
      </c>
    </row>
    <row r="394" spans="1:4" x14ac:dyDescent="0.25">
      <c r="A394" s="23" t="s">
        <v>4020</v>
      </c>
      <c r="B394" s="23" t="s">
        <v>4004</v>
      </c>
      <c r="C394" s="39">
        <v>0.93400000000000005</v>
      </c>
      <c r="D394" s="25">
        <f xml:space="preserve"> C394 / (24 * 'VRP Solver Console'!C11)</f>
        <v>6.486111111111112E-4</v>
      </c>
    </row>
    <row r="395" spans="1:4" x14ac:dyDescent="0.25">
      <c r="A395" s="23" t="s">
        <v>4020</v>
      </c>
      <c r="B395" s="23" t="s">
        <v>4005</v>
      </c>
      <c r="C395" s="38">
        <v>1.766</v>
      </c>
      <c r="D395" s="24">
        <f xml:space="preserve"> C395 / (24 * 'VRP Solver Console'!C11)</f>
        <v>1.2263888888888888E-3</v>
      </c>
    </row>
    <row r="396" spans="1:4" x14ac:dyDescent="0.25">
      <c r="A396" s="23" t="s">
        <v>4020</v>
      </c>
      <c r="B396" s="23" t="s">
        <v>4006</v>
      </c>
      <c r="C396" s="39">
        <v>0.84899999999999998</v>
      </c>
      <c r="D396" s="25">
        <f xml:space="preserve"> C396 / (24 * 'VRP Solver Console'!C11)</f>
        <v>5.8958333333333334E-4</v>
      </c>
    </row>
    <row r="397" spans="1:4" x14ac:dyDescent="0.25">
      <c r="A397" s="23" t="s">
        <v>4020</v>
      </c>
      <c r="B397" s="23" t="s">
        <v>4007</v>
      </c>
      <c r="C397" s="38">
        <v>2.911</v>
      </c>
      <c r="D397" s="24">
        <f xml:space="preserve"> C397 / (24 * 'VRP Solver Console'!C11)</f>
        <v>2.0215277777777779E-3</v>
      </c>
    </row>
    <row r="398" spans="1:4" x14ac:dyDescent="0.25">
      <c r="A398" s="23" t="s">
        <v>4020</v>
      </c>
      <c r="B398" s="23" t="s">
        <v>4008</v>
      </c>
      <c r="C398" s="39">
        <v>1.4790000000000001</v>
      </c>
      <c r="D398" s="25">
        <f xml:space="preserve"> C398 / (24 * 'VRP Solver Console'!C11)</f>
        <v>1.0270833333333334E-3</v>
      </c>
    </row>
    <row r="399" spans="1:4" x14ac:dyDescent="0.25">
      <c r="A399" s="23" t="s">
        <v>4020</v>
      </c>
      <c r="B399" s="23" t="s">
        <v>4009</v>
      </c>
      <c r="C399" s="38">
        <v>0.93400000000000005</v>
      </c>
      <c r="D399" s="24">
        <f xml:space="preserve"> C399 / (24 * 'VRP Solver Console'!C11)</f>
        <v>6.486111111111112E-4</v>
      </c>
    </row>
    <row r="400" spans="1:4" x14ac:dyDescent="0.25">
      <c r="A400" s="23" t="s">
        <v>4020</v>
      </c>
      <c r="B400" s="23" t="s">
        <v>4010</v>
      </c>
      <c r="C400" s="39">
        <v>0.36599999999999999</v>
      </c>
      <c r="D400" s="25">
        <f xml:space="preserve"> C400 / (24 * 'VRP Solver Console'!C11)</f>
        <v>2.5416666666666665E-4</v>
      </c>
    </row>
    <row r="401" spans="1:4" x14ac:dyDescent="0.25">
      <c r="A401" s="23" t="s">
        <v>4020</v>
      </c>
      <c r="B401" s="23" t="s">
        <v>4011</v>
      </c>
      <c r="C401" s="38">
        <v>0.621</v>
      </c>
      <c r="D401" s="24">
        <f xml:space="preserve"> C401 / (24 * 'VRP Solver Console'!C11)</f>
        <v>4.3124999999999999E-4</v>
      </c>
    </row>
    <row r="402" spans="1:4" x14ac:dyDescent="0.25">
      <c r="A402" s="23" t="s">
        <v>4020</v>
      </c>
      <c r="B402" s="23" t="s">
        <v>4012</v>
      </c>
      <c r="C402" s="39">
        <v>1.968</v>
      </c>
      <c r="D402" s="25">
        <f xml:space="preserve"> C402 / (24 * 'VRP Solver Console'!C11)</f>
        <v>1.3666666666666666E-3</v>
      </c>
    </row>
    <row r="403" spans="1:4" x14ac:dyDescent="0.25">
      <c r="A403" s="23" t="s">
        <v>4020</v>
      </c>
      <c r="B403" s="23" t="s">
        <v>4013</v>
      </c>
      <c r="C403" s="38">
        <v>3.0409999999999999</v>
      </c>
      <c r="D403" s="24">
        <f xml:space="preserve"> C403 / (24 * 'VRP Solver Console'!C11)</f>
        <v>2.1118055555555556E-3</v>
      </c>
    </row>
    <row r="404" spans="1:4" x14ac:dyDescent="0.25">
      <c r="A404" s="23" t="s">
        <v>4020</v>
      </c>
      <c r="B404" s="23" t="s">
        <v>4014</v>
      </c>
      <c r="C404" s="39">
        <v>3.024</v>
      </c>
      <c r="D404" s="25">
        <f xml:space="preserve"> C404 / (24 * 'VRP Solver Console'!C11)</f>
        <v>2.0999999999999999E-3</v>
      </c>
    </row>
    <row r="405" spans="1:4" x14ac:dyDescent="0.25">
      <c r="A405" s="23" t="s">
        <v>4020</v>
      </c>
      <c r="B405" s="23" t="s">
        <v>4015</v>
      </c>
      <c r="C405" s="38">
        <v>44.137999999999998</v>
      </c>
      <c r="D405" s="24">
        <f xml:space="preserve"> C405 / (24 * 'VRP Solver Console'!C11)</f>
        <v>3.0651388888888888E-2</v>
      </c>
    </row>
    <row r="406" spans="1:4" x14ac:dyDescent="0.25">
      <c r="A406" s="23" t="s">
        <v>4020</v>
      </c>
      <c r="B406" s="23" t="s">
        <v>4016</v>
      </c>
      <c r="C406" s="39">
        <v>44.137999999999998</v>
      </c>
      <c r="D406" s="25">
        <f xml:space="preserve"> C406 / (24 * 'VRP Solver Console'!C11)</f>
        <v>3.0651388888888888E-2</v>
      </c>
    </row>
    <row r="407" spans="1:4" x14ac:dyDescent="0.25">
      <c r="A407" s="23" t="s">
        <v>4020</v>
      </c>
      <c r="B407" s="23" t="s">
        <v>4017</v>
      </c>
      <c r="C407" s="38">
        <v>44.137999999999998</v>
      </c>
      <c r="D407" s="24">
        <f xml:space="preserve"> C407 / (24 * 'VRP Solver Console'!C11)</f>
        <v>3.0651388888888888E-2</v>
      </c>
    </row>
    <row r="408" spans="1:4" x14ac:dyDescent="0.25">
      <c r="A408" s="23" t="s">
        <v>4020</v>
      </c>
      <c r="B408" s="23" t="s">
        <v>4018</v>
      </c>
      <c r="C408" s="39">
        <v>44.137999999999998</v>
      </c>
      <c r="D408" s="25">
        <f xml:space="preserve"> C408 / (24 * 'VRP Solver Console'!C11)</f>
        <v>3.0651388888888888E-2</v>
      </c>
    </row>
    <row r="409" spans="1:4" x14ac:dyDescent="0.25">
      <c r="A409" s="23" t="s">
        <v>4020</v>
      </c>
      <c r="B409" s="23" t="s">
        <v>4019</v>
      </c>
      <c r="C409" s="38">
        <v>5.2649999999999997</v>
      </c>
      <c r="D409" s="24">
        <f xml:space="preserve"> C409 / (24 * 'VRP Solver Console'!C11)</f>
        <v>3.6562499999999998E-3</v>
      </c>
    </row>
    <row r="410" spans="1:4" x14ac:dyDescent="0.25">
      <c r="A410" s="23" t="s">
        <v>4020</v>
      </c>
      <c r="B410" s="23" t="s">
        <v>4020</v>
      </c>
      <c r="C410" s="39">
        <v>0</v>
      </c>
      <c r="D410" s="25">
        <v>0</v>
      </c>
    </row>
    <row r="411" spans="1:4" x14ac:dyDescent="0.25">
      <c r="A411" s="23" t="s">
        <v>4020</v>
      </c>
      <c r="B411" s="23" t="s">
        <v>4021</v>
      </c>
      <c r="C411" s="38">
        <v>1.1890000000000001</v>
      </c>
      <c r="D411" s="24">
        <f xml:space="preserve"> C411 / (24 * 'VRP Solver Console'!C11)</f>
        <v>8.2569444444444444E-4</v>
      </c>
    </row>
    <row r="412" spans="1:4" x14ac:dyDescent="0.25">
      <c r="A412" s="23" t="s">
        <v>4020</v>
      </c>
      <c r="B412" s="23" t="s">
        <v>4022</v>
      </c>
      <c r="C412" s="39">
        <v>0.55500000000000005</v>
      </c>
      <c r="D412" s="25">
        <f xml:space="preserve"> C412 / (24 * 'VRP Solver Console'!C11)</f>
        <v>3.8541666666666672E-4</v>
      </c>
    </row>
    <row r="413" spans="1:4" x14ac:dyDescent="0.25">
      <c r="A413" s="23" t="s">
        <v>4020</v>
      </c>
      <c r="B413" s="23" t="s">
        <v>4023</v>
      </c>
      <c r="C413" s="38">
        <v>4.774</v>
      </c>
      <c r="D413" s="24">
        <f xml:space="preserve"> C413 / (24 * 'VRP Solver Console'!C11)</f>
        <v>3.3152777777777777E-3</v>
      </c>
    </row>
    <row r="414" spans="1:4" x14ac:dyDescent="0.25">
      <c r="A414" s="23" t="s">
        <v>4020</v>
      </c>
      <c r="B414" s="23" t="s">
        <v>4024</v>
      </c>
      <c r="C414" s="39">
        <v>42.066000000000003</v>
      </c>
      <c r="D414" s="25">
        <f xml:space="preserve"> C414 / (24 * 'VRP Solver Console'!C11)</f>
        <v>2.9212500000000002E-2</v>
      </c>
    </row>
    <row r="415" spans="1:4" x14ac:dyDescent="0.25">
      <c r="A415" s="23" t="s">
        <v>4020</v>
      </c>
      <c r="B415" s="23" t="s">
        <v>4003</v>
      </c>
      <c r="C415" s="38">
        <v>0.76900000000000002</v>
      </c>
      <c r="D415" s="24">
        <f xml:space="preserve"> C415 / (24 * 'VRP Solver Console'!C11)</f>
        <v>5.340277777777778E-4</v>
      </c>
    </row>
    <row r="416" spans="1:4" x14ac:dyDescent="0.25">
      <c r="A416" s="23" t="s">
        <v>4021</v>
      </c>
      <c r="B416" s="23" t="s">
        <v>4028</v>
      </c>
      <c r="C416" s="39">
        <v>1.8169999999999999</v>
      </c>
      <c r="D416" s="25">
        <f xml:space="preserve"> C416 / (24 * 'VRP Solver Console'!C11)</f>
        <v>1.2618055555555555E-3</v>
      </c>
    </row>
    <row r="417" spans="1:4" x14ac:dyDescent="0.25">
      <c r="A417" s="23" t="s">
        <v>4021</v>
      </c>
      <c r="B417" s="23" t="s">
        <v>4004</v>
      </c>
      <c r="C417" s="38">
        <v>1.927</v>
      </c>
      <c r="D417" s="24">
        <f xml:space="preserve"> C417 / (24 * 'VRP Solver Console'!C11)</f>
        <v>1.3381944444444444E-3</v>
      </c>
    </row>
    <row r="418" spans="1:4" x14ac:dyDescent="0.25">
      <c r="A418" s="23" t="s">
        <v>4021</v>
      </c>
      <c r="B418" s="23" t="s">
        <v>4005</v>
      </c>
      <c r="C418" s="39">
        <v>2.5739999999999998</v>
      </c>
      <c r="D418" s="25">
        <f xml:space="preserve"> C418 / (24 * 'VRP Solver Console'!C11)</f>
        <v>1.7874999999999998E-3</v>
      </c>
    </row>
    <row r="419" spans="1:4" x14ac:dyDescent="0.25">
      <c r="A419" s="23" t="s">
        <v>4021</v>
      </c>
      <c r="B419" s="23" t="s">
        <v>4006</v>
      </c>
      <c r="C419" s="38">
        <v>1.179</v>
      </c>
      <c r="D419" s="24">
        <f xml:space="preserve"> C419 / (24 * 'VRP Solver Console'!C11)</f>
        <v>8.1875000000000003E-4</v>
      </c>
    </row>
    <row r="420" spans="1:4" x14ac:dyDescent="0.25">
      <c r="A420" s="23" t="s">
        <v>4021</v>
      </c>
      <c r="B420" s="23" t="s">
        <v>4007</v>
      </c>
      <c r="C420" s="39">
        <v>3.7189999999999999</v>
      </c>
      <c r="D420" s="25">
        <f xml:space="preserve"> C420 / (24 * 'VRP Solver Console'!C11)</f>
        <v>2.5826388888888887E-3</v>
      </c>
    </row>
    <row r="421" spans="1:4" x14ac:dyDescent="0.25">
      <c r="A421" s="23" t="s">
        <v>4021</v>
      </c>
      <c r="B421" s="23" t="s">
        <v>4008</v>
      </c>
      <c r="C421" s="38">
        <v>2.2530000000000001</v>
      </c>
      <c r="D421" s="24">
        <f xml:space="preserve"> C421 / (24 * 'VRP Solver Console'!C11)</f>
        <v>1.5645833333333334E-3</v>
      </c>
    </row>
    <row r="422" spans="1:4" x14ac:dyDescent="0.25">
      <c r="A422" s="23" t="s">
        <v>4021</v>
      </c>
      <c r="B422" s="23" t="s">
        <v>4009</v>
      </c>
      <c r="C422" s="39">
        <v>1.927</v>
      </c>
      <c r="D422" s="25">
        <f xml:space="preserve"> C422 / (24 * 'VRP Solver Console'!C11)</f>
        <v>1.3381944444444444E-3</v>
      </c>
    </row>
    <row r="423" spans="1:4" x14ac:dyDescent="0.25">
      <c r="A423" s="23" t="s">
        <v>4021</v>
      </c>
      <c r="B423" s="23" t="s">
        <v>4010</v>
      </c>
      <c r="C423" s="38">
        <v>0.76100000000000001</v>
      </c>
      <c r="D423" s="24">
        <f xml:space="preserve"> C423 / (24 * 'VRP Solver Console'!C11)</f>
        <v>5.2847222222222228E-4</v>
      </c>
    </row>
    <row r="424" spans="1:4" x14ac:dyDescent="0.25">
      <c r="A424" s="23" t="s">
        <v>4021</v>
      </c>
      <c r="B424" s="23" t="s">
        <v>4011</v>
      </c>
      <c r="C424" s="39">
        <v>1.006</v>
      </c>
      <c r="D424" s="25">
        <f xml:space="preserve"> C424 / (24 * 'VRP Solver Console'!C11)</f>
        <v>6.9861111111111111E-4</v>
      </c>
    </row>
    <row r="425" spans="1:4" x14ac:dyDescent="0.25">
      <c r="A425" s="23" t="s">
        <v>4021</v>
      </c>
      <c r="B425" s="23" t="s">
        <v>4012</v>
      </c>
      <c r="C425" s="38">
        <v>1.1419999999999999</v>
      </c>
      <c r="D425" s="24">
        <f xml:space="preserve"> C425 / (24 * 'VRP Solver Console'!C11)</f>
        <v>7.9305555555555553E-4</v>
      </c>
    </row>
    <row r="426" spans="1:4" x14ac:dyDescent="0.25">
      <c r="A426" s="23" t="s">
        <v>4021</v>
      </c>
      <c r="B426" s="23" t="s">
        <v>4013</v>
      </c>
      <c r="C426" s="39">
        <v>4.2169999999999996</v>
      </c>
      <c r="D426" s="25">
        <f xml:space="preserve"> C426 / (24 * 'VRP Solver Console'!C11)</f>
        <v>2.9284722222222221E-3</v>
      </c>
    </row>
    <row r="427" spans="1:4" x14ac:dyDescent="0.25">
      <c r="A427" s="23" t="s">
        <v>4021</v>
      </c>
      <c r="B427" s="23" t="s">
        <v>4014</v>
      </c>
      <c r="C427" s="38">
        <v>1.8340000000000001</v>
      </c>
      <c r="D427" s="24">
        <f xml:space="preserve"> C427 / (24 * 'VRP Solver Console'!C11)</f>
        <v>1.2736111111111112E-3</v>
      </c>
    </row>
    <row r="428" spans="1:4" x14ac:dyDescent="0.25">
      <c r="A428" s="23" t="s">
        <v>4021</v>
      </c>
      <c r="B428" s="23" t="s">
        <v>4015</v>
      </c>
      <c r="C428" s="39">
        <v>42.948</v>
      </c>
      <c r="D428" s="25">
        <f xml:space="preserve"> C428 / (24 * 'VRP Solver Console'!C11)</f>
        <v>2.9825000000000001E-2</v>
      </c>
    </row>
    <row r="429" spans="1:4" x14ac:dyDescent="0.25">
      <c r="A429" s="23" t="s">
        <v>4021</v>
      </c>
      <c r="B429" s="23" t="s">
        <v>4016</v>
      </c>
      <c r="C429" s="38">
        <v>42.948</v>
      </c>
      <c r="D429" s="24">
        <f xml:space="preserve"> C429 / (24 * 'VRP Solver Console'!C11)</f>
        <v>2.9825000000000001E-2</v>
      </c>
    </row>
    <row r="430" spans="1:4" x14ac:dyDescent="0.25">
      <c r="A430" s="23" t="s">
        <v>4021</v>
      </c>
      <c r="B430" s="23" t="s">
        <v>4017</v>
      </c>
      <c r="C430" s="39">
        <v>42.948</v>
      </c>
      <c r="D430" s="25">
        <f xml:space="preserve"> C430 / (24 * 'VRP Solver Console'!C11)</f>
        <v>2.9825000000000001E-2</v>
      </c>
    </row>
    <row r="431" spans="1:4" x14ac:dyDescent="0.25">
      <c r="A431" s="23" t="s">
        <v>4021</v>
      </c>
      <c r="B431" s="23" t="s">
        <v>4018</v>
      </c>
      <c r="C431" s="38">
        <v>42.948</v>
      </c>
      <c r="D431" s="24">
        <f xml:space="preserve"> C431 / (24 * 'VRP Solver Console'!C11)</f>
        <v>2.9825000000000001E-2</v>
      </c>
    </row>
    <row r="432" spans="1:4" x14ac:dyDescent="0.25">
      <c r="A432" s="23" t="s">
        <v>4021</v>
      </c>
      <c r="B432" s="23" t="s">
        <v>4019</v>
      </c>
      <c r="C432" s="39">
        <v>4.0750000000000002</v>
      </c>
      <c r="D432" s="25">
        <f xml:space="preserve"> C432 / (24 * 'VRP Solver Console'!C11)</f>
        <v>2.8298611111111111E-3</v>
      </c>
    </row>
    <row r="433" spans="1:4" x14ac:dyDescent="0.25">
      <c r="A433" s="23" t="s">
        <v>4021</v>
      </c>
      <c r="B433" s="23" t="s">
        <v>4020</v>
      </c>
      <c r="C433" s="38">
        <v>0.79500000000000004</v>
      </c>
      <c r="D433" s="24">
        <f xml:space="preserve"> C433 / (24 * 'VRP Solver Console'!C11)</f>
        <v>5.5208333333333335E-4</v>
      </c>
    </row>
    <row r="434" spans="1:4" x14ac:dyDescent="0.25">
      <c r="A434" s="23" t="s">
        <v>4021</v>
      </c>
      <c r="B434" s="23" t="s">
        <v>4021</v>
      </c>
      <c r="C434" s="39">
        <v>0</v>
      </c>
      <c r="D434" s="25">
        <v>0</v>
      </c>
    </row>
    <row r="435" spans="1:4" x14ac:dyDescent="0.25">
      <c r="A435" s="23" t="s">
        <v>4021</v>
      </c>
      <c r="B435" s="23" t="s">
        <v>4022</v>
      </c>
      <c r="C435" s="38">
        <v>0.94</v>
      </c>
      <c r="D435" s="24">
        <f xml:space="preserve"> C435 / (24 * 'VRP Solver Console'!C11)</f>
        <v>6.5277777777777773E-4</v>
      </c>
    </row>
    <row r="436" spans="1:4" x14ac:dyDescent="0.25">
      <c r="A436" s="23" t="s">
        <v>4021</v>
      </c>
      <c r="B436" s="23" t="s">
        <v>4023</v>
      </c>
      <c r="C436" s="39">
        <v>3.5840000000000001</v>
      </c>
      <c r="D436" s="25">
        <f xml:space="preserve"> C436 / (24 * 'VRP Solver Console'!C11)</f>
        <v>2.488888888888889E-3</v>
      </c>
    </row>
    <row r="437" spans="1:4" x14ac:dyDescent="0.25">
      <c r="A437" s="23" t="s">
        <v>4021</v>
      </c>
      <c r="B437" s="23" t="s">
        <v>4024</v>
      </c>
      <c r="C437" s="38">
        <v>40.875999999999998</v>
      </c>
      <c r="D437" s="24">
        <f xml:space="preserve"> C437 / (24 * 'VRP Solver Console'!C11)</f>
        <v>2.8386111111111108E-2</v>
      </c>
    </row>
    <row r="438" spans="1:4" x14ac:dyDescent="0.25">
      <c r="A438" s="23" t="s">
        <v>4021</v>
      </c>
      <c r="B438" s="23" t="s">
        <v>4003</v>
      </c>
      <c r="C438" s="39">
        <v>0.71599999999999997</v>
      </c>
      <c r="D438" s="25">
        <f xml:space="preserve"> C438 / (24 * 'VRP Solver Console'!C11)</f>
        <v>4.9722222222222225E-4</v>
      </c>
    </row>
    <row r="439" spans="1:4" x14ac:dyDescent="0.25">
      <c r="A439" s="23" t="s">
        <v>4022</v>
      </c>
      <c r="B439" s="23" t="s">
        <v>4028</v>
      </c>
      <c r="C439" s="38">
        <v>1.8080000000000001</v>
      </c>
      <c r="D439" s="24">
        <f xml:space="preserve"> C439 / (24 * 'VRP Solver Console'!C11)</f>
        <v>1.2555555555555555E-3</v>
      </c>
    </row>
    <row r="440" spans="1:4" x14ac:dyDescent="0.25">
      <c r="A440" s="23" t="s">
        <v>4022</v>
      </c>
      <c r="B440" s="23" t="s">
        <v>4004</v>
      </c>
      <c r="C440" s="39">
        <v>1.33</v>
      </c>
      <c r="D440" s="25">
        <f xml:space="preserve"> C440 / (24 * 'VRP Solver Console'!C11)</f>
        <v>9.2361111111111116E-4</v>
      </c>
    </row>
    <row r="441" spans="1:4" x14ac:dyDescent="0.25">
      <c r="A441" s="23" t="s">
        <v>4022</v>
      </c>
      <c r="B441" s="23" t="s">
        <v>4005</v>
      </c>
      <c r="C441" s="38">
        <v>1.929</v>
      </c>
      <c r="D441" s="24">
        <f xml:space="preserve"> C441 / (24 * 'VRP Solver Console'!C11)</f>
        <v>1.3395833333333335E-3</v>
      </c>
    </row>
    <row r="442" spans="1:4" x14ac:dyDescent="0.25">
      <c r="A442" s="23" t="s">
        <v>4022</v>
      </c>
      <c r="B442" s="23" t="s">
        <v>4006</v>
      </c>
      <c r="C442" s="39">
        <v>0.317</v>
      </c>
      <c r="D442" s="25">
        <f xml:space="preserve"> C442 / (24 * 'VRP Solver Console'!C11)</f>
        <v>2.2013888888888889E-4</v>
      </c>
    </row>
    <row r="443" spans="1:4" x14ac:dyDescent="0.25">
      <c r="A443" s="23" t="s">
        <v>4022</v>
      </c>
      <c r="B443" s="23" t="s">
        <v>4007</v>
      </c>
      <c r="C443" s="38">
        <v>2.1640000000000001</v>
      </c>
      <c r="D443" s="24">
        <f xml:space="preserve"> C443 / (24 * 'VRP Solver Console'!C11)</f>
        <v>1.5027777777777778E-3</v>
      </c>
    </row>
    <row r="444" spans="1:4" x14ac:dyDescent="0.25">
      <c r="A444" s="23" t="s">
        <v>4022</v>
      </c>
      <c r="B444" s="23" t="s">
        <v>4008</v>
      </c>
      <c r="C444" s="39">
        <v>1.875</v>
      </c>
      <c r="D444" s="25">
        <f xml:space="preserve"> C444 / (24 * 'VRP Solver Console'!C11)</f>
        <v>1.3020833333333333E-3</v>
      </c>
    </row>
    <row r="445" spans="1:4" x14ac:dyDescent="0.25">
      <c r="A445" s="23" t="s">
        <v>4022</v>
      </c>
      <c r="B445" s="23" t="s">
        <v>4009</v>
      </c>
      <c r="C445" s="38">
        <v>1.33</v>
      </c>
      <c r="D445" s="24">
        <f xml:space="preserve"> C445 / (24 * 'VRP Solver Console'!C11)</f>
        <v>9.2361111111111116E-4</v>
      </c>
    </row>
    <row r="446" spans="1:4" x14ac:dyDescent="0.25">
      <c r="A446" s="23" t="s">
        <v>4022</v>
      </c>
      <c r="B446" s="23" t="s">
        <v>4010</v>
      </c>
      <c r="C446" s="39">
        <v>0.96</v>
      </c>
      <c r="D446" s="25">
        <f xml:space="preserve"> C446 / (24 * 'VRP Solver Console'!C11)</f>
        <v>6.6666666666666664E-4</v>
      </c>
    </row>
    <row r="447" spans="1:4" x14ac:dyDescent="0.25">
      <c r="A447" s="23" t="s">
        <v>4022</v>
      </c>
      <c r="B447" s="23" t="s">
        <v>4011</v>
      </c>
      <c r="C447" s="38">
        <v>0.54500000000000004</v>
      </c>
      <c r="D447" s="24">
        <f xml:space="preserve"> C447 / (24 * 'VRP Solver Console'!C11)</f>
        <v>3.7847222222222226E-4</v>
      </c>
    </row>
    <row r="448" spans="1:4" x14ac:dyDescent="0.25">
      <c r="A448" s="23" t="s">
        <v>4022</v>
      </c>
      <c r="B448" s="23" t="s">
        <v>4012</v>
      </c>
      <c r="C448" s="39">
        <v>2.0790000000000002</v>
      </c>
      <c r="D448" s="25">
        <f xml:space="preserve"> C448 / (24 * 'VRP Solver Console'!C11)</f>
        <v>1.4437500000000002E-3</v>
      </c>
    </row>
    <row r="449" spans="1:4" x14ac:dyDescent="0.25">
      <c r="A449" s="23" t="s">
        <v>4022</v>
      </c>
      <c r="B449" s="23" t="s">
        <v>4013</v>
      </c>
      <c r="C449" s="38">
        <v>3.2040000000000002</v>
      </c>
      <c r="D449" s="24">
        <f xml:space="preserve"> C449 / (24 * 'VRP Solver Console'!C11)</f>
        <v>2.225E-3</v>
      </c>
    </row>
    <row r="450" spans="1:4" x14ac:dyDescent="0.25">
      <c r="A450" s="23" t="s">
        <v>4022</v>
      </c>
      <c r="B450" s="23" t="s">
        <v>4014</v>
      </c>
      <c r="C450" s="39">
        <v>3.1349999999999998</v>
      </c>
      <c r="D450" s="25">
        <f xml:space="preserve"> C450 / (24 * 'VRP Solver Console'!C11)</f>
        <v>2.1770833333333334E-3</v>
      </c>
    </row>
    <row r="451" spans="1:4" x14ac:dyDescent="0.25">
      <c r="A451" s="23" t="s">
        <v>4022</v>
      </c>
      <c r="B451" s="23" t="s">
        <v>4015</v>
      </c>
      <c r="C451" s="38">
        <v>44.249000000000002</v>
      </c>
      <c r="D451" s="24">
        <f xml:space="preserve"> C451 / (24 * 'VRP Solver Console'!C11)</f>
        <v>3.0728472222222223E-2</v>
      </c>
    </row>
    <row r="452" spans="1:4" x14ac:dyDescent="0.25">
      <c r="A452" s="23" t="s">
        <v>4022</v>
      </c>
      <c r="B452" s="23" t="s">
        <v>4016</v>
      </c>
      <c r="C452" s="39">
        <v>44.249000000000002</v>
      </c>
      <c r="D452" s="25">
        <f xml:space="preserve"> C452 / (24 * 'VRP Solver Console'!C11)</f>
        <v>3.0728472222222223E-2</v>
      </c>
    </row>
    <row r="453" spans="1:4" x14ac:dyDescent="0.25">
      <c r="A453" s="23" t="s">
        <v>4022</v>
      </c>
      <c r="B453" s="23" t="s">
        <v>4017</v>
      </c>
      <c r="C453" s="38">
        <v>44.249000000000002</v>
      </c>
      <c r="D453" s="24">
        <f xml:space="preserve"> C453 / (24 * 'VRP Solver Console'!C11)</f>
        <v>3.0728472222222223E-2</v>
      </c>
    </row>
    <row r="454" spans="1:4" x14ac:dyDescent="0.25">
      <c r="A454" s="23" t="s">
        <v>4022</v>
      </c>
      <c r="B454" s="23" t="s">
        <v>4018</v>
      </c>
      <c r="C454" s="39">
        <v>44.249000000000002</v>
      </c>
      <c r="D454" s="25">
        <f xml:space="preserve"> C454 / (24 * 'VRP Solver Console'!C11)</f>
        <v>3.0728472222222223E-2</v>
      </c>
    </row>
    <row r="455" spans="1:4" x14ac:dyDescent="0.25">
      <c r="A455" s="23" t="s">
        <v>4022</v>
      </c>
      <c r="B455" s="23" t="s">
        <v>4019</v>
      </c>
      <c r="C455" s="38">
        <v>5.3760000000000003</v>
      </c>
      <c r="D455" s="24">
        <f xml:space="preserve"> C455 / (24 * 'VRP Solver Console'!C11)</f>
        <v>3.7333333333333337E-3</v>
      </c>
    </row>
    <row r="456" spans="1:4" x14ac:dyDescent="0.25">
      <c r="A456" s="23" t="s">
        <v>4022</v>
      </c>
      <c r="B456" s="23" t="s">
        <v>4020</v>
      </c>
      <c r="C456" s="39">
        <v>0.59299999999999997</v>
      </c>
      <c r="D456" s="25">
        <f xml:space="preserve"> C456 / (24 * 'VRP Solver Console'!C11)</f>
        <v>4.1180555555555556E-4</v>
      </c>
    </row>
    <row r="457" spans="1:4" x14ac:dyDescent="0.25">
      <c r="A457" s="23" t="s">
        <v>4022</v>
      </c>
      <c r="B457" s="23" t="s">
        <v>4021</v>
      </c>
      <c r="C457" s="38">
        <v>1.3</v>
      </c>
      <c r="D457" s="24">
        <f xml:space="preserve"> C457 / (24 * 'VRP Solver Console'!C11)</f>
        <v>9.0277777777777784E-4</v>
      </c>
    </row>
    <row r="458" spans="1:4" x14ac:dyDescent="0.25">
      <c r="A458" s="23" t="s">
        <v>4022</v>
      </c>
      <c r="B458" s="23" t="s">
        <v>4022</v>
      </c>
      <c r="C458" s="39">
        <v>0</v>
      </c>
      <c r="D458" s="25">
        <v>0</v>
      </c>
    </row>
    <row r="459" spans="1:4" x14ac:dyDescent="0.25">
      <c r="A459" s="23" t="s">
        <v>4022</v>
      </c>
      <c r="B459" s="23" t="s">
        <v>4023</v>
      </c>
      <c r="C459" s="38">
        <v>4.8849999999999998</v>
      </c>
      <c r="D459" s="24">
        <f xml:space="preserve"> C459 / (24 * 'VRP Solver Console'!C11)</f>
        <v>3.3923611111111108E-3</v>
      </c>
    </row>
    <row r="460" spans="1:4" x14ac:dyDescent="0.25">
      <c r="A460" s="23" t="s">
        <v>4022</v>
      </c>
      <c r="B460" s="23" t="s">
        <v>4024</v>
      </c>
      <c r="C460" s="39">
        <v>42.177</v>
      </c>
      <c r="D460" s="25">
        <f xml:space="preserve"> C460 / (24 * 'VRP Solver Console'!C11)</f>
        <v>2.9289583333333334E-2</v>
      </c>
    </row>
    <row r="461" spans="1:4" x14ac:dyDescent="0.25">
      <c r="A461" s="23" t="s">
        <v>4022</v>
      </c>
      <c r="B461" s="23" t="s">
        <v>4003</v>
      </c>
      <c r="C461" s="38">
        <v>0.88</v>
      </c>
      <c r="D461" s="24">
        <f xml:space="preserve"> C461 / (24 * 'VRP Solver Console'!C11)</f>
        <v>6.111111111111111E-4</v>
      </c>
    </row>
    <row r="462" spans="1:4" x14ac:dyDescent="0.25">
      <c r="A462" s="23" t="s">
        <v>4023</v>
      </c>
      <c r="B462" s="23" t="s">
        <v>4028</v>
      </c>
      <c r="C462" s="39">
        <v>3.1859999999999999</v>
      </c>
      <c r="D462" s="25">
        <f xml:space="preserve"> C462 / (24 * 'VRP Solver Console'!C11)</f>
        <v>2.2125000000000001E-3</v>
      </c>
    </row>
    <row r="463" spans="1:4" x14ac:dyDescent="0.25">
      <c r="A463" s="23" t="s">
        <v>4023</v>
      </c>
      <c r="B463" s="23" t="s">
        <v>4004</v>
      </c>
      <c r="C463" s="38">
        <v>3.7730000000000001</v>
      </c>
      <c r="D463" s="24">
        <f xml:space="preserve"> C463 / (24 * 'VRP Solver Console'!C11)</f>
        <v>2.6201388888888889E-3</v>
      </c>
    </row>
    <row r="464" spans="1:4" x14ac:dyDescent="0.25">
      <c r="A464" s="23" t="s">
        <v>4023</v>
      </c>
      <c r="B464" s="23" t="s">
        <v>4005</v>
      </c>
      <c r="C464" s="39">
        <v>3.55</v>
      </c>
      <c r="D464" s="25">
        <f xml:space="preserve"> C464 / (24 * 'VRP Solver Console'!C11)</f>
        <v>2.4652777777777776E-3</v>
      </c>
    </row>
    <row r="465" spans="1:4" x14ac:dyDescent="0.25">
      <c r="A465" s="23" t="s">
        <v>4023</v>
      </c>
      <c r="B465" s="23" t="s">
        <v>4006</v>
      </c>
      <c r="C465" s="38">
        <v>4.8040000000000003</v>
      </c>
      <c r="D465" s="24">
        <f xml:space="preserve"> C465 / (24 * 'VRP Solver Console'!C11)</f>
        <v>3.3361111111111113E-3</v>
      </c>
    </row>
    <row r="466" spans="1:4" x14ac:dyDescent="0.25">
      <c r="A466" s="23" t="s">
        <v>4023</v>
      </c>
      <c r="B466" s="23" t="s">
        <v>4007</v>
      </c>
      <c r="C466" s="39">
        <v>4.0110000000000001</v>
      </c>
      <c r="D466" s="25">
        <f xml:space="preserve"> C466 / (24 * 'VRP Solver Console'!C11)</f>
        <v>2.7854166666666669E-3</v>
      </c>
    </row>
    <row r="467" spans="1:4" x14ac:dyDescent="0.25">
      <c r="A467" s="23" t="s">
        <v>4023</v>
      </c>
      <c r="B467" s="23" t="s">
        <v>4008</v>
      </c>
      <c r="C467" s="38">
        <v>3.3050000000000002</v>
      </c>
      <c r="D467" s="24">
        <f xml:space="preserve"> C467 / (24 * 'VRP Solver Console'!C11)</f>
        <v>2.2951388888888891E-3</v>
      </c>
    </row>
    <row r="468" spans="1:4" x14ac:dyDescent="0.25">
      <c r="A468" s="23" t="s">
        <v>4023</v>
      </c>
      <c r="B468" s="23" t="s">
        <v>4009</v>
      </c>
      <c r="C468" s="39">
        <v>3.7730000000000001</v>
      </c>
      <c r="D468" s="25">
        <f xml:space="preserve"> C468 / (24 * 'VRP Solver Console'!C11)</f>
        <v>2.6201388888888889E-3</v>
      </c>
    </row>
    <row r="469" spans="1:4" x14ac:dyDescent="0.25">
      <c r="A469" s="23" t="s">
        <v>4023</v>
      </c>
      <c r="B469" s="23" t="s">
        <v>4010</v>
      </c>
      <c r="C469" s="38">
        <v>3.8330000000000002</v>
      </c>
      <c r="D469" s="24">
        <f xml:space="preserve"> C469 / (24 * 'VRP Solver Console'!C11)</f>
        <v>2.6618055555555557E-3</v>
      </c>
    </row>
    <row r="470" spans="1:4" x14ac:dyDescent="0.25">
      <c r="A470" s="23" t="s">
        <v>4023</v>
      </c>
      <c r="B470" s="23" t="s">
        <v>4011</v>
      </c>
      <c r="C470" s="39">
        <v>4.6310000000000002</v>
      </c>
      <c r="D470" s="25">
        <f xml:space="preserve"> C470 / (24 * 'VRP Solver Console'!C11)</f>
        <v>3.2159722222222225E-3</v>
      </c>
    </row>
    <row r="471" spans="1:4" x14ac:dyDescent="0.25">
      <c r="A471" s="23" t="s">
        <v>4023</v>
      </c>
      <c r="B471" s="23" t="s">
        <v>4012</v>
      </c>
      <c r="C471" s="38">
        <v>5.54</v>
      </c>
      <c r="D471" s="24">
        <f xml:space="preserve"> C471 / (24 * 'VRP Solver Console'!C11)</f>
        <v>3.8472222222222224E-3</v>
      </c>
    </row>
    <row r="472" spans="1:4" x14ac:dyDescent="0.25">
      <c r="A472" s="23" t="s">
        <v>4023</v>
      </c>
      <c r="B472" s="23" t="s">
        <v>4013</v>
      </c>
      <c r="C472" s="39">
        <v>2.6040000000000001</v>
      </c>
      <c r="D472" s="25">
        <f xml:space="preserve"> C472 / (24 * 'VRP Solver Console'!C11)</f>
        <v>1.8083333333333335E-3</v>
      </c>
    </row>
    <row r="473" spans="1:4" x14ac:dyDescent="0.25">
      <c r="A473" s="23" t="s">
        <v>4023</v>
      </c>
      <c r="B473" s="23" t="s">
        <v>4014</v>
      </c>
      <c r="C473" s="38">
        <v>1.901</v>
      </c>
      <c r="D473" s="24">
        <f xml:space="preserve"> C473 / (24 * 'VRP Solver Console'!C11)</f>
        <v>1.3201388888888889E-3</v>
      </c>
    </row>
    <row r="474" spans="1:4" x14ac:dyDescent="0.25">
      <c r="A474" s="23" t="s">
        <v>4023</v>
      </c>
      <c r="B474" s="23" t="s">
        <v>4015</v>
      </c>
      <c r="C474" s="39">
        <v>41.335000000000001</v>
      </c>
      <c r="D474" s="25">
        <f xml:space="preserve"> C474 / (24 * 'VRP Solver Console'!C11)</f>
        <v>2.8704861111111112E-2</v>
      </c>
    </row>
    <row r="475" spans="1:4" x14ac:dyDescent="0.25">
      <c r="A475" s="23" t="s">
        <v>4023</v>
      </c>
      <c r="B475" s="23" t="s">
        <v>4016</v>
      </c>
      <c r="C475" s="38">
        <v>41.335000000000001</v>
      </c>
      <c r="D475" s="24">
        <f xml:space="preserve"> C475 / (24 * 'VRP Solver Console'!C11)</f>
        <v>2.8704861111111112E-2</v>
      </c>
    </row>
    <row r="476" spans="1:4" x14ac:dyDescent="0.25">
      <c r="A476" s="23" t="s">
        <v>4023</v>
      </c>
      <c r="B476" s="23" t="s">
        <v>4017</v>
      </c>
      <c r="C476" s="39">
        <v>41.335000000000001</v>
      </c>
      <c r="D476" s="25">
        <f xml:space="preserve"> C476 / (24 * 'VRP Solver Console'!C11)</f>
        <v>2.8704861111111112E-2</v>
      </c>
    </row>
    <row r="477" spans="1:4" x14ac:dyDescent="0.25">
      <c r="A477" s="23" t="s">
        <v>4023</v>
      </c>
      <c r="B477" s="23" t="s">
        <v>4018</v>
      </c>
      <c r="C477" s="38">
        <v>41.335000000000001</v>
      </c>
      <c r="D477" s="24">
        <f xml:space="preserve"> C477 / (24 * 'VRP Solver Console'!C11)</f>
        <v>2.8704861111111112E-2</v>
      </c>
    </row>
    <row r="478" spans="1:4" x14ac:dyDescent="0.25">
      <c r="A478" s="23" t="s">
        <v>4023</v>
      </c>
      <c r="B478" s="23" t="s">
        <v>4019</v>
      </c>
      <c r="C478" s="39">
        <v>2.4620000000000002</v>
      </c>
      <c r="D478" s="25">
        <f xml:space="preserve"> C478 / (24 * 'VRP Solver Console'!C11)</f>
        <v>1.7097222222222223E-3</v>
      </c>
    </row>
    <row r="479" spans="1:4" x14ac:dyDescent="0.25">
      <c r="A479" s="23" t="s">
        <v>4023</v>
      </c>
      <c r="B479" s="23" t="s">
        <v>4020</v>
      </c>
      <c r="C479" s="38">
        <v>4.42</v>
      </c>
      <c r="D479" s="24">
        <f xml:space="preserve"> C479 / (24 * 'VRP Solver Console'!C11)</f>
        <v>3.0694444444444445E-3</v>
      </c>
    </row>
    <row r="480" spans="1:4" x14ac:dyDescent="0.25">
      <c r="A480" s="23" t="s">
        <v>4023</v>
      </c>
      <c r="B480" s="23" t="s">
        <v>4021</v>
      </c>
      <c r="C480" s="39">
        <v>4.7610000000000001</v>
      </c>
      <c r="D480" s="25">
        <f xml:space="preserve"> C480 / (24 * 'VRP Solver Console'!C11)</f>
        <v>3.3062500000000002E-3</v>
      </c>
    </row>
    <row r="481" spans="1:4" x14ac:dyDescent="0.25">
      <c r="A481" s="23" t="s">
        <v>4023</v>
      </c>
      <c r="B481" s="23" t="s">
        <v>4022</v>
      </c>
      <c r="C481" s="38">
        <v>4.5650000000000004</v>
      </c>
      <c r="D481" s="24">
        <f xml:space="preserve"> C481 / (24 * 'VRP Solver Console'!C11)</f>
        <v>3.170138888888889E-3</v>
      </c>
    </row>
    <row r="482" spans="1:4" x14ac:dyDescent="0.25">
      <c r="A482" s="23" t="s">
        <v>4023</v>
      </c>
      <c r="B482" s="23" t="s">
        <v>4023</v>
      </c>
      <c r="C482" s="39">
        <v>0</v>
      </c>
      <c r="D482" s="25">
        <v>0</v>
      </c>
    </row>
    <row r="483" spans="1:4" x14ac:dyDescent="0.25">
      <c r="A483" s="23" t="s">
        <v>4023</v>
      </c>
      <c r="B483" s="23" t="s">
        <v>4024</v>
      </c>
      <c r="C483" s="38">
        <v>39.262999999999998</v>
      </c>
      <c r="D483" s="24">
        <f xml:space="preserve"> C483 / (24 * 'VRP Solver Console'!C11)</f>
        <v>2.7265972222222219E-2</v>
      </c>
    </row>
    <row r="484" spans="1:4" x14ac:dyDescent="0.25">
      <c r="A484" s="23" t="s">
        <v>4023</v>
      </c>
      <c r="B484" s="23" t="s">
        <v>4003</v>
      </c>
      <c r="C484" s="39">
        <v>4.3410000000000002</v>
      </c>
      <c r="D484" s="25">
        <f xml:space="preserve"> C484 / (24 * 'VRP Solver Console'!C11)</f>
        <v>3.0145833333333335E-3</v>
      </c>
    </row>
    <row r="485" spans="1:4" x14ac:dyDescent="0.25">
      <c r="A485" s="23" t="s">
        <v>4024</v>
      </c>
      <c r="B485" s="23" t="s">
        <v>4028</v>
      </c>
      <c r="C485" s="38">
        <v>40.338999999999999</v>
      </c>
      <c r="D485" s="24">
        <f xml:space="preserve"> C485 / (24 * 'VRP Solver Console'!C11)</f>
        <v>2.8013194444444445E-2</v>
      </c>
    </row>
    <row r="486" spans="1:4" x14ac:dyDescent="0.25">
      <c r="A486" s="23" t="s">
        <v>4024</v>
      </c>
      <c r="B486" s="23" t="s">
        <v>4004</v>
      </c>
      <c r="C486" s="39">
        <v>40.926000000000002</v>
      </c>
      <c r="D486" s="25">
        <f xml:space="preserve"> C486 / (24 * 'VRP Solver Console'!C11)</f>
        <v>2.8420833333333336E-2</v>
      </c>
    </row>
    <row r="487" spans="1:4" x14ac:dyDescent="0.25">
      <c r="A487" s="23" t="s">
        <v>4024</v>
      </c>
      <c r="B487" s="23" t="s">
        <v>4005</v>
      </c>
      <c r="C487" s="38">
        <v>40.703000000000003</v>
      </c>
      <c r="D487" s="24">
        <f xml:space="preserve"> C487 / (24 * 'VRP Solver Console'!C11)</f>
        <v>2.8265972222222224E-2</v>
      </c>
    </row>
    <row r="488" spans="1:4" x14ac:dyDescent="0.25">
      <c r="A488" s="23" t="s">
        <v>4024</v>
      </c>
      <c r="B488" s="23" t="s">
        <v>4006</v>
      </c>
      <c r="C488" s="39">
        <v>41.957000000000001</v>
      </c>
      <c r="D488" s="25">
        <f xml:space="preserve"> C488 / (24 * 'VRP Solver Console'!C11)</f>
        <v>2.9136805555555555E-2</v>
      </c>
    </row>
    <row r="489" spans="1:4" x14ac:dyDescent="0.25">
      <c r="A489" s="23" t="s">
        <v>4024</v>
      </c>
      <c r="B489" s="23" t="s">
        <v>4007</v>
      </c>
      <c r="C489" s="38">
        <v>41.164000000000001</v>
      </c>
      <c r="D489" s="24">
        <f xml:space="preserve"> C489 / (24 * 'VRP Solver Console'!C11)</f>
        <v>2.8586111111111111E-2</v>
      </c>
    </row>
    <row r="490" spans="1:4" x14ac:dyDescent="0.25">
      <c r="A490" s="23" t="s">
        <v>4024</v>
      </c>
      <c r="B490" s="23" t="s">
        <v>4008</v>
      </c>
      <c r="C490" s="39">
        <v>40.457999999999998</v>
      </c>
      <c r="D490" s="25">
        <f xml:space="preserve"> C490 / (24 * 'VRP Solver Console'!C11)</f>
        <v>2.8095833333333334E-2</v>
      </c>
    </row>
    <row r="491" spans="1:4" x14ac:dyDescent="0.25">
      <c r="A491" s="23" t="s">
        <v>4024</v>
      </c>
      <c r="B491" s="23" t="s">
        <v>4009</v>
      </c>
      <c r="C491" s="38">
        <v>40.926000000000002</v>
      </c>
      <c r="D491" s="24">
        <f xml:space="preserve"> C491 / (24 * 'VRP Solver Console'!C11)</f>
        <v>2.8420833333333336E-2</v>
      </c>
    </row>
    <row r="492" spans="1:4" x14ac:dyDescent="0.25">
      <c r="A492" s="23" t="s">
        <v>4024</v>
      </c>
      <c r="B492" s="23" t="s">
        <v>4010</v>
      </c>
      <c r="C492" s="39">
        <v>40.985999999999997</v>
      </c>
      <c r="D492" s="25">
        <f xml:space="preserve"> C492 / (24 * 'VRP Solver Console'!C11)</f>
        <v>2.8462499999999998E-2</v>
      </c>
    </row>
    <row r="493" spans="1:4" x14ac:dyDescent="0.25">
      <c r="A493" s="23" t="s">
        <v>4024</v>
      </c>
      <c r="B493" s="23" t="s">
        <v>4011</v>
      </c>
      <c r="C493" s="38">
        <v>41.783999999999999</v>
      </c>
      <c r="D493" s="24">
        <f xml:space="preserve"> C493 / (24 * 'VRP Solver Console'!C11)</f>
        <v>2.9016666666666666E-2</v>
      </c>
    </row>
    <row r="494" spans="1:4" x14ac:dyDescent="0.25">
      <c r="A494" s="23" t="s">
        <v>4024</v>
      </c>
      <c r="B494" s="23" t="s">
        <v>4012</v>
      </c>
      <c r="C494" s="39">
        <v>42.692999999999998</v>
      </c>
      <c r="D494" s="25">
        <f xml:space="preserve"> C494 / (24 * 'VRP Solver Console'!C11)</f>
        <v>2.9647916666666666E-2</v>
      </c>
    </row>
    <row r="495" spans="1:4" x14ac:dyDescent="0.25">
      <c r="A495" s="23" t="s">
        <v>4024</v>
      </c>
      <c r="B495" s="23" t="s">
        <v>4013</v>
      </c>
      <c r="C495" s="38">
        <v>39.756999999999998</v>
      </c>
      <c r="D495" s="24">
        <f xml:space="preserve"> C495 / (24 * 'VRP Solver Console'!C11)</f>
        <v>2.7609027777777777E-2</v>
      </c>
    </row>
    <row r="496" spans="1:4" x14ac:dyDescent="0.25">
      <c r="A496" s="23" t="s">
        <v>4024</v>
      </c>
      <c r="B496" s="23" t="s">
        <v>4014</v>
      </c>
      <c r="C496" s="39">
        <v>39.054000000000002</v>
      </c>
      <c r="D496" s="25">
        <f xml:space="preserve"> C496 / (24 * 'VRP Solver Console'!C11)</f>
        <v>2.7120833333333334E-2</v>
      </c>
    </row>
    <row r="497" spans="1:4" x14ac:dyDescent="0.25">
      <c r="A497" s="23" t="s">
        <v>4024</v>
      </c>
      <c r="B497" s="23" t="s">
        <v>4015</v>
      </c>
      <c r="C497" s="38">
        <v>2.0710000000000002</v>
      </c>
      <c r="D497" s="24">
        <f xml:space="preserve"> C497 / (24 * 'VRP Solver Console'!C11)</f>
        <v>1.4381944444444446E-3</v>
      </c>
    </row>
    <row r="498" spans="1:4" x14ac:dyDescent="0.25">
      <c r="A498" s="23" t="s">
        <v>4024</v>
      </c>
      <c r="B498" s="23" t="s">
        <v>4016</v>
      </c>
      <c r="C498" s="39">
        <v>2.0710000000000002</v>
      </c>
      <c r="D498" s="25">
        <f xml:space="preserve"> C498 / (24 * 'VRP Solver Console'!C11)</f>
        <v>1.4381944444444446E-3</v>
      </c>
    </row>
    <row r="499" spans="1:4" x14ac:dyDescent="0.25">
      <c r="A499" s="23" t="s">
        <v>4024</v>
      </c>
      <c r="B499" s="23" t="s">
        <v>4017</v>
      </c>
      <c r="C499" s="38">
        <v>2.0710000000000002</v>
      </c>
      <c r="D499" s="24">
        <f xml:space="preserve"> C499 / (24 * 'VRP Solver Console'!C11)</f>
        <v>1.4381944444444446E-3</v>
      </c>
    </row>
    <row r="500" spans="1:4" x14ac:dyDescent="0.25">
      <c r="A500" s="23" t="s">
        <v>4024</v>
      </c>
      <c r="B500" s="23" t="s">
        <v>4018</v>
      </c>
      <c r="C500" s="39">
        <v>2.0710000000000002</v>
      </c>
      <c r="D500" s="25">
        <f xml:space="preserve"> C500 / (24 * 'VRP Solver Console'!C11)</f>
        <v>1.4381944444444446E-3</v>
      </c>
    </row>
    <row r="501" spans="1:4" x14ac:dyDescent="0.25">
      <c r="A501" s="23" t="s">
        <v>4024</v>
      </c>
      <c r="B501" s="23" t="s">
        <v>4019</v>
      </c>
      <c r="C501" s="38">
        <v>37.506999999999998</v>
      </c>
      <c r="D501" s="24">
        <f xml:space="preserve"> C501 / (24 * 'VRP Solver Console'!C11)</f>
        <v>2.6046527777777776E-2</v>
      </c>
    </row>
    <row r="502" spans="1:4" x14ac:dyDescent="0.25">
      <c r="A502" s="23" t="s">
        <v>4024</v>
      </c>
      <c r="B502" s="23" t="s">
        <v>4020</v>
      </c>
      <c r="C502" s="39">
        <v>41.573</v>
      </c>
      <c r="D502" s="25">
        <f xml:space="preserve"> C502 / (24 * 'VRP Solver Console'!C11)</f>
        <v>2.887013888888889E-2</v>
      </c>
    </row>
    <row r="503" spans="1:4" x14ac:dyDescent="0.25">
      <c r="A503" s="23" t="s">
        <v>4024</v>
      </c>
      <c r="B503" s="23" t="s">
        <v>4021</v>
      </c>
      <c r="C503" s="38">
        <v>41.914000000000001</v>
      </c>
      <c r="D503" s="24">
        <f xml:space="preserve"> C503 / (24 * 'VRP Solver Console'!C11)</f>
        <v>2.9106944444444446E-2</v>
      </c>
    </row>
    <row r="504" spans="1:4" x14ac:dyDescent="0.25">
      <c r="A504" s="23" t="s">
        <v>4024</v>
      </c>
      <c r="B504" s="23" t="s">
        <v>4022</v>
      </c>
      <c r="C504" s="39">
        <v>41.718000000000004</v>
      </c>
      <c r="D504" s="25">
        <f xml:space="preserve"> C504 / (24 * 'VRP Solver Console'!C11)</f>
        <v>2.8970833333333335E-2</v>
      </c>
    </row>
    <row r="505" spans="1:4" x14ac:dyDescent="0.25">
      <c r="A505" s="23" t="s">
        <v>4024</v>
      </c>
      <c r="B505" s="23" t="s">
        <v>4023</v>
      </c>
      <c r="C505" s="38">
        <v>39.384999999999998</v>
      </c>
      <c r="D505" s="24">
        <f xml:space="preserve"> C505 / (24 * 'VRP Solver Console'!C11)</f>
        <v>2.7350694444444441E-2</v>
      </c>
    </row>
    <row r="506" spans="1:4" x14ac:dyDescent="0.25">
      <c r="A506" s="23" t="s">
        <v>4024</v>
      </c>
      <c r="B506" s="23" t="s">
        <v>4024</v>
      </c>
      <c r="C506" s="39">
        <v>0</v>
      </c>
      <c r="D506" s="25">
        <v>0</v>
      </c>
    </row>
    <row r="507" spans="1:4" x14ac:dyDescent="0.25">
      <c r="A507" s="23" t="s">
        <v>4024</v>
      </c>
      <c r="B507" s="23" t="s">
        <v>4003</v>
      </c>
      <c r="C507" s="38">
        <v>41.494</v>
      </c>
      <c r="D507" s="24">
        <f xml:space="preserve"> C507 / (24 * 'VRP Solver Console'!C11)</f>
        <v>2.8815277777777776E-2</v>
      </c>
    </row>
    <row r="508" spans="1:4" x14ac:dyDescent="0.25">
      <c r="A508" s="23" t="s">
        <v>4003</v>
      </c>
      <c r="B508" s="23" t="s">
        <v>4028</v>
      </c>
      <c r="C508" s="39">
        <v>1.915</v>
      </c>
      <c r="D508" s="25">
        <f xml:space="preserve"> C508 / (24 * 'VRP Solver Console'!C11)</f>
        <v>1.3298611111111111E-3</v>
      </c>
    </row>
    <row r="509" spans="1:4" x14ac:dyDescent="0.25">
      <c r="A509" s="23" t="s">
        <v>4003</v>
      </c>
      <c r="B509" s="23" t="s">
        <v>4004</v>
      </c>
      <c r="C509" s="38">
        <v>1.56</v>
      </c>
      <c r="D509" s="24">
        <f xml:space="preserve"> C509 / (24 * 'VRP Solver Console'!C11)</f>
        <v>1.0833333333333333E-3</v>
      </c>
    </row>
    <row r="510" spans="1:4" x14ac:dyDescent="0.25">
      <c r="A510" s="23" t="s">
        <v>4003</v>
      </c>
      <c r="B510" s="23" t="s">
        <v>4005</v>
      </c>
      <c r="C510" s="39">
        <v>2.1589999999999998</v>
      </c>
      <c r="D510" s="25">
        <f xml:space="preserve"> C510 / (24 * 'VRP Solver Console'!C11)</f>
        <v>1.4993055555555554E-3</v>
      </c>
    </row>
    <row r="511" spans="1:4" x14ac:dyDescent="0.25">
      <c r="A511" s="23" t="s">
        <v>4003</v>
      </c>
      <c r="B511" s="23" t="s">
        <v>4006</v>
      </c>
      <c r="C511" s="38">
        <v>0.63200000000000001</v>
      </c>
      <c r="D511" s="24">
        <f xml:space="preserve"> C511 / (24 * 'VRP Solver Console'!C11)</f>
        <v>4.3888888888888889E-4</v>
      </c>
    </row>
    <row r="512" spans="1:4" x14ac:dyDescent="0.25">
      <c r="A512" s="23" t="s">
        <v>4003</v>
      </c>
      <c r="B512" s="23" t="s">
        <v>4007</v>
      </c>
      <c r="C512" s="39">
        <v>3.3039999999999998</v>
      </c>
      <c r="D512" s="25">
        <f xml:space="preserve"> C512 / (24 * 'VRP Solver Console'!C11)</f>
        <v>2.2944444444444444E-3</v>
      </c>
    </row>
    <row r="513" spans="1:4" x14ac:dyDescent="0.25">
      <c r="A513" s="23" t="s">
        <v>4003</v>
      </c>
      <c r="B513" s="23" t="s">
        <v>4008</v>
      </c>
      <c r="C513" s="38">
        <v>2.105</v>
      </c>
      <c r="D513" s="24">
        <f xml:space="preserve"> C513 / (24 * 'VRP Solver Console'!C11)</f>
        <v>1.4618055555555556E-3</v>
      </c>
    </row>
    <row r="514" spans="1:4" x14ac:dyDescent="0.25">
      <c r="A514" s="23" t="s">
        <v>4003</v>
      </c>
      <c r="B514" s="23" t="s">
        <v>4009</v>
      </c>
      <c r="C514" s="39">
        <v>1.56</v>
      </c>
      <c r="D514" s="25">
        <f xml:space="preserve"> C514 / (24 * 'VRP Solver Console'!C11)</f>
        <v>1.0833333333333333E-3</v>
      </c>
    </row>
    <row r="515" spans="1:4" x14ac:dyDescent="0.25">
      <c r="A515" s="23" t="s">
        <v>4003</v>
      </c>
      <c r="B515" s="23" t="s">
        <v>4010</v>
      </c>
      <c r="C515" s="38">
        <v>1.0669999999999999</v>
      </c>
      <c r="D515" s="24">
        <f xml:space="preserve"> C515 / (24 * 'VRP Solver Console'!C11)</f>
        <v>7.4097222222222218E-4</v>
      </c>
    </row>
    <row r="516" spans="1:4" x14ac:dyDescent="0.25">
      <c r="A516" s="23" t="s">
        <v>4003</v>
      </c>
      <c r="B516" s="23" t="s">
        <v>4011</v>
      </c>
      <c r="C516" s="39">
        <v>0.40300000000000002</v>
      </c>
      <c r="D516" s="25">
        <f xml:space="preserve"> C516 / (24 * 'VRP Solver Console'!C11)</f>
        <v>2.7986111111111115E-4</v>
      </c>
    </row>
    <row r="517" spans="1:4" x14ac:dyDescent="0.25">
      <c r="A517" s="23" t="s">
        <v>4003</v>
      </c>
      <c r="B517" s="23" t="s">
        <v>4012</v>
      </c>
      <c r="C517" s="38">
        <v>1.2470000000000001</v>
      </c>
      <c r="D517" s="24">
        <f xml:space="preserve"> C517 / (24 * 'VRP Solver Console'!C11)</f>
        <v>8.659722222222223E-4</v>
      </c>
    </row>
    <row r="518" spans="1:4" x14ac:dyDescent="0.25">
      <c r="A518" s="23" t="s">
        <v>4003</v>
      </c>
      <c r="B518" s="23" t="s">
        <v>4013</v>
      </c>
      <c r="C518" s="39">
        <v>3.4340000000000002</v>
      </c>
      <c r="D518" s="25">
        <f xml:space="preserve"> C518 / (24 * 'VRP Solver Console'!C11)</f>
        <v>2.3847222222222225E-3</v>
      </c>
    </row>
    <row r="519" spans="1:4" x14ac:dyDescent="0.25">
      <c r="A519" s="23" t="s">
        <v>4003</v>
      </c>
      <c r="B519" s="23" t="s">
        <v>4014</v>
      </c>
      <c r="C519" s="38">
        <v>3.6040000000000001</v>
      </c>
      <c r="D519" s="24">
        <f xml:space="preserve"> C519 / (24 * 'VRP Solver Console'!C11)</f>
        <v>2.5027777777777778E-3</v>
      </c>
    </row>
    <row r="520" spans="1:4" x14ac:dyDescent="0.25">
      <c r="A520" s="23" t="s">
        <v>4003</v>
      </c>
      <c r="B520" s="23" t="s">
        <v>4015</v>
      </c>
      <c r="C520" s="39">
        <v>44.718000000000004</v>
      </c>
      <c r="D520" s="25">
        <f xml:space="preserve"> C520 / (24 * 'VRP Solver Console'!C11)</f>
        <v>3.1054166666666667E-2</v>
      </c>
    </row>
    <row r="521" spans="1:4" x14ac:dyDescent="0.25">
      <c r="A521" s="23" t="s">
        <v>4003</v>
      </c>
      <c r="B521" s="23" t="s">
        <v>4016</v>
      </c>
      <c r="C521" s="38">
        <v>44.718000000000004</v>
      </c>
      <c r="D521" s="24">
        <f xml:space="preserve"> C521 / (24 * 'VRP Solver Console'!C11)</f>
        <v>3.1054166666666667E-2</v>
      </c>
    </row>
    <row r="522" spans="1:4" x14ac:dyDescent="0.25">
      <c r="A522" s="23" t="s">
        <v>4003</v>
      </c>
      <c r="B522" s="23" t="s">
        <v>4017</v>
      </c>
      <c r="C522" s="39">
        <v>44.718000000000004</v>
      </c>
      <c r="D522" s="25">
        <f xml:space="preserve"> C522 / (24 * 'VRP Solver Console'!C11)</f>
        <v>3.1054166666666667E-2</v>
      </c>
    </row>
    <row r="523" spans="1:4" x14ac:dyDescent="0.25">
      <c r="A523" s="23" t="s">
        <v>4003</v>
      </c>
      <c r="B523" s="23" t="s">
        <v>4018</v>
      </c>
      <c r="C523" s="38">
        <v>44.718000000000004</v>
      </c>
      <c r="D523" s="24">
        <f xml:space="preserve"> C523 / (24 * 'VRP Solver Console'!C11)</f>
        <v>3.1054166666666667E-2</v>
      </c>
    </row>
    <row r="524" spans="1:4" x14ac:dyDescent="0.25">
      <c r="A524" s="23" t="s">
        <v>4003</v>
      </c>
      <c r="B524" s="23" t="s">
        <v>4019</v>
      </c>
      <c r="C524" s="39">
        <v>5.8449999999999998</v>
      </c>
      <c r="D524" s="25">
        <f xml:space="preserve"> C524 / (24 * 'VRP Solver Console'!C11)</f>
        <v>4.0590277777777777E-3</v>
      </c>
    </row>
    <row r="525" spans="1:4" x14ac:dyDescent="0.25">
      <c r="A525" s="23" t="s">
        <v>4003</v>
      </c>
      <c r="B525" s="23" t="s">
        <v>4020</v>
      </c>
      <c r="C525" s="38">
        <v>0.7</v>
      </c>
      <c r="D525" s="24">
        <f xml:space="preserve"> C525 / (24 * 'VRP Solver Console'!C11)</f>
        <v>4.861111111111111E-4</v>
      </c>
    </row>
    <row r="526" spans="1:4" x14ac:dyDescent="0.25">
      <c r="A526" s="23" t="s">
        <v>4003</v>
      </c>
      <c r="B526" s="23" t="s">
        <v>4021</v>
      </c>
      <c r="C526" s="39">
        <v>1.7689999999999999</v>
      </c>
      <c r="D526" s="25">
        <f xml:space="preserve"> C526 / (24 * 'VRP Solver Console'!C11)</f>
        <v>1.2284722222222222E-3</v>
      </c>
    </row>
    <row r="527" spans="1:4" x14ac:dyDescent="0.25">
      <c r="A527" s="23" t="s">
        <v>4003</v>
      </c>
      <c r="B527" s="23" t="s">
        <v>4022</v>
      </c>
      <c r="C527" s="38">
        <v>0.57099999999999995</v>
      </c>
      <c r="D527" s="24">
        <f xml:space="preserve"> C527 / (24 * 'VRP Solver Console'!C11)</f>
        <v>3.9652777777777776E-4</v>
      </c>
    </row>
    <row r="528" spans="1:4" x14ac:dyDescent="0.25">
      <c r="A528" s="23" t="s">
        <v>4003</v>
      </c>
      <c r="B528" s="23" t="s">
        <v>4023</v>
      </c>
      <c r="C528" s="39">
        <v>5.3540000000000001</v>
      </c>
      <c r="D528" s="25">
        <f xml:space="preserve"> C528 / (24 * 'VRP Solver Console'!C11)</f>
        <v>3.7180555555555556E-3</v>
      </c>
    </row>
    <row r="529" spans="1:4" x14ac:dyDescent="0.25">
      <c r="A529" s="23" t="s">
        <v>4003</v>
      </c>
      <c r="B529" s="23" t="s">
        <v>4024</v>
      </c>
      <c r="C529" s="38">
        <v>42.646000000000001</v>
      </c>
      <c r="D529" s="24">
        <f xml:space="preserve"> C529 / (24 * 'VRP Solver Console'!C11)</f>
        <v>2.9615277777777779E-2</v>
      </c>
    </row>
    <row r="530" spans="1:4" x14ac:dyDescent="0.25">
      <c r="A530" s="22" t="s">
        <v>4003</v>
      </c>
      <c r="B530" s="22" t="s">
        <v>4003</v>
      </c>
      <c r="C530" s="74">
        <v>0</v>
      </c>
      <c r="D530" s="60">
        <v>0</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F7036-0B2B-49BF-82BA-192EFC5C6301}">
  <sheetPr codeName="Planilha3"/>
  <dimension ref="A1:M3"/>
  <sheetViews>
    <sheetView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4028</v>
      </c>
      <c r="B2" s="40" t="s">
        <v>4026</v>
      </c>
      <c r="C2" s="40">
        <v>44</v>
      </c>
      <c r="D2" s="41">
        <v>0</v>
      </c>
      <c r="E2" s="41">
        <v>11.22</v>
      </c>
      <c r="F2" s="41">
        <v>1</v>
      </c>
      <c r="G2" s="41">
        <v>100</v>
      </c>
      <c r="H2" s="75">
        <v>0.33333333333333331</v>
      </c>
      <c r="I2" s="42">
        <v>0.375</v>
      </c>
      <c r="J2" s="42">
        <v>0.125</v>
      </c>
      <c r="K2" s="40" t="s">
        <v>4028</v>
      </c>
      <c r="L2" s="43">
        <f>IFERROR(MATCH(K2,'1. Locais'!$B$2:$B$2,0) - 1," ")</f>
        <v>0</v>
      </c>
      <c r="M2" s="40">
        <v>1</v>
      </c>
    </row>
    <row r="3" spans="1:13" ht="15.75" thickTop="1" x14ac:dyDescent="0.25"/>
  </sheetData>
  <dataValidations count="3">
    <dataValidation type="decimal" operator="greaterThan" allowBlank="1" showInputMessage="1" showErrorMessage="1" error="Insira um valor não negativo" sqref="C2:E2" xr:uid="{B5A4580B-FECC-4918-8C23-43ACDF3B5699}">
      <formula1>-0.0001</formula1>
    </dataValidation>
    <dataValidation type="decimal" operator="greaterThan" allowBlank="1" showInputMessage="1" showErrorMessage="1" error="Insira um valor positivo" sqref="F2 J2" xr:uid="{61DE0C7E-4B4E-4D26-94B0-0161AA3DB6DB}">
      <formula1>0</formula1>
    </dataValidation>
    <dataValidation type="whole" operator="greaterThan" allowBlank="1" showInputMessage="1" showErrorMessage="1" error="Insira um valor inteiro não negativo" sqref="G2" xr:uid="{FC10A2CF-A7F0-4396-9516-98B6DD790A97}">
      <formula1>-1</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492A65EB-6812-4CB3-9761-34E6CD6DCFCF}">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1D16F-6449-4E58-BC01-5D1F2C8FA1FC}">
  <sheetPr codeName="Planilha4"/>
  <dimension ref="A1:P30"/>
  <sheetViews>
    <sheetView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55">
        <f ca="1">+I3</f>
        <v>-86.494980000000012</v>
      </c>
    </row>
    <row r="2" spans="1:16" s="18" customFormat="1" x14ac:dyDescent="0.25">
      <c r="A2" s="80" t="s">
        <v>1661</v>
      </c>
      <c r="B2" s="80"/>
      <c r="C2" s="80"/>
      <c r="D2" s="80"/>
      <c r="E2" s="80"/>
      <c r="F2" s="80"/>
      <c r="G2" s="80"/>
      <c r="H2" s="80"/>
      <c r="I2" s="80"/>
      <c r="J2" s="80"/>
      <c r="K2" s="80"/>
      <c r="L2" s="80"/>
      <c r="M2" s="58"/>
      <c r="N2" s="58"/>
      <c r="O2" s="58"/>
      <c r="P2" s="58"/>
    </row>
    <row r="3" spans="1:16" s="18" customFormat="1" x14ac:dyDescent="0.25">
      <c r="A3" s="18" t="s">
        <v>1647</v>
      </c>
      <c r="B3" s="18" t="s">
        <v>4027</v>
      </c>
      <c r="F3" s="18" t="s">
        <v>1630</v>
      </c>
      <c r="G3" s="56">
        <f>COUNTA(B6:B28)</f>
        <v>6</v>
      </c>
      <c r="H3" s="18" t="s">
        <v>1154</v>
      </c>
      <c r="I3" s="57">
        <f ca="1">INDEX(K5:K28,G3 + 1)-(INDEX(F5:$F$28,G3+ 1) * '3. Veículos'!E2)- IF(INDIRECT("G3") &gt; 1, INDIRECT("'3. Veículos'!D2"), 0)</f>
        <v>-86.494980000000012</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0">
        <v>0</v>
      </c>
      <c r="B5" s="20" t="str">
        <f>'1. Locais'!B2</f>
        <v>Garagem</v>
      </c>
      <c r="C5" s="20">
        <f ca="1">IFERROR(MATCH(INDIRECT("B5"),'1. Locais'!B2:B24, 0) - 1," ")</f>
        <v>0</v>
      </c>
      <c r="D5" s="44">
        <f ca="1">IFERROR(IF(ISNUMBER(C5),INDEX('1. Locais'!D2:D24,C5 + 1),NA()),NA())</f>
        <v>-10.3485839</v>
      </c>
      <c r="E5" s="44">
        <f ca="1">IFERROR(IF(ISNUMBER(C5),INDEX('1. Locais'!E2:E24,C5 + 1),NA()),NA())</f>
        <v>-48.298583999999998</v>
      </c>
      <c r="F5" s="45">
        <v>0</v>
      </c>
      <c r="G5" s="46">
        <v>0</v>
      </c>
      <c r="H5" s="76"/>
      <c r="I5" s="76">
        <f>'3. Veículos'!H2</f>
        <v>0.33333333333333331</v>
      </c>
      <c r="J5" s="46">
        <v>0</v>
      </c>
      <c r="K5" s="44">
        <v>0</v>
      </c>
      <c r="L5" s="45">
        <v>0</v>
      </c>
      <c r="M5" s="45">
        <v>0</v>
      </c>
      <c r="N5" s="45">
        <v>0</v>
      </c>
      <c r="O5" s="45">
        <f ca="1">IFERROR(IF(ISNUMBER(C5),IF(B6 = B5, 0, IF(B6 = "", 0, O6 + M6))," ")," ")</f>
        <v>15</v>
      </c>
      <c r="P5" s="44">
        <f t="shared" ref="P5:P28" ca="1" si="0">IFERROR(IF(ISNUMBER(C5),N5 + O5," ")," ")</f>
        <v>15</v>
      </c>
    </row>
    <row r="6" spans="1:16" x14ac:dyDescent="0.25">
      <c r="A6" s="23">
        <v>1</v>
      </c>
      <c r="B6" s="50" t="s">
        <v>4014</v>
      </c>
      <c r="C6" s="51">
        <f ca="1">IFERROR(MATCH(INDIRECT("B6"),'1. Locais'!B2:B24, 0) - 1," ")</f>
        <v>11</v>
      </c>
      <c r="D6" s="51">
        <f ca="1">IFERROR(IF(ISNUMBER(C6),INDEX('1. Locais'!D2:D24,C6 + 1),NA()),NA())</f>
        <v>-10.354574899999999</v>
      </c>
      <c r="E6" s="51">
        <f ca="1">IFERROR(IF(ISNUMBER(C6),INDEX('1. Locais'!E2:E24,C6 + 1),NA()),NA())</f>
        <v>-48.301355899999997</v>
      </c>
      <c r="F6" s="52">
        <f ca="1">IFERROR(IF(ISNUMBER(C6),INDEX('2. Distâncias'!C2:C530,C5*23+C6+ 1) +F5," ")," ")</f>
        <v>0.98699999999999999</v>
      </c>
      <c r="G6" s="53">
        <f ca="1">IFERROR(IF(ISNUMBER(C6),'3. Veículos'!F2 * INDEX('2. Distâncias'!D2:D530,C5*23+C6 + 1) +G5," ")," ")</f>
        <v>6.8541666666666664E-4</v>
      </c>
      <c r="H6" s="79">
        <f ca="1">IFERROR(IF(ISNUMBER(C6),'3. Veículos'!F2 * INDEX('2. Distâncias'!D2:D530,C5*23+C6 + 1) +I5," ")," ")</f>
        <v>0.33401874999999998</v>
      </c>
      <c r="I6" s="79">
        <f ca="1">IFERROR(IF(AND(C5&lt;&gt;C6,ISNUMBER(H6)),INDEX('1. Locais'!I2:I24,C6 + 1) + MAX(H6,INDEX('1. Locais'!F2:F24,C6 + 1))," ")," ")</f>
        <v>0.33401874999999998</v>
      </c>
      <c r="J6" s="53">
        <f ca="1">IFERROR(IF(AND(B6 = B5, B7 = ""), H6 - I5, I6 - I5)," ")</f>
        <v>6.8541666666666057E-4</v>
      </c>
      <c r="K6" s="51">
        <f ca="1">IFERROR(IF(ISNUMBER(C6),INDEX('1. Locais'!L2:L24,C6 + 1) + K5," ")," ")</f>
        <v>0</v>
      </c>
      <c r="L6" s="52">
        <f ca="1">IFERROR(IF(ISNUMBER(C6),INDEX('1. Locais'!J2:J24,C6 + 1)," ")," ")</f>
        <v>0</v>
      </c>
      <c r="M6" s="52">
        <f ca="1">IFERROR(IF(ISNUMBER(C6),INDEX('1. Locais'!K2:K24,C6 + 1)," ")," ")</f>
        <v>5</v>
      </c>
      <c r="N6" s="52">
        <f ca="1">IFERROR(IF(ISNUMBER(C6),IF(B6 = B5, 0, L6 + N5)," ")," ")</f>
        <v>0</v>
      </c>
      <c r="O6" s="52">
        <f ca="1">IFERROR(IF(ISNUMBER(C6),IF(B7 = B5, 0, IF(B7 = "", 0, O7 + M7))," ")," ")</f>
        <v>10</v>
      </c>
      <c r="P6" s="51">
        <f t="shared" ca="1" si="0"/>
        <v>10</v>
      </c>
    </row>
    <row r="7" spans="1:16" x14ac:dyDescent="0.25">
      <c r="A7" s="23">
        <v>2</v>
      </c>
      <c r="B7" s="54" t="s">
        <v>4004</v>
      </c>
      <c r="C7" s="51">
        <f ca="1">IFERROR(MATCH(INDIRECT("B7"),'1. Locais'!B2:B24, 0) - 1," ")</f>
        <v>1</v>
      </c>
      <c r="D7" s="51">
        <f ca="1">IFERROR(IF(ISNUMBER(C7),INDEX('1. Locais'!D2:D24,C7 + 1),NA()),NA())</f>
        <v>-10.344564</v>
      </c>
      <c r="E7" s="51">
        <f ca="1">IFERROR(IF(ISNUMBER(C7),INDEX('1. Locais'!E2:E24,C7 + 1),NA()),NA())</f>
        <v>-48.293768</v>
      </c>
      <c r="F7" s="52">
        <f ca="1">IFERROR(IF(ISNUMBER(C7),INDEX('2. Distâncias'!C2:C530,C6*23+C7+ 1) +F6," ")," ")</f>
        <v>2.8610000000000002</v>
      </c>
      <c r="G7" s="53">
        <f ca="1">IFERROR(IF(ISNUMBER(C7),'3. Veículos'!F2 * INDEX('2. Distâncias'!D2:D530,C6*23+C7 + 1) +G6," ")," ")</f>
        <v>1.9868055555555559E-3</v>
      </c>
      <c r="H7" s="79">
        <f ca="1">IFERROR(IF(ISNUMBER(C7),'3. Veículos'!F2 * INDEX('2. Distâncias'!D2:D530,C6*23+C7 + 1) +I6," ")," ")</f>
        <v>0.33532013888888884</v>
      </c>
      <c r="I7" s="79">
        <f ca="1">IFERROR(IF(AND(C5&lt;&gt;C7,ISNUMBER(H7)),INDEX('1. Locais'!I2:I24,C7 + 1) + MAX(H7,INDEX('1. Locais'!F2:F24,C7 + 1))," ")," ")</f>
        <v>0.33532013888888884</v>
      </c>
      <c r="J7" s="53">
        <f ca="1">IFERROR(IF(AND(B7 = B5, B8 = ""), H7 - I5, I7 - I5)," ")</f>
        <v>1.9868055555555264E-3</v>
      </c>
      <c r="K7" s="51">
        <f ca="1">IFERROR(IF(ISNUMBER(C7),INDEX('1. Locais'!L2:L24,C7 + 1) + K6," ")," ")</f>
        <v>0</v>
      </c>
      <c r="L7" s="52">
        <f ca="1">IFERROR(IF(ISNUMBER(C7),INDEX('1. Locais'!J2:J24,C7 + 1)," ")," ")</f>
        <v>0</v>
      </c>
      <c r="M7" s="52">
        <f ca="1">IFERROR(IF(ISNUMBER(C7),INDEX('1. Locais'!K2:K24,C7 + 1)," ")," ")</f>
        <v>2</v>
      </c>
      <c r="N7" s="52">
        <f ca="1">IFERROR(IF(ISNUMBER(C7),IF(B7 = B5, 0, L7 + N6)," ")," ")</f>
        <v>0</v>
      </c>
      <c r="O7" s="52">
        <f ca="1">IFERROR(IF(ISNUMBER(C7),IF(B8 = B5, 0, IF(B8 = "", 0, O8 + M8))," ")," ")</f>
        <v>8</v>
      </c>
      <c r="P7" s="51">
        <f t="shared" ca="1" si="0"/>
        <v>8</v>
      </c>
    </row>
    <row r="8" spans="1:16" x14ac:dyDescent="0.25">
      <c r="A8" s="23">
        <v>3</v>
      </c>
      <c r="B8" s="50" t="s">
        <v>4020</v>
      </c>
      <c r="C8" s="51">
        <f ca="1">IFERROR(MATCH(INDIRECT("B8"),'1. Locais'!B2:B24, 0) - 1," ")</f>
        <v>17</v>
      </c>
      <c r="D8" s="51">
        <f ca="1">IFERROR(IF(ISNUMBER(C8),INDEX('1. Locais'!D2:D24,C8 + 1),NA()),NA())</f>
        <v>-10.33765</v>
      </c>
      <c r="E8" s="51">
        <f ca="1">IFERROR(IF(ISNUMBER(C8),INDEX('1. Locais'!E2:E24,C8 + 1),NA()),NA())</f>
        <v>-48.295870000000001</v>
      </c>
      <c r="F8" s="52">
        <f ca="1">IFERROR(IF(ISNUMBER(C8),INDEX('2. Distâncias'!C2:C530,C7*23+C8+ 1) +F7," ")," ")</f>
        <v>3.7950000000000004</v>
      </c>
      <c r="G8" s="53">
        <f ca="1">IFERROR(IF(ISNUMBER(C8),'3. Veículos'!F2 * INDEX('2. Distâncias'!D2:D530,C7*23+C8 + 1) +G7," ")," ")</f>
        <v>2.635416666666667E-3</v>
      </c>
      <c r="H8" s="79">
        <f ca="1">IFERROR(IF(ISNUMBER(C8),'3. Veículos'!F2 * INDEX('2. Distâncias'!D2:D530,C7*23+C8 + 1) +I7," ")," ")</f>
        <v>0.33596874999999993</v>
      </c>
      <c r="I8" s="79">
        <f ca="1">IFERROR(IF(AND(C5&lt;&gt;C8,ISNUMBER(H8)),INDEX('1. Locais'!I2:I24,C8 + 1) + MAX(H8,INDEX('1. Locais'!F2:F24,C8 + 1))," ")," ")</f>
        <v>0.33596874999999993</v>
      </c>
      <c r="J8" s="53">
        <f ca="1">IFERROR(IF(AND(B8 = B5, B9 = ""), H8 - I5, I8 - I5)," ")</f>
        <v>2.6354166666666123E-3</v>
      </c>
      <c r="K8" s="51">
        <f ca="1">IFERROR(IF(ISNUMBER(C8),INDEX('1. Locais'!L2:L24,C8 + 1) + K7," ")," ")</f>
        <v>0</v>
      </c>
      <c r="L8" s="52">
        <f ca="1">IFERROR(IF(ISNUMBER(C8),INDEX('1. Locais'!J2:J24,C8 + 1)," ")," ")</f>
        <v>0</v>
      </c>
      <c r="M8" s="52">
        <f ca="1">IFERROR(IF(ISNUMBER(C8),INDEX('1. Locais'!K2:K24,C8 + 1)," ")," ")</f>
        <v>5</v>
      </c>
      <c r="N8" s="52">
        <f ca="1">IFERROR(IF(ISNUMBER(C8),IF(B8 = B5, 0, L8 + N7)," ")," ")</f>
        <v>0</v>
      </c>
      <c r="O8" s="52">
        <f ca="1">IFERROR(IF(ISNUMBER(C8),IF(B9 = B5, 0, IF(B9 = "", 0, O9 + M9))," ")," ")</f>
        <v>3</v>
      </c>
      <c r="P8" s="51">
        <f t="shared" ca="1" si="0"/>
        <v>3</v>
      </c>
    </row>
    <row r="9" spans="1:16" x14ac:dyDescent="0.25">
      <c r="A9" s="23">
        <v>4</v>
      </c>
      <c r="B9" s="54" t="s">
        <v>4006</v>
      </c>
      <c r="C9" s="51">
        <f ca="1">IFERROR(MATCH(INDIRECT("B9"),'1. Locais'!B2:B24, 0) - 1," ")</f>
        <v>3</v>
      </c>
      <c r="D9" s="51">
        <f ca="1">IFERROR(IF(ISNUMBER(C9),INDEX('1. Locais'!D2:D24,C9 + 1),NA()),NA())</f>
        <v>-10.33384</v>
      </c>
      <c r="E9" s="51">
        <f ca="1">IFERROR(IF(ISNUMBER(C9),INDEX('1. Locais'!E2:E24,C9 + 1),NA()),NA())</f>
        <v>-48.293022000000001</v>
      </c>
      <c r="F9" s="52">
        <f ca="1">IFERROR(IF(ISNUMBER(C9),INDEX('2. Distâncias'!C2:C530,C8*23+C9+ 1) +F8," ")," ")</f>
        <v>4.6440000000000001</v>
      </c>
      <c r="G9" s="53">
        <f ca="1">IFERROR(IF(ISNUMBER(C9),'3. Veículos'!F2 * INDEX('2. Distâncias'!D2:D530,C8*23+C9 + 1) +G8," ")," ")</f>
        <v>3.2250000000000004E-3</v>
      </c>
      <c r="H9" s="79">
        <f ca="1">IFERROR(IF(ISNUMBER(C9),'3. Veículos'!F2 * INDEX('2. Distâncias'!D2:D530,C8*23+C9 + 1) +I8," ")," ")</f>
        <v>0.33655833333333324</v>
      </c>
      <c r="I9" s="79">
        <f ca="1">IFERROR(IF(AND(C5&lt;&gt;C9,ISNUMBER(H9)),INDEX('1. Locais'!I2:I24,C9 + 1) + MAX(H9,INDEX('1. Locais'!F2:F24,C9 + 1))," ")," ")</f>
        <v>0.33655833333333324</v>
      </c>
      <c r="J9" s="53">
        <f ca="1">IFERROR(IF(AND(B9 = B5, B10 = ""), H9 - I5, I9 - I5)," ")</f>
        <v>3.2249999999999224E-3</v>
      </c>
      <c r="K9" s="51">
        <f ca="1">IFERROR(IF(ISNUMBER(C9),INDEX('1. Locais'!L2:L24,C9 + 1) + K8," ")," ")</f>
        <v>0</v>
      </c>
      <c r="L9" s="52">
        <f ca="1">IFERROR(IF(ISNUMBER(C9),INDEX('1. Locais'!J2:J24,C9 + 1)," ")," ")</f>
        <v>0</v>
      </c>
      <c r="M9" s="52">
        <f ca="1">IFERROR(IF(ISNUMBER(C9),INDEX('1. Locais'!K2:K24,C9 + 1)," ")," ")</f>
        <v>3</v>
      </c>
      <c r="N9" s="52">
        <f ca="1">IFERROR(IF(ISNUMBER(C9),IF(B9 = B5, 0, L9 + N8)," ")," ")</f>
        <v>0</v>
      </c>
      <c r="O9" s="52">
        <f ca="1">IFERROR(IF(ISNUMBER(C9),IF(B10 = B5, 0, IF(B10 = "", 0, O10 + M10))," ")," ")</f>
        <v>0</v>
      </c>
      <c r="P9" s="51">
        <f t="shared" ca="1" si="0"/>
        <v>0</v>
      </c>
    </row>
    <row r="10" spans="1:16" x14ac:dyDescent="0.25">
      <c r="A10" s="23">
        <v>5</v>
      </c>
      <c r="B10" s="50" t="s">
        <v>4003</v>
      </c>
      <c r="C10" s="51">
        <f ca="1">IFERROR(MATCH(INDIRECT("B10"),'1. Locais'!B2:B24, 0) - 1," ")</f>
        <v>22</v>
      </c>
      <c r="D10" s="51">
        <f ca="1">IFERROR(IF(ISNUMBER(C10),INDEX('1. Locais'!D2:D24,C10 + 1),NA()),NA())</f>
        <v>-10.332970400000001</v>
      </c>
      <c r="E10" s="51">
        <f ca="1">IFERROR(IF(ISNUMBER(C10),INDEX('1. Locais'!E2:E24,C10 + 1),NA()),NA())</f>
        <v>-48.298139999999997</v>
      </c>
      <c r="F10" s="52">
        <f ca="1">IFERROR(IF(ISNUMBER(C10),INDEX('2. Distâncias'!C2:C530,C9*23+C10+ 1) +F9," ")," ")</f>
        <v>5.7940000000000005</v>
      </c>
      <c r="G10" s="53">
        <f ca="1">IFERROR(IF(ISNUMBER(C10),'3. Veículos'!F2 * INDEX('2. Distâncias'!D2:D530,C9*23+C10 + 1) +G9," ")," ")</f>
        <v>4.0236111111111115E-3</v>
      </c>
      <c r="H10" s="79">
        <f ca="1">IFERROR(IF(ISNUMBER(C10),'3. Veículos'!F2 * INDEX('2. Distâncias'!D2:D530,C9*23+C10 + 1) +I9," ")," ")</f>
        <v>0.33735694444444436</v>
      </c>
      <c r="I10" s="79">
        <f ca="1">IFERROR(IF(AND(C5&lt;&gt;C10,ISNUMBER(H10)),INDEX('1. Locais'!I2:I24,C10 + 1) + MAX(H10,INDEX('1. Locais'!F2:F24,C10 + 1))," ")," ")</f>
        <v>0.33735694444444436</v>
      </c>
      <c r="J10" s="53">
        <f ca="1">IFERROR(IF(AND(B10 = B5, B11 = ""), H10 - I5, I10 - I5)," ")</f>
        <v>4.0236111111110473E-3</v>
      </c>
      <c r="K10" s="51">
        <f ca="1">IFERROR(IF(ISNUMBER(C10),INDEX('1. Locais'!L2:L24,C10 + 1) + K9," ")," ")</f>
        <v>0</v>
      </c>
      <c r="L10" s="52">
        <f ca="1">IFERROR(IF(ISNUMBER(C10),INDEX('1. Locais'!J2:J24,C10 + 1)," ")," ")</f>
        <v>15</v>
      </c>
      <c r="M10" s="52">
        <f ca="1">IFERROR(IF(ISNUMBER(C10),INDEX('1. Locais'!K2:K24,C10 + 1)," ")," ")</f>
        <v>0</v>
      </c>
      <c r="N10" s="52">
        <f ca="1">IFERROR(IF(ISNUMBER(C10),IF(B10 = B5, 0, L10 + N9)," ")," ")</f>
        <v>15</v>
      </c>
      <c r="O10" s="52">
        <f ca="1">IFERROR(IF(ISNUMBER(C10),IF(B11 = B5, 0, IF(B11 = "", 0, O11 + M11))," ")," ")</f>
        <v>0</v>
      </c>
      <c r="P10" s="51">
        <f t="shared" ca="1" si="0"/>
        <v>15</v>
      </c>
    </row>
    <row r="11" spans="1:16" x14ac:dyDescent="0.25">
      <c r="A11" s="23">
        <v>6</v>
      </c>
      <c r="B11" s="54" t="s">
        <v>4028</v>
      </c>
      <c r="C11" s="51">
        <f ca="1">IFERROR(MATCH(INDIRECT("B11"),'1. Locais'!B2:B24, 0) - 1," ")</f>
        <v>0</v>
      </c>
      <c r="D11" s="51">
        <f ca="1">IFERROR(IF(ISNUMBER(C11),INDEX('1. Locais'!D2:D24,C11 + 1),NA()),NA())</f>
        <v>-10.3485839</v>
      </c>
      <c r="E11" s="51">
        <f ca="1">IFERROR(IF(ISNUMBER(C11),INDEX('1. Locais'!E2:E24,C11 + 1),NA()),NA())</f>
        <v>-48.298583999999998</v>
      </c>
      <c r="F11" s="52">
        <f ca="1">IFERROR(IF(ISNUMBER(C11),INDEX('2. Distâncias'!C2:C530,C10*23+C11+ 1) +F10," ")," ")</f>
        <v>7.7090000000000005</v>
      </c>
      <c r="G11" s="53">
        <f ca="1">IFERROR(IF(ISNUMBER(C11),'3. Veículos'!F2 * INDEX('2. Distâncias'!D2:D530,C10*23+C11 + 1) +G10," ")," ")</f>
        <v>5.353472222222223E-3</v>
      </c>
      <c r="H11" s="79">
        <f ca="1">IFERROR(IF(ISNUMBER(C11),'3. Veículos'!F2 * INDEX('2. Distâncias'!D2:D530,C10*23+C11 + 1) +I10," ")," ")</f>
        <v>0.33868680555555547</v>
      </c>
      <c r="I11" s="79" t="str">
        <f ca="1">IFERROR(IF(AND(C5&lt;&gt;C11,ISNUMBER(H11)),INDEX('1. Locais'!I2:I24,C11 + 1) + MAX(H11,INDEX('1. Locais'!F2:F24,C11 + 1))," ")," ")</f>
        <v xml:space="preserve"> </v>
      </c>
      <c r="J11" s="53">
        <f ca="1">IFERROR(IF(AND(B11 = B5, B12 = ""), H11 - I5, I11 - I5)," ")</f>
        <v>5.3534722222221554E-3</v>
      </c>
      <c r="K11" s="51">
        <f ca="1">IFERROR(IF(ISNUMBER(C11),INDEX('1. Locais'!L2:L24,C11 + 1) + K10," ")," ")</f>
        <v>0</v>
      </c>
      <c r="L11" s="52">
        <f ca="1">IFERROR(IF(ISNUMBER(C11),INDEX('1. Locais'!J2:J24,C11 + 1)," ")," ")</f>
        <v>0</v>
      </c>
      <c r="M11" s="52">
        <f ca="1">IFERROR(IF(ISNUMBER(C11),INDEX('1. Locais'!K2:K24,C11 + 1)," ")," ")</f>
        <v>0</v>
      </c>
      <c r="N11" s="52">
        <f ca="1">IFERROR(IF(ISNUMBER(C11),IF(B11 = B5, 0, L11 + N10)," ")," ")</f>
        <v>0</v>
      </c>
      <c r="O11" s="52">
        <f ca="1">IFERROR(IF(ISNUMBER(C11),IF(B12 = B5, 0, IF(B12 = "", 0, O12 + M12))," ")," ")</f>
        <v>0</v>
      </c>
      <c r="P11" s="51">
        <f t="shared" ca="1" si="0"/>
        <v>0</v>
      </c>
    </row>
    <row r="12" spans="1:16" x14ac:dyDescent="0.25">
      <c r="A12" s="23">
        <v>7</v>
      </c>
      <c r="B12" s="50"/>
      <c r="C12" s="51" t="str">
        <f ca="1">IFERROR(MATCH(INDIRECT("B12"),'1. Locais'!B2:B24, 0) - 1," ")</f>
        <v xml:space="preserve"> </v>
      </c>
      <c r="D12" s="51" t="e">
        <f ca="1">IFERROR(IF(ISNUMBER(C12),INDEX('1. Locais'!D2:D24,C12 + 1),NA()),NA())</f>
        <v>#N/A</v>
      </c>
      <c r="E12" s="51" t="e">
        <f ca="1">IFERROR(IF(ISNUMBER(C12),INDEX('1. Locais'!E2:E24,C12 + 1),NA()),NA())</f>
        <v>#N/A</v>
      </c>
      <c r="F12" s="52" t="str">
        <f ca="1">IFERROR(IF(ISNUMBER(C12),INDEX('2. Distâncias'!C2:C530,C11*23+C12+ 1) +F11," ")," ")</f>
        <v xml:space="preserve"> </v>
      </c>
      <c r="G12" s="53" t="str">
        <f ca="1">IFERROR(IF(ISNUMBER(C12),'3. Veículos'!F2 * INDEX('2. Distâncias'!D2:D530,C11*23+C12 + 1) +G11," ")," ")</f>
        <v xml:space="preserve"> </v>
      </c>
      <c r="H12" s="79" t="str">
        <f ca="1">IFERROR(IF(ISNUMBER(C12),'3. Veículos'!F2 * INDEX('2. Distâncias'!D2:D530,C11*23+C12 + 1) +I11," ")," ")</f>
        <v xml:space="preserve"> </v>
      </c>
      <c r="I12" s="79" t="str">
        <f ca="1">IFERROR(IF(AND(C5&lt;&gt;C12,ISNUMBER(H12)),INDEX('1. Locais'!I2:I24,C12 + 1) + MAX(H12,INDEX('1. Locais'!F2:F24,C12 + 1))," ")," ")</f>
        <v xml:space="preserve"> </v>
      </c>
      <c r="J12" s="53" t="str">
        <f ca="1">IFERROR(IF(AND(B12 = B5, B13 = ""), H12 - I5, I12 - I5)," ")</f>
        <v xml:space="preserve"> </v>
      </c>
      <c r="K12" s="51" t="str">
        <f ca="1">IFERROR(IF(ISNUMBER(C12),INDEX('1. Locais'!L2:L24,C12 + 1) + K11," ")," ")</f>
        <v xml:space="preserve"> </v>
      </c>
      <c r="L12" s="52" t="str">
        <f ca="1">IFERROR(IF(ISNUMBER(C12),INDEX('1. Locais'!J2:J24,C12 + 1)," ")," ")</f>
        <v xml:space="preserve"> </v>
      </c>
      <c r="M12" s="52" t="str">
        <f ca="1">IFERROR(IF(ISNUMBER(C12),INDEX('1. Locais'!K2:K24,C12 + 1)," ")," ")</f>
        <v xml:space="preserve"> </v>
      </c>
      <c r="N12" s="52" t="str">
        <f ca="1">IFERROR(IF(ISNUMBER(C12),IF(B12 = B5, 0, L12 + N11)," ")," ")</f>
        <v xml:space="preserve"> </v>
      </c>
      <c r="O12" s="52" t="str">
        <f ca="1">IFERROR(IF(ISNUMBER(C12),IF(B13 = B5, 0, IF(B13 = "", 0, O13 + M13))," ")," ")</f>
        <v xml:space="preserve"> </v>
      </c>
      <c r="P12" s="51" t="str">
        <f t="shared" ca="1" si="0"/>
        <v xml:space="preserve"> </v>
      </c>
    </row>
    <row r="13" spans="1:16" x14ac:dyDescent="0.25">
      <c r="A13" s="23">
        <v>8</v>
      </c>
      <c r="B13" s="54"/>
      <c r="C13" s="51" t="str">
        <f ca="1">IFERROR(MATCH(INDIRECT("B13"),'1. Locais'!B2:B24, 0) - 1," ")</f>
        <v xml:space="preserve"> </v>
      </c>
      <c r="D13" s="51" t="e">
        <f ca="1">IFERROR(IF(ISNUMBER(C13),INDEX('1. Locais'!D2:D24,C13 + 1),NA()),NA())</f>
        <v>#N/A</v>
      </c>
      <c r="E13" s="51" t="e">
        <f ca="1">IFERROR(IF(ISNUMBER(C13),INDEX('1. Locais'!E2:E24,C13 + 1),NA()),NA())</f>
        <v>#N/A</v>
      </c>
      <c r="F13" s="52" t="str">
        <f ca="1">IFERROR(IF(ISNUMBER(C13),INDEX('2. Distâncias'!C2:C530,C12*23+C13+ 1) +F12," ")," ")</f>
        <v xml:space="preserve"> </v>
      </c>
      <c r="G13" s="53" t="str">
        <f ca="1">IFERROR(IF(ISNUMBER(C13),'3. Veículos'!F2 * INDEX('2. Distâncias'!D2:D530,C12*23+C13 + 1) +G12," ")," ")</f>
        <v xml:space="preserve"> </v>
      </c>
      <c r="H13" s="79" t="str">
        <f ca="1">IFERROR(IF(ISNUMBER(C13),'3. Veículos'!F2 * INDEX('2. Distâncias'!D2:D530,C12*23+C13 + 1) +I12," ")," ")</f>
        <v xml:space="preserve"> </v>
      </c>
      <c r="I13" s="79" t="str">
        <f ca="1">IFERROR(IF(AND(C5&lt;&gt;C13,ISNUMBER(H13)),INDEX('1. Locais'!I2:I24,C13 + 1) + MAX(H13,INDEX('1. Locais'!F2:F24,C13 + 1))," ")," ")</f>
        <v xml:space="preserve"> </v>
      </c>
      <c r="J13" s="53" t="str">
        <f ca="1">IFERROR(IF(AND(B13 = B5, B14 = ""), H13 - I5, I13 - I5)," ")</f>
        <v xml:space="preserve"> </v>
      </c>
      <c r="K13" s="51" t="str">
        <f ca="1">IFERROR(IF(ISNUMBER(C13),INDEX('1. Locais'!L2:L24,C13 + 1) + K12," ")," ")</f>
        <v xml:space="preserve"> </v>
      </c>
      <c r="L13" s="52" t="str">
        <f ca="1">IFERROR(IF(ISNUMBER(C13),INDEX('1. Locais'!J2:J24,C13 + 1)," ")," ")</f>
        <v xml:space="preserve"> </v>
      </c>
      <c r="M13" s="52" t="str">
        <f ca="1">IFERROR(IF(ISNUMBER(C13),INDEX('1. Locais'!K2:K24,C13 + 1)," ")," ")</f>
        <v xml:space="preserve"> </v>
      </c>
      <c r="N13" s="52" t="str">
        <f ca="1">IFERROR(IF(ISNUMBER(C13),IF(B13 = B5, 0, L13 + N12)," ")," ")</f>
        <v xml:space="preserve"> </v>
      </c>
      <c r="O13" s="52" t="str">
        <f ca="1">IFERROR(IF(ISNUMBER(C13),IF(B14 = B5, 0, IF(B14 = "", 0, O14 + M14))," ")," ")</f>
        <v xml:space="preserve"> </v>
      </c>
      <c r="P13" s="51" t="str">
        <f t="shared" ca="1" si="0"/>
        <v xml:space="preserve"> </v>
      </c>
    </row>
    <row r="14" spans="1:16" x14ac:dyDescent="0.25">
      <c r="A14" s="23">
        <v>9</v>
      </c>
      <c r="B14" s="50"/>
      <c r="C14" s="51" t="str">
        <f ca="1">IFERROR(MATCH(INDIRECT("B14"),'1. Locais'!B2:B24, 0) - 1," ")</f>
        <v xml:space="preserve"> </v>
      </c>
      <c r="D14" s="51" t="e">
        <f ca="1">IFERROR(IF(ISNUMBER(C14),INDEX('1. Locais'!D2:D24,C14 + 1),NA()),NA())</f>
        <v>#N/A</v>
      </c>
      <c r="E14" s="51" t="e">
        <f ca="1">IFERROR(IF(ISNUMBER(C14),INDEX('1. Locais'!E2:E24,C14 + 1),NA()),NA())</f>
        <v>#N/A</v>
      </c>
      <c r="F14" s="52" t="str">
        <f ca="1">IFERROR(IF(ISNUMBER(C14),INDEX('2. Distâncias'!C2:C530,C13*23+C14+ 1) +F13," ")," ")</f>
        <v xml:space="preserve"> </v>
      </c>
      <c r="G14" s="53" t="str">
        <f ca="1">IFERROR(IF(ISNUMBER(C14),'3. Veículos'!F2 * INDEX('2. Distâncias'!D2:D530,C13*23+C14 + 1) +G13," ")," ")</f>
        <v xml:space="preserve"> </v>
      </c>
      <c r="H14" s="79" t="str">
        <f ca="1">IFERROR(IF(ISNUMBER(C14),'3. Veículos'!F2 * INDEX('2. Distâncias'!D2:D530,C13*23+C14 + 1) +I13," ")," ")</f>
        <v xml:space="preserve"> </v>
      </c>
      <c r="I14" s="79" t="str">
        <f ca="1">IFERROR(IF(AND(C5&lt;&gt;C14,ISNUMBER(H14)),INDEX('1. Locais'!I2:I24,C14 + 1) + MAX(H14,INDEX('1. Locais'!F2:F24,C14 + 1))," ")," ")</f>
        <v xml:space="preserve"> </v>
      </c>
      <c r="J14" s="53" t="str">
        <f ca="1">IFERROR(IF(AND(B14 = B5, B15 = ""), H14 - I5, I14 - I5)," ")</f>
        <v xml:space="preserve"> </v>
      </c>
      <c r="K14" s="51" t="str">
        <f ca="1">IFERROR(IF(ISNUMBER(C14),INDEX('1. Locais'!L2:L24,C14 + 1) + K13," ")," ")</f>
        <v xml:space="preserve"> </v>
      </c>
      <c r="L14" s="52" t="str">
        <f ca="1">IFERROR(IF(ISNUMBER(C14),INDEX('1. Locais'!J2:J24,C14 + 1)," ")," ")</f>
        <v xml:space="preserve"> </v>
      </c>
      <c r="M14" s="52" t="str">
        <f ca="1">IFERROR(IF(ISNUMBER(C14),INDEX('1. Locais'!K2:K24,C14 + 1)," ")," ")</f>
        <v xml:space="preserve"> </v>
      </c>
      <c r="N14" s="52" t="str">
        <f ca="1">IFERROR(IF(ISNUMBER(C14),IF(B14 = B5, 0, L14 + N13)," ")," ")</f>
        <v xml:space="preserve"> </v>
      </c>
      <c r="O14" s="52" t="str">
        <f ca="1">IFERROR(IF(ISNUMBER(C14),IF(B15 = B5, 0, IF(B15 = "", 0, O15 + M15))," ")," ")</f>
        <v xml:space="preserve"> </v>
      </c>
      <c r="P14" s="51" t="str">
        <f t="shared" ca="1" si="0"/>
        <v xml:space="preserve"> </v>
      </c>
    </row>
    <row r="15" spans="1:16" x14ac:dyDescent="0.25">
      <c r="A15" s="23">
        <v>10</v>
      </c>
      <c r="B15" s="54"/>
      <c r="C15" s="51" t="str">
        <f ca="1">IFERROR(MATCH(INDIRECT("B15"),'1. Locais'!B2:B24, 0) - 1," ")</f>
        <v xml:space="preserve"> </v>
      </c>
      <c r="D15" s="51" t="e">
        <f ca="1">IFERROR(IF(ISNUMBER(C15),INDEX('1. Locais'!D2:D24,C15 + 1),NA()),NA())</f>
        <v>#N/A</v>
      </c>
      <c r="E15" s="51" t="e">
        <f ca="1">IFERROR(IF(ISNUMBER(C15),INDEX('1. Locais'!E2:E24,C15 + 1),NA()),NA())</f>
        <v>#N/A</v>
      </c>
      <c r="F15" s="52" t="str">
        <f ca="1">IFERROR(IF(ISNUMBER(C15),INDEX('2. Distâncias'!C2:C530,C14*23+C15+ 1) +F14," ")," ")</f>
        <v xml:space="preserve"> </v>
      </c>
      <c r="G15" s="53" t="str">
        <f ca="1">IFERROR(IF(ISNUMBER(C15),'3. Veículos'!F2 * INDEX('2. Distâncias'!D2:D530,C14*23+C15 + 1) +G14," ")," ")</f>
        <v xml:space="preserve"> </v>
      </c>
      <c r="H15" s="79" t="str">
        <f ca="1">IFERROR(IF(ISNUMBER(C15),'3. Veículos'!F2 * INDEX('2. Distâncias'!D2:D530,C14*23+C15 + 1) +I14," ")," ")</f>
        <v xml:space="preserve"> </v>
      </c>
      <c r="I15" s="79" t="str">
        <f ca="1">IFERROR(IF(AND(C5&lt;&gt;C15,ISNUMBER(H15)),INDEX('1. Locais'!I2:I24,C15 + 1) + MAX(H15,INDEX('1. Locais'!F2:F24,C15 + 1))," ")," ")</f>
        <v xml:space="preserve"> </v>
      </c>
      <c r="J15" s="53" t="str">
        <f ca="1">IFERROR(IF(AND(B15 = B5, B16 = ""), H15 - I5, I15 - I5)," ")</f>
        <v xml:space="preserve"> </v>
      </c>
      <c r="K15" s="51" t="str">
        <f ca="1">IFERROR(IF(ISNUMBER(C15),INDEX('1. Locais'!L2:L24,C15 + 1) + K14," ")," ")</f>
        <v xml:space="preserve"> </v>
      </c>
      <c r="L15" s="52" t="str">
        <f ca="1">IFERROR(IF(ISNUMBER(C15),INDEX('1. Locais'!J2:J24,C15 + 1)," ")," ")</f>
        <v xml:space="preserve"> </v>
      </c>
      <c r="M15" s="52" t="str">
        <f ca="1">IFERROR(IF(ISNUMBER(C15),INDEX('1. Locais'!K2:K24,C15 + 1)," ")," ")</f>
        <v xml:space="preserve"> </v>
      </c>
      <c r="N15" s="52" t="str">
        <f ca="1">IFERROR(IF(ISNUMBER(C15),IF(B15 = B5, 0, L15 + N14)," ")," ")</f>
        <v xml:space="preserve"> </v>
      </c>
      <c r="O15" s="52" t="str">
        <f ca="1">IFERROR(IF(ISNUMBER(C15),IF(B16 = B5, 0, IF(B16 = "", 0, O16 + M16))," ")," ")</f>
        <v xml:space="preserve"> </v>
      </c>
      <c r="P15" s="51" t="str">
        <f t="shared" ca="1" si="0"/>
        <v xml:space="preserve"> </v>
      </c>
    </row>
    <row r="16" spans="1:16" x14ac:dyDescent="0.25">
      <c r="A16" s="23">
        <v>11</v>
      </c>
      <c r="B16" s="50"/>
      <c r="C16" s="51" t="str">
        <f ca="1">IFERROR(MATCH(INDIRECT("B16"),'1. Locais'!B2:B24, 0) - 1," ")</f>
        <v xml:space="preserve"> </v>
      </c>
      <c r="D16" s="51" t="e">
        <f ca="1">IFERROR(IF(ISNUMBER(C16),INDEX('1. Locais'!D2:D24,C16 + 1),NA()),NA())</f>
        <v>#N/A</v>
      </c>
      <c r="E16" s="51" t="e">
        <f ca="1">IFERROR(IF(ISNUMBER(C16),INDEX('1. Locais'!E2:E24,C16 + 1),NA()),NA())</f>
        <v>#N/A</v>
      </c>
      <c r="F16" s="52" t="str">
        <f ca="1">IFERROR(IF(ISNUMBER(C16),INDEX('2. Distâncias'!C2:C530,C15*23+C16+ 1) +F15," ")," ")</f>
        <v xml:space="preserve"> </v>
      </c>
      <c r="G16" s="53" t="str">
        <f ca="1">IFERROR(IF(ISNUMBER(C16),'3. Veículos'!F2 * INDEX('2. Distâncias'!D2:D530,C15*23+C16 + 1) +G15," ")," ")</f>
        <v xml:space="preserve"> </v>
      </c>
      <c r="H16" s="79" t="str">
        <f ca="1">IFERROR(IF(ISNUMBER(C16),'3. Veículos'!F2 * INDEX('2. Distâncias'!D2:D530,C15*23+C16 + 1) +I15," ")," ")</f>
        <v xml:space="preserve"> </v>
      </c>
      <c r="I16" s="79" t="str">
        <f ca="1">IFERROR(IF(AND(C5&lt;&gt;C16,ISNUMBER(H16)),INDEX('1. Locais'!I2:I24,C16 + 1) + MAX(H16,INDEX('1. Locais'!F2:F24,C16 + 1))," ")," ")</f>
        <v xml:space="preserve"> </v>
      </c>
      <c r="J16" s="53" t="str">
        <f ca="1">IFERROR(IF(AND(B16 = B5, B17 = ""), H16 - I5, I16 - I5)," ")</f>
        <v xml:space="preserve"> </v>
      </c>
      <c r="K16" s="51" t="str">
        <f ca="1">IFERROR(IF(ISNUMBER(C16),INDEX('1. Locais'!L2:L24,C16 + 1) + K15," ")," ")</f>
        <v xml:space="preserve"> </v>
      </c>
      <c r="L16" s="52" t="str">
        <f ca="1">IFERROR(IF(ISNUMBER(C16),INDEX('1. Locais'!J2:J24,C16 + 1)," ")," ")</f>
        <v xml:space="preserve"> </v>
      </c>
      <c r="M16" s="52" t="str">
        <f ca="1">IFERROR(IF(ISNUMBER(C16),INDEX('1. Locais'!K2:K24,C16 + 1)," ")," ")</f>
        <v xml:space="preserve"> </v>
      </c>
      <c r="N16" s="52" t="str">
        <f ca="1">IFERROR(IF(ISNUMBER(C16),IF(B16 = B5, 0, L16 + N15)," ")," ")</f>
        <v xml:space="preserve"> </v>
      </c>
      <c r="O16" s="52" t="str">
        <f ca="1">IFERROR(IF(ISNUMBER(C16),IF(B17 = B5, 0, IF(B17 = "", 0, O17 + M17))," ")," ")</f>
        <v xml:space="preserve"> </v>
      </c>
      <c r="P16" s="51" t="str">
        <f t="shared" ca="1" si="0"/>
        <v xml:space="preserve"> </v>
      </c>
    </row>
    <row r="17" spans="1:16" x14ac:dyDescent="0.25">
      <c r="A17" s="23">
        <v>12</v>
      </c>
      <c r="B17" s="54"/>
      <c r="C17" s="51" t="str">
        <f ca="1">IFERROR(MATCH(INDIRECT("B17"),'1. Locais'!B2:B24, 0) - 1," ")</f>
        <v xml:space="preserve"> </v>
      </c>
      <c r="D17" s="51" t="e">
        <f ca="1">IFERROR(IF(ISNUMBER(C17),INDEX('1. Locais'!D2:D24,C17 + 1),NA()),NA())</f>
        <v>#N/A</v>
      </c>
      <c r="E17" s="51" t="e">
        <f ca="1">IFERROR(IF(ISNUMBER(C17),INDEX('1. Locais'!E2:E24,C17 + 1),NA()),NA())</f>
        <v>#N/A</v>
      </c>
      <c r="F17" s="52" t="str">
        <f ca="1">IFERROR(IF(ISNUMBER(C17),INDEX('2. Distâncias'!C2:C530,C16*23+C17+ 1) +F16," ")," ")</f>
        <v xml:space="preserve"> </v>
      </c>
      <c r="G17" s="53" t="str">
        <f ca="1">IFERROR(IF(ISNUMBER(C17),'3. Veículos'!F2 * INDEX('2. Distâncias'!D2:D530,C16*23+C17 + 1) +G16," ")," ")</f>
        <v xml:space="preserve"> </v>
      </c>
      <c r="H17" s="79" t="str">
        <f ca="1">IFERROR(IF(ISNUMBER(C17),'3. Veículos'!F2 * INDEX('2. Distâncias'!D2:D530,C16*23+C17 + 1) +I16," ")," ")</f>
        <v xml:space="preserve"> </v>
      </c>
      <c r="I17" s="79" t="str">
        <f ca="1">IFERROR(IF(AND(C5&lt;&gt;C17,ISNUMBER(H17)),INDEX('1. Locais'!I2:I24,C17 + 1) + MAX(H17,INDEX('1. Locais'!F2:F24,C17 + 1))," ")," ")</f>
        <v xml:space="preserve"> </v>
      </c>
      <c r="J17" s="53" t="str">
        <f ca="1">IFERROR(IF(AND(B17 = B5, B18 = ""), H17 - I5, I17 - I5)," ")</f>
        <v xml:space="preserve"> </v>
      </c>
      <c r="K17" s="51" t="str">
        <f ca="1">IFERROR(IF(ISNUMBER(C17),INDEX('1. Locais'!L2:L24,C17 + 1) + K16," ")," ")</f>
        <v xml:space="preserve"> </v>
      </c>
      <c r="L17" s="52" t="str">
        <f ca="1">IFERROR(IF(ISNUMBER(C17),INDEX('1. Locais'!J2:J24,C17 + 1)," ")," ")</f>
        <v xml:space="preserve"> </v>
      </c>
      <c r="M17" s="52" t="str">
        <f ca="1">IFERROR(IF(ISNUMBER(C17),INDEX('1. Locais'!K2:K24,C17 + 1)," ")," ")</f>
        <v xml:space="preserve"> </v>
      </c>
      <c r="N17" s="52" t="str">
        <f ca="1">IFERROR(IF(ISNUMBER(C17),IF(B17 = B5, 0, L17 + N16)," ")," ")</f>
        <v xml:space="preserve"> </v>
      </c>
      <c r="O17" s="52" t="str">
        <f ca="1">IFERROR(IF(ISNUMBER(C17),IF(B18 = B5, 0, IF(B18 = "", 0, O18 + M18))," ")," ")</f>
        <v xml:space="preserve"> </v>
      </c>
      <c r="P17" s="51" t="str">
        <f t="shared" ca="1" si="0"/>
        <v xml:space="preserve"> </v>
      </c>
    </row>
    <row r="18" spans="1:16" x14ac:dyDescent="0.25">
      <c r="A18" s="23">
        <v>13</v>
      </c>
      <c r="B18" s="50"/>
      <c r="C18" s="51" t="str">
        <f ca="1">IFERROR(MATCH(INDIRECT("B18"),'1. Locais'!B2:B24, 0) - 1," ")</f>
        <v xml:space="preserve"> </v>
      </c>
      <c r="D18" s="51" t="e">
        <f ca="1">IFERROR(IF(ISNUMBER(C18),INDEX('1. Locais'!D2:D24,C18 + 1),NA()),NA())</f>
        <v>#N/A</v>
      </c>
      <c r="E18" s="51" t="e">
        <f ca="1">IFERROR(IF(ISNUMBER(C18),INDEX('1. Locais'!E2:E24,C18 + 1),NA()),NA())</f>
        <v>#N/A</v>
      </c>
      <c r="F18" s="52" t="str">
        <f ca="1">IFERROR(IF(ISNUMBER(C18),INDEX('2. Distâncias'!C2:C530,C17*23+C18+ 1) +F17," ")," ")</f>
        <v xml:space="preserve"> </v>
      </c>
      <c r="G18" s="53" t="str">
        <f ca="1">IFERROR(IF(ISNUMBER(C18),'3. Veículos'!F2 * INDEX('2. Distâncias'!D2:D530,C17*23+C18 + 1) +G17," ")," ")</f>
        <v xml:space="preserve"> </v>
      </c>
      <c r="H18" s="79" t="str">
        <f ca="1">IFERROR(IF(ISNUMBER(C18),'3. Veículos'!F2 * INDEX('2. Distâncias'!D2:D530,C17*23+C18 + 1) +I17," ")," ")</f>
        <v xml:space="preserve"> </v>
      </c>
      <c r="I18" s="79" t="str">
        <f ca="1">IFERROR(IF(AND(C5&lt;&gt;C18,ISNUMBER(H18)),INDEX('1. Locais'!I2:I24,C18 + 1) + MAX(H18,INDEX('1. Locais'!F2:F24,C18 + 1))," ")," ")</f>
        <v xml:space="preserve"> </v>
      </c>
      <c r="J18" s="53" t="str">
        <f ca="1">IFERROR(IF(AND(B18 = B5, B19 = ""), H18 - I5, I18 - I5)," ")</f>
        <v xml:space="preserve"> </v>
      </c>
      <c r="K18" s="51" t="str">
        <f ca="1">IFERROR(IF(ISNUMBER(C18),INDEX('1. Locais'!L2:L24,C18 + 1) + K17," ")," ")</f>
        <v xml:space="preserve"> </v>
      </c>
      <c r="L18" s="52" t="str">
        <f ca="1">IFERROR(IF(ISNUMBER(C18),INDEX('1. Locais'!J2:J24,C18 + 1)," ")," ")</f>
        <v xml:space="preserve"> </v>
      </c>
      <c r="M18" s="52" t="str">
        <f ca="1">IFERROR(IF(ISNUMBER(C18),INDEX('1. Locais'!K2:K24,C18 + 1)," ")," ")</f>
        <v xml:space="preserve"> </v>
      </c>
      <c r="N18" s="52" t="str">
        <f ca="1">IFERROR(IF(ISNUMBER(C18),IF(B18 = B5, 0, L18 + N17)," ")," ")</f>
        <v xml:space="preserve"> </v>
      </c>
      <c r="O18" s="52" t="str">
        <f ca="1">IFERROR(IF(ISNUMBER(C18),IF(B19 = B5, 0, IF(B19 = "", 0, O19 + M19))," ")," ")</f>
        <v xml:space="preserve"> </v>
      </c>
      <c r="P18" s="51" t="str">
        <f t="shared" ca="1" si="0"/>
        <v xml:space="preserve"> </v>
      </c>
    </row>
    <row r="19" spans="1:16" x14ac:dyDescent="0.25">
      <c r="A19" s="23">
        <v>14</v>
      </c>
      <c r="B19" s="54"/>
      <c r="C19" s="51" t="str">
        <f ca="1">IFERROR(MATCH(INDIRECT("B19"),'1. Locais'!B2:B24, 0) - 1," ")</f>
        <v xml:space="preserve"> </v>
      </c>
      <c r="D19" s="51" t="e">
        <f ca="1">IFERROR(IF(ISNUMBER(C19),INDEX('1. Locais'!D2:D24,C19 + 1),NA()),NA())</f>
        <v>#N/A</v>
      </c>
      <c r="E19" s="51" t="e">
        <f ca="1">IFERROR(IF(ISNUMBER(C19),INDEX('1. Locais'!E2:E24,C19 + 1),NA()),NA())</f>
        <v>#N/A</v>
      </c>
      <c r="F19" s="52" t="str">
        <f ca="1">IFERROR(IF(ISNUMBER(C19),INDEX('2. Distâncias'!C2:C530,C18*23+C19+ 1) +F18," ")," ")</f>
        <v xml:space="preserve"> </v>
      </c>
      <c r="G19" s="53" t="str">
        <f ca="1">IFERROR(IF(ISNUMBER(C19),'3. Veículos'!F2 * INDEX('2. Distâncias'!D2:D530,C18*23+C19 + 1) +G18," ")," ")</f>
        <v xml:space="preserve"> </v>
      </c>
      <c r="H19" s="79" t="str">
        <f ca="1">IFERROR(IF(ISNUMBER(C19),'3. Veículos'!F2 * INDEX('2. Distâncias'!D2:D530,C18*23+C19 + 1) +I18," ")," ")</f>
        <v xml:space="preserve"> </v>
      </c>
      <c r="I19" s="79" t="str">
        <f ca="1">IFERROR(IF(AND(C5&lt;&gt;C19,ISNUMBER(H19)),INDEX('1. Locais'!I2:I24,C19 + 1) + MAX(H19,INDEX('1. Locais'!F2:F24,C19 + 1))," ")," ")</f>
        <v xml:space="preserve"> </v>
      </c>
      <c r="J19" s="53" t="str">
        <f ca="1">IFERROR(IF(AND(B19 = B5, B20 = ""), H19 - I5, I19 - I5)," ")</f>
        <v xml:space="preserve"> </v>
      </c>
      <c r="K19" s="51" t="str">
        <f ca="1">IFERROR(IF(ISNUMBER(C19),INDEX('1. Locais'!L2:L24,C19 + 1) + K18," ")," ")</f>
        <v xml:space="preserve"> </v>
      </c>
      <c r="L19" s="52" t="str">
        <f ca="1">IFERROR(IF(ISNUMBER(C19),INDEX('1. Locais'!J2:J24,C19 + 1)," ")," ")</f>
        <v xml:space="preserve"> </v>
      </c>
      <c r="M19" s="52" t="str">
        <f ca="1">IFERROR(IF(ISNUMBER(C19),INDEX('1. Locais'!K2:K24,C19 + 1)," ")," ")</f>
        <v xml:space="preserve"> </v>
      </c>
      <c r="N19" s="52" t="str">
        <f ca="1">IFERROR(IF(ISNUMBER(C19),IF(B19 = B5, 0, L19 + N18)," ")," ")</f>
        <v xml:space="preserve"> </v>
      </c>
      <c r="O19" s="52" t="str">
        <f ca="1">IFERROR(IF(ISNUMBER(C19),IF(B20 = B5, 0, IF(B20 = "", 0, O20 + M20))," ")," ")</f>
        <v xml:space="preserve"> </v>
      </c>
      <c r="P19" s="51" t="str">
        <f t="shared" ca="1" si="0"/>
        <v xml:space="preserve"> </v>
      </c>
    </row>
    <row r="20" spans="1:16" x14ac:dyDescent="0.25">
      <c r="A20" s="23">
        <v>15</v>
      </c>
      <c r="B20" s="50"/>
      <c r="C20" s="51" t="str">
        <f ca="1">IFERROR(MATCH(INDIRECT("B20"),'1. Locais'!B2:B24, 0) - 1," ")</f>
        <v xml:space="preserve"> </v>
      </c>
      <c r="D20" s="51" t="e">
        <f ca="1">IFERROR(IF(ISNUMBER(C20),INDEX('1. Locais'!D2:D24,C20 + 1),NA()),NA())</f>
        <v>#N/A</v>
      </c>
      <c r="E20" s="51" t="e">
        <f ca="1">IFERROR(IF(ISNUMBER(C20),INDEX('1. Locais'!E2:E24,C20 + 1),NA()),NA())</f>
        <v>#N/A</v>
      </c>
      <c r="F20" s="52" t="str">
        <f ca="1">IFERROR(IF(ISNUMBER(C20),INDEX('2. Distâncias'!C2:C530,C19*23+C20+ 1) +F19," ")," ")</f>
        <v xml:space="preserve"> </v>
      </c>
      <c r="G20" s="53" t="str">
        <f ca="1">IFERROR(IF(ISNUMBER(C20),'3. Veículos'!F2 * INDEX('2. Distâncias'!D2:D530,C19*23+C20 + 1) +G19," ")," ")</f>
        <v xml:space="preserve"> </v>
      </c>
      <c r="H20" s="79" t="str">
        <f ca="1">IFERROR(IF(ISNUMBER(C20),'3. Veículos'!F2 * INDEX('2. Distâncias'!D2:D530,C19*23+C20 + 1) +I19," ")," ")</f>
        <v xml:space="preserve"> </v>
      </c>
      <c r="I20" s="79" t="str">
        <f ca="1">IFERROR(IF(AND(C5&lt;&gt;C20,ISNUMBER(H20)),INDEX('1. Locais'!I2:I24,C20 + 1) + MAX(H20,INDEX('1. Locais'!F2:F24,C20 + 1))," ")," ")</f>
        <v xml:space="preserve"> </v>
      </c>
      <c r="J20" s="53" t="str">
        <f ca="1">IFERROR(IF(AND(B20 = B5, B21 = ""), H20 - I5, I20 - I5)," ")</f>
        <v xml:space="preserve"> </v>
      </c>
      <c r="K20" s="51" t="str">
        <f ca="1">IFERROR(IF(ISNUMBER(C20),INDEX('1. Locais'!L2:L24,C20 + 1) + K19," ")," ")</f>
        <v xml:space="preserve"> </v>
      </c>
      <c r="L20" s="52" t="str">
        <f ca="1">IFERROR(IF(ISNUMBER(C20),INDEX('1. Locais'!J2:J24,C20 + 1)," ")," ")</f>
        <v xml:space="preserve"> </v>
      </c>
      <c r="M20" s="52" t="str">
        <f ca="1">IFERROR(IF(ISNUMBER(C20),INDEX('1. Locais'!K2:K24,C20 + 1)," ")," ")</f>
        <v xml:space="preserve"> </v>
      </c>
      <c r="N20" s="52" t="str">
        <f ca="1">IFERROR(IF(ISNUMBER(C20),IF(B20 = B5, 0, L20 + N19)," ")," ")</f>
        <v xml:space="preserve"> </v>
      </c>
      <c r="O20" s="52" t="str">
        <f ca="1">IFERROR(IF(ISNUMBER(C20),IF(B21 = B5, 0, IF(B21 = "", 0, O21 + M21))," ")," ")</f>
        <v xml:space="preserve"> </v>
      </c>
      <c r="P20" s="51" t="str">
        <f t="shared" ca="1" si="0"/>
        <v xml:space="preserve"> </v>
      </c>
    </row>
    <row r="21" spans="1:16" x14ac:dyDescent="0.25">
      <c r="A21" s="23">
        <v>16</v>
      </c>
      <c r="B21" s="54"/>
      <c r="C21" s="51" t="str">
        <f ca="1">IFERROR(MATCH(INDIRECT("B21"),'1. Locais'!B2:B24, 0) - 1," ")</f>
        <v xml:space="preserve"> </v>
      </c>
      <c r="D21" s="51" t="e">
        <f ca="1">IFERROR(IF(ISNUMBER(C21),INDEX('1. Locais'!D2:D24,C21 + 1),NA()),NA())</f>
        <v>#N/A</v>
      </c>
      <c r="E21" s="51" t="e">
        <f ca="1">IFERROR(IF(ISNUMBER(C21),INDEX('1. Locais'!E2:E24,C21 + 1),NA()),NA())</f>
        <v>#N/A</v>
      </c>
      <c r="F21" s="52" t="str">
        <f ca="1">IFERROR(IF(ISNUMBER(C21),INDEX('2. Distâncias'!C2:C530,C20*23+C21+ 1) +F20," ")," ")</f>
        <v xml:space="preserve"> </v>
      </c>
      <c r="G21" s="53" t="str">
        <f ca="1">IFERROR(IF(ISNUMBER(C21),'3. Veículos'!F2 * INDEX('2. Distâncias'!D2:D530,C20*23+C21 + 1) +G20," ")," ")</f>
        <v xml:space="preserve"> </v>
      </c>
      <c r="H21" s="79" t="str">
        <f ca="1">IFERROR(IF(ISNUMBER(C21),'3. Veículos'!F2 * INDEX('2. Distâncias'!D2:D530,C20*23+C21 + 1) +I20," ")," ")</f>
        <v xml:space="preserve"> </v>
      </c>
      <c r="I21" s="79" t="str">
        <f ca="1">IFERROR(IF(AND(C5&lt;&gt;C21,ISNUMBER(H21)),INDEX('1. Locais'!I2:I24,C21 + 1) + MAX(H21,INDEX('1. Locais'!F2:F24,C21 + 1))," ")," ")</f>
        <v xml:space="preserve"> </v>
      </c>
      <c r="J21" s="53" t="str">
        <f ca="1">IFERROR(IF(AND(B21 = B5, B22 = ""), H21 - I5, I21 - I5)," ")</f>
        <v xml:space="preserve"> </v>
      </c>
      <c r="K21" s="51" t="str">
        <f ca="1">IFERROR(IF(ISNUMBER(C21),INDEX('1. Locais'!L2:L24,C21 + 1) + K20," ")," ")</f>
        <v xml:space="preserve"> </v>
      </c>
      <c r="L21" s="52" t="str">
        <f ca="1">IFERROR(IF(ISNUMBER(C21),INDEX('1. Locais'!J2:J24,C21 + 1)," ")," ")</f>
        <v xml:space="preserve"> </v>
      </c>
      <c r="M21" s="52" t="str">
        <f ca="1">IFERROR(IF(ISNUMBER(C21),INDEX('1. Locais'!K2:K24,C21 + 1)," ")," ")</f>
        <v xml:space="preserve"> </v>
      </c>
      <c r="N21" s="52" t="str">
        <f ca="1">IFERROR(IF(ISNUMBER(C21),IF(B21 = B5, 0, L21 + N20)," ")," ")</f>
        <v xml:space="preserve"> </v>
      </c>
      <c r="O21" s="52" t="str">
        <f ca="1">IFERROR(IF(ISNUMBER(C21),IF(B22 = B5, 0, IF(B22 = "", 0, O22 + M22))," ")," ")</f>
        <v xml:space="preserve"> </v>
      </c>
      <c r="P21" s="51" t="str">
        <f t="shared" ca="1" si="0"/>
        <v xml:space="preserve"> </v>
      </c>
    </row>
    <row r="22" spans="1:16" x14ac:dyDescent="0.25">
      <c r="A22" s="23">
        <v>17</v>
      </c>
      <c r="B22" s="50"/>
      <c r="C22" s="51" t="str">
        <f ca="1">IFERROR(MATCH(INDIRECT("B22"),'1. Locais'!B2:B24, 0) - 1," ")</f>
        <v xml:space="preserve"> </v>
      </c>
      <c r="D22" s="51" t="e">
        <f ca="1">IFERROR(IF(ISNUMBER(C22),INDEX('1. Locais'!D2:D24,C22 + 1),NA()),NA())</f>
        <v>#N/A</v>
      </c>
      <c r="E22" s="51" t="e">
        <f ca="1">IFERROR(IF(ISNUMBER(C22),INDEX('1. Locais'!E2:E24,C22 + 1),NA()),NA())</f>
        <v>#N/A</v>
      </c>
      <c r="F22" s="52" t="str">
        <f ca="1">IFERROR(IF(ISNUMBER(C22),INDEX('2. Distâncias'!C2:C530,C21*23+C22+ 1) +F21," ")," ")</f>
        <v xml:space="preserve"> </v>
      </c>
      <c r="G22" s="53" t="str">
        <f ca="1">IFERROR(IF(ISNUMBER(C22),'3. Veículos'!F2 * INDEX('2. Distâncias'!D2:D530,C21*23+C22 + 1) +G21," ")," ")</f>
        <v xml:space="preserve"> </v>
      </c>
      <c r="H22" s="79" t="str">
        <f ca="1">IFERROR(IF(ISNUMBER(C22),'3. Veículos'!F2 * INDEX('2. Distâncias'!D2:D530,C21*23+C22 + 1) +I21," ")," ")</f>
        <v xml:space="preserve"> </v>
      </c>
      <c r="I22" s="79" t="str">
        <f ca="1">IFERROR(IF(AND(C5&lt;&gt;C22,ISNUMBER(H22)),INDEX('1. Locais'!I2:I24,C22 + 1) + MAX(H22,INDEX('1. Locais'!F2:F24,C22 + 1))," ")," ")</f>
        <v xml:space="preserve"> </v>
      </c>
      <c r="J22" s="53" t="str">
        <f ca="1">IFERROR(IF(AND(B22 = B5, B23 = ""), H22 - I5, I22 - I5)," ")</f>
        <v xml:space="preserve"> </v>
      </c>
      <c r="K22" s="51" t="str">
        <f ca="1">IFERROR(IF(ISNUMBER(C22),INDEX('1. Locais'!L2:L24,C22 + 1) + K21," ")," ")</f>
        <v xml:space="preserve"> </v>
      </c>
      <c r="L22" s="52" t="str">
        <f ca="1">IFERROR(IF(ISNUMBER(C22),INDEX('1. Locais'!J2:J24,C22 + 1)," ")," ")</f>
        <v xml:space="preserve"> </v>
      </c>
      <c r="M22" s="52" t="str">
        <f ca="1">IFERROR(IF(ISNUMBER(C22),INDEX('1. Locais'!K2:K24,C22 + 1)," ")," ")</f>
        <v xml:space="preserve"> </v>
      </c>
      <c r="N22" s="52" t="str">
        <f ca="1">IFERROR(IF(ISNUMBER(C22),IF(B22 = B5, 0, L22 + N21)," ")," ")</f>
        <v xml:space="preserve"> </v>
      </c>
      <c r="O22" s="52" t="str">
        <f ca="1">IFERROR(IF(ISNUMBER(C22),IF(B23 = B5, 0, IF(B23 = "", 0, O23 + M23))," ")," ")</f>
        <v xml:space="preserve"> </v>
      </c>
      <c r="P22" s="51" t="str">
        <f t="shared" ca="1" si="0"/>
        <v xml:space="preserve"> </v>
      </c>
    </row>
    <row r="23" spans="1:16" x14ac:dyDescent="0.25">
      <c r="A23" s="23">
        <v>18</v>
      </c>
      <c r="B23" s="54"/>
      <c r="C23" s="51" t="str">
        <f ca="1">IFERROR(MATCH(INDIRECT("B23"),'1. Locais'!B2:B24, 0) - 1," ")</f>
        <v xml:space="preserve"> </v>
      </c>
      <c r="D23" s="51" t="e">
        <f ca="1">IFERROR(IF(ISNUMBER(C23),INDEX('1. Locais'!D2:D24,C23 + 1),NA()),NA())</f>
        <v>#N/A</v>
      </c>
      <c r="E23" s="51" t="e">
        <f ca="1">IFERROR(IF(ISNUMBER(C23),INDEX('1. Locais'!E2:E24,C23 + 1),NA()),NA())</f>
        <v>#N/A</v>
      </c>
      <c r="F23" s="52" t="str">
        <f ca="1">IFERROR(IF(ISNUMBER(C23),INDEX('2. Distâncias'!C2:C530,C22*23+C23+ 1) +F22," ")," ")</f>
        <v xml:space="preserve"> </v>
      </c>
      <c r="G23" s="53" t="str">
        <f ca="1">IFERROR(IF(ISNUMBER(C23),'3. Veículos'!F2 * INDEX('2. Distâncias'!D2:D530,C22*23+C23 + 1) +G22," ")," ")</f>
        <v xml:space="preserve"> </v>
      </c>
      <c r="H23" s="79" t="str">
        <f ca="1">IFERROR(IF(ISNUMBER(C23),'3. Veículos'!F2 * INDEX('2. Distâncias'!D2:D530,C22*23+C23 + 1) +I22," ")," ")</f>
        <v xml:space="preserve"> </v>
      </c>
      <c r="I23" s="79" t="str">
        <f ca="1">IFERROR(IF(AND(C5&lt;&gt;C23,ISNUMBER(H23)),INDEX('1. Locais'!I2:I24,C23 + 1) + MAX(H23,INDEX('1. Locais'!F2:F24,C23 + 1))," ")," ")</f>
        <v xml:space="preserve"> </v>
      </c>
      <c r="J23" s="53" t="str">
        <f ca="1">IFERROR(IF(AND(B23 = B5, B24 = ""), H23 - I5, I23 - I5)," ")</f>
        <v xml:space="preserve"> </v>
      </c>
      <c r="K23" s="51" t="str">
        <f ca="1">IFERROR(IF(ISNUMBER(C23),INDEX('1. Locais'!L2:L24,C23 + 1) + K22," ")," ")</f>
        <v xml:space="preserve"> </v>
      </c>
      <c r="L23" s="52" t="str">
        <f ca="1">IFERROR(IF(ISNUMBER(C23),INDEX('1. Locais'!J2:J24,C23 + 1)," ")," ")</f>
        <v xml:space="preserve"> </v>
      </c>
      <c r="M23" s="52" t="str">
        <f ca="1">IFERROR(IF(ISNUMBER(C23),INDEX('1. Locais'!K2:K24,C23 + 1)," ")," ")</f>
        <v xml:space="preserve"> </v>
      </c>
      <c r="N23" s="52" t="str">
        <f ca="1">IFERROR(IF(ISNUMBER(C23),IF(B23 = B5, 0, L23 + N22)," ")," ")</f>
        <v xml:space="preserve"> </v>
      </c>
      <c r="O23" s="52" t="str">
        <f ca="1">IFERROR(IF(ISNUMBER(C23),IF(B24 = B5, 0, IF(B24 = "", 0, O24 + M24))," ")," ")</f>
        <v xml:space="preserve"> </v>
      </c>
      <c r="P23" s="51" t="str">
        <f t="shared" ca="1" si="0"/>
        <v xml:space="preserve"> </v>
      </c>
    </row>
    <row r="24" spans="1:16" x14ac:dyDescent="0.25">
      <c r="A24" s="23">
        <v>19</v>
      </c>
      <c r="B24" s="50"/>
      <c r="C24" s="51" t="str">
        <f ca="1">IFERROR(MATCH(INDIRECT("B24"),'1. Locais'!B2:B24, 0) - 1," ")</f>
        <v xml:space="preserve"> </v>
      </c>
      <c r="D24" s="51" t="e">
        <f ca="1">IFERROR(IF(ISNUMBER(C24),INDEX('1. Locais'!D2:D24,C24 + 1),NA()),NA())</f>
        <v>#N/A</v>
      </c>
      <c r="E24" s="51" t="e">
        <f ca="1">IFERROR(IF(ISNUMBER(C24),INDEX('1. Locais'!E2:E24,C24 + 1),NA()),NA())</f>
        <v>#N/A</v>
      </c>
      <c r="F24" s="52" t="str">
        <f ca="1">IFERROR(IF(ISNUMBER(C24),INDEX('2. Distâncias'!C2:C530,C23*23+C24+ 1) +F23," ")," ")</f>
        <v xml:space="preserve"> </v>
      </c>
      <c r="G24" s="53" t="str">
        <f ca="1">IFERROR(IF(ISNUMBER(C24),'3. Veículos'!F2 * INDEX('2. Distâncias'!D2:D530,C23*23+C24 + 1) +G23," ")," ")</f>
        <v xml:space="preserve"> </v>
      </c>
      <c r="H24" s="79" t="str">
        <f ca="1">IFERROR(IF(ISNUMBER(C24),'3. Veículos'!F2 * INDEX('2. Distâncias'!D2:D530,C23*23+C24 + 1) +I23," ")," ")</f>
        <v xml:space="preserve"> </v>
      </c>
      <c r="I24" s="79" t="str">
        <f ca="1">IFERROR(IF(AND(C5&lt;&gt;C24,ISNUMBER(H24)),INDEX('1. Locais'!I2:I24,C24 + 1) + MAX(H24,INDEX('1. Locais'!F2:F24,C24 + 1))," ")," ")</f>
        <v xml:space="preserve"> </v>
      </c>
      <c r="J24" s="53" t="str">
        <f ca="1">IFERROR(IF(AND(B24 = B5, B25 = ""), H24 - I5, I24 - I5)," ")</f>
        <v xml:space="preserve"> </v>
      </c>
      <c r="K24" s="51" t="str">
        <f ca="1">IFERROR(IF(ISNUMBER(C24),INDEX('1. Locais'!L2:L24,C24 + 1) + K23," ")," ")</f>
        <v xml:space="preserve"> </v>
      </c>
      <c r="L24" s="52" t="str">
        <f ca="1">IFERROR(IF(ISNUMBER(C24),INDEX('1. Locais'!J2:J24,C24 + 1)," ")," ")</f>
        <v xml:space="preserve"> </v>
      </c>
      <c r="M24" s="52" t="str">
        <f ca="1">IFERROR(IF(ISNUMBER(C24),INDEX('1. Locais'!K2:K24,C24 + 1)," ")," ")</f>
        <v xml:space="preserve"> </v>
      </c>
      <c r="N24" s="52" t="str">
        <f ca="1">IFERROR(IF(ISNUMBER(C24),IF(B24 = B5, 0, L24 + N23)," ")," ")</f>
        <v xml:space="preserve"> </v>
      </c>
      <c r="O24" s="52" t="str">
        <f ca="1">IFERROR(IF(ISNUMBER(C24),IF(B25 = B5, 0, IF(B25 = "", 0, O25 + M25))," ")," ")</f>
        <v xml:space="preserve"> </v>
      </c>
      <c r="P24" s="51" t="str">
        <f t="shared" ca="1" si="0"/>
        <v xml:space="preserve"> </v>
      </c>
    </row>
    <row r="25" spans="1:16" x14ac:dyDescent="0.25">
      <c r="A25" s="23">
        <v>20</v>
      </c>
      <c r="B25" s="54"/>
      <c r="C25" s="51" t="str">
        <f ca="1">IFERROR(MATCH(INDIRECT("B25"),'1. Locais'!B2:B24, 0) - 1," ")</f>
        <v xml:space="preserve"> </v>
      </c>
      <c r="D25" s="51" t="e">
        <f ca="1">IFERROR(IF(ISNUMBER(C25),INDEX('1. Locais'!D2:D24,C25 + 1),NA()),NA())</f>
        <v>#N/A</v>
      </c>
      <c r="E25" s="51" t="e">
        <f ca="1">IFERROR(IF(ISNUMBER(C25),INDEX('1. Locais'!E2:E24,C25 + 1),NA()),NA())</f>
        <v>#N/A</v>
      </c>
      <c r="F25" s="52" t="str">
        <f ca="1">IFERROR(IF(ISNUMBER(C25),INDEX('2. Distâncias'!C2:C530,C24*23+C25+ 1) +F24," ")," ")</f>
        <v xml:space="preserve"> </v>
      </c>
      <c r="G25" s="53" t="str">
        <f ca="1">IFERROR(IF(ISNUMBER(C25),'3. Veículos'!F2 * INDEX('2. Distâncias'!D2:D530,C24*23+C25 + 1) +G24," ")," ")</f>
        <v xml:space="preserve"> </v>
      </c>
      <c r="H25" s="79" t="str">
        <f ca="1">IFERROR(IF(ISNUMBER(C25),'3. Veículos'!F2 * INDEX('2. Distâncias'!D2:D530,C24*23+C25 + 1) +I24," ")," ")</f>
        <v xml:space="preserve"> </v>
      </c>
      <c r="I25" s="79" t="str">
        <f ca="1">IFERROR(IF(AND(C5&lt;&gt;C25,ISNUMBER(H25)),INDEX('1. Locais'!I2:I24,C25 + 1) + MAX(H25,INDEX('1. Locais'!F2:F24,C25 + 1))," ")," ")</f>
        <v xml:space="preserve"> </v>
      </c>
      <c r="J25" s="53" t="str">
        <f ca="1">IFERROR(IF(AND(B25 = B5, B26 = ""), H25 - I5, I25 - I5)," ")</f>
        <v xml:space="preserve"> </v>
      </c>
      <c r="K25" s="51" t="str">
        <f ca="1">IFERROR(IF(ISNUMBER(C25),INDEX('1. Locais'!L2:L24,C25 + 1) + K24," ")," ")</f>
        <v xml:space="preserve"> </v>
      </c>
      <c r="L25" s="52" t="str">
        <f ca="1">IFERROR(IF(ISNUMBER(C25),INDEX('1. Locais'!J2:J24,C25 + 1)," ")," ")</f>
        <v xml:space="preserve"> </v>
      </c>
      <c r="M25" s="52" t="str">
        <f ca="1">IFERROR(IF(ISNUMBER(C25),INDEX('1. Locais'!K2:K24,C25 + 1)," ")," ")</f>
        <v xml:space="preserve"> </v>
      </c>
      <c r="N25" s="52" t="str">
        <f ca="1">IFERROR(IF(ISNUMBER(C25),IF(B25 = B5, 0, L25 + N24)," ")," ")</f>
        <v xml:space="preserve"> </v>
      </c>
      <c r="O25" s="52" t="str">
        <f ca="1">IFERROR(IF(ISNUMBER(C25),IF(B26 = B5, 0, IF(B26 = "", 0, O26 + M26))," ")," ")</f>
        <v xml:space="preserve"> </v>
      </c>
      <c r="P25" s="51" t="str">
        <f t="shared" ca="1" si="0"/>
        <v xml:space="preserve"> </v>
      </c>
    </row>
    <row r="26" spans="1:16" x14ac:dyDescent="0.25">
      <c r="A26" s="23">
        <v>21</v>
      </c>
      <c r="B26" s="50"/>
      <c r="C26" s="51" t="str">
        <f ca="1">IFERROR(MATCH(INDIRECT("B26"),'1. Locais'!B2:B24, 0) - 1," ")</f>
        <v xml:space="preserve"> </v>
      </c>
      <c r="D26" s="51" t="e">
        <f ca="1">IFERROR(IF(ISNUMBER(C26),INDEX('1. Locais'!D2:D24,C26 + 1),NA()),NA())</f>
        <v>#N/A</v>
      </c>
      <c r="E26" s="51" t="e">
        <f ca="1">IFERROR(IF(ISNUMBER(C26),INDEX('1. Locais'!E2:E24,C26 + 1),NA()),NA())</f>
        <v>#N/A</v>
      </c>
      <c r="F26" s="52" t="str">
        <f ca="1">IFERROR(IF(ISNUMBER(C26),INDEX('2. Distâncias'!C2:C530,C25*23+C26+ 1) +F25," ")," ")</f>
        <v xml:space="preserve"> </v>
      </c>
      <c r="G26" s="53" t="str">
        <f ca="1">IFERROR(IF(ISNUMBER(C26),'3. Veículos'!F2 * INDEX('2. Distâncias'!D2:D530,C25*23+C26 + 1) +G25," ")," ")</f>
        <v xml:space="preserve"> </v>
      </c>
      <c r="H26" s="79" t="str">
        <f ca="1">IFERROR(IF(ISNUMBER(C26),'3. Veículos'!F2 * INDEX('2. Distâncias'!D2:D530,C25*23+C26 + 1) +I25," ")," ")</f>
        <v xml:space="preserve"> </v>
      </c>
      <c r="I26" s="79" t="str">
        <f ca="1">IFERROR(IF(AND(C5&lt;&gt;C26,ISNUMBER(H26)),INDEX('1. Locais'!I2:I24,C26 + 1) + MAX(H26,INDEX('1. Locais'!F2:F24,C26 + 1))," ")," ")</f>
        <v xml:space="preserve"> </v>
      </c>
      <c r="J26" s="53" t="str">
        <f ca="1">IFERROR(IF(AND(B26 = B5, B27 = ""), H26 - I5, I26 - I5)," ")</f>
        <v xml:space="preserve"> </v>
      </c>
      <c r="K26" s="51" t="str">
        <f ca="1">IFERROR(IF(ISNUMBER(C26),INDEX('1. Locais'!L2:L24,C26 + 1) + K25," ")," ")</f>
        <v xml:space="preserve"> </v>
      </c>
      <c r="L26" s="52" t="str">
        <f ca="1">IFERROR(IF(ISNUMBER(C26),INDEX('1. Locais'!J2:J24,C26 + 1)," ")," ")</f>
        <v xml:space="preserve"> </v>
      </c>
      <c r="M26" s="52" t="str">
        <f ca="1">IFERROR(IF(ISNUMBER(C26),INDEX('1. Locais'!K2:K24,C26 + 1)," ")," ")</f>
        <v xml:space="preserve"> </v>
      </c>
      <c r="N26" s="52" t="str">
        <f ca="1">IFERROR(IF(ISNUMBER(C26),IF(B26 = B5, 0, L26 + N25)," ")," ")</f>
        <v xml:space="preserve"> </v>
      </c>
      <c r="O26" s="52" t="str">
        <f ca="1">IFERROR(IF(ISNUMBER(C26),IF(B27 = B5, 0, IF(B27 = "", 0, O27 + M27))," ")," ")</f>
        <v xml:space="preserve"> </v>
      </c>
      <c r="P26" s="51" t="str">
        <f t="shared" ca="1" si="0"/>
        <v xml:space="preserve"> </v>
      </c>
    </row>
    <row r="27" spans="1:16" x14ac:dyDescent="0.25">
      <c r="A27" s="23">
        <v>22</v>
      </c>
      <c r="B27" s="54"/>
      <c r="C27" s="51" t="str">
        <f ca="1">IFERROR(MATCH(INDIRECT("B27"),'1. Locais'!B2:B24, 0) - 1," ")</f>
        <v xml:space="preserve"> </v>
      </c>
      <c r="D27" s="51" t="e">
        <f ca="1">IFERROR(IF(ISNUMBER(C27),INDEX('1. Locais'!D2:D24,C27 + 1),NA()),NA())</f>
        <v>#N/A</v>
      </c>
      <c r="E27" s="51" t="e">
        <f ca="1">IFERROR(IF(ISNUMBER(C27),INDEX('1. Locais'!E2:E24,C27 + 1),NA()),NA())</f>
        <v>#N/A</v>
      </c>
      <c r="F27" s="52" t="str">
        <f ca="1">IFERROR(IF(ISNUMBER(C27),INDEX('2. Distâncias'!C2:C530,C26*23+C27+ 1) +F26," ")," ")</f>
        <v xml:space="preserve"> </v>
      </c>
      <c r="G27" s="53" t="str">
        <f ca="1">IFERROR(IF(ISNUMBER(C27),'3. Veículos'!F2 * INDEX('2. Distâncias'!D2:D530,C26*23+C27 + 1) +G26," ")," ")</f>
        <v xml:space="preserve"> </v>
      </c>
      <c r="H27" s="79" t="str">
        <f ca="1">IFERROR(IF(ISNUMBER(C27),'3. Veículos'!F2 * INDEX('2. Distâncias'!D2:D530,C26*23+C27 + 1) +I26," ")," ")</f>
        <v xml:space="preserve"> </v>
      </c>
      <c r="I27" s="79" t="str">
        <f ca="1">IFERROR(IF(AND(C5&lt;&gt;C27,ISNUMBER(H27)),INDEX('1. Locais'!I2:I24,C27 + 1) + MAX(H27,INDEX('1. Locais'!F2:F24,C27 + 1))," ")," ")</f>
        <v xml:space="preserve"> </v>
      </c>
      <c r="J27" s="53" t="str">
        <f ca="1">IFERROR(IF(AND(B27 = B5, B28 = ""), H27 - I5, I27 - I5)," ")</f>
        <v xml:space="preserve"> </v>
      </c>
      <c r="K27" s="51" t="str">
        <f ca="1">IFERROR(IF(ISNUMBER(C27),INDEX('1. Locais'!L2:L24,C27 + 1) + K26," ")," ")</f>
        <v xml:space="preserve"> </v>
      </c>
      <c r="L27" s="52" t="str">
        <f ca="1">IFERROR(IF(ISNUMBER(C27),INDEX('1. Locais'!J2:J24,C27 + 1)," ")," ")</f>
        <v xml:space="preserve"> </v>
      </c>
      <c r="M27" s="52" t="str">
        <f ca="1">IFERROR(IF(ISNUMBER(C27),INDEX('1. Locais'!K2:K24,C27 + 1)," ")," ")</f>
        <v xml:space="preserve"> </v>
      </c>
      <c r="N27" s="52" t="str">
        <f ca="1">IFERROR(IF(ISNUMBER(C27),IF(B27 = B5, 0, L27 + N26)," ")," ")</f>
        <v xml:space="preserve"> </v>
      </c>
      <c r="O27" s="52" t="str">
        <f ca="1">IFERROR(IF(ISNUMBER(C27),IF(B28 = B5, 0, IF(B28 = "", 0, O28 + M28))," ")," ")</f>
        <v xml:space="preserve"> </v>
      </c>
      <c r="P27" s="51" t="str">
        <f t="shared" ca="1" si="0"/>
        <v xml:space="preserve"> </v>
      </c>
    </row>
    <row r="28" spans="1:16" x14ac:dyDescent="0.25">
      <c r="A28" s="22">
        <v>23</v>
      </c>
      <c r="B28" s="78"/>
      <c r="C28" s="47" t="str">
        <f ca="1">IFERROR(MATCH(INDIRECT("B28"),'1. Locais'!B2:B24, 0) - 1," ")</f>
        <v xml:space="preserve"> </v>
      </c>
      <c r="D28" s="47" t="e">
        <f ca="1">IFERROR(IF(ISNUMBER(C28),INDEX('1. Locais'!D2:D24,C28 + 1),NA()),NA())</f>
        <v>#N/A</v>
      </c>
      <c r="E28" s="47" t="e">
        <f ca="1">IFERROR(IF(ISNUMBER(C28),INDEX('1. Locais'!E2:E24,C28 + 1),NA()),NA())</f>
        <v>#N/A</v>
      </c>
      <c r="F28" s="48" t="str">
        <f ca="1">IFERROR(IF(ISNUMBER(C28),INDEX('2. Distâncias'!C2:C530,C27*23+C28+ 1) +F27," ")," ")</f>
        <v xml:space="preserve"> </v>
      </c>
      <c r="G28" s="49" t="str">
        <f ca="1">IFERROR(IF(ISNUMBER(C28),'3. Veículos'!F2 * INDEX('2. Distâncias'!D2:D530,C27*23+C28 + 1) +G27," ")," ")</f>
        <v xml:space="preserve"> </v>
      </c>
      <c r="H28" s="77" t="str">
        <f ca="1">IFERROR(IF(ISNUMBER(C28),'3. Veículos'!F2 * INDEX('2. Distâncias'!D2:D530,C27*23+C28 + 1) +I27," ")," ")</f>
        <v xml:space="preserve"> </v>
      </c>
      <c r="I28" s="77" t="str">
        <f ca="1">IFERROR(IF(AND(C5&lt;&gt;C28,ISNUMBER(H28)),INDEX('1. Locais'!I2:I24,C28 + 1) + MAX(H28,INDEX('1. Locais'!F2:F24,C28 + 1))," ")," ")</f>
        <v xml:space="preserve"> </v>
      </c>
      <c r="J28" s="49" t="str">
        <f ca="1">IFERROR(IF(AND(B28 = B5, B29 = ""), H28 - I5, I28 - I5)," ")</f>
        <v xml:space="preserve"> </v>
      </c>
      <c r="K28" s="47" t="str">
        <f ca="1">IFERROR(IF(ISNUMBER(C28),INDEX('1. Locais'!L2:L24,C28 + 1) + K27," ")," ")</f>
        <v xml:space="preserve"> </v>
      </c>
      <c r="L28" s="48" t="str">
        <f ca="1">IFERROR(IF(ISNUMBER(C28),INDEX('1. Locais'!J2:J24,C28 + 1)," ")," ")</f>
        <v xml:space="preserve"> </v>
      </c>
      <c r="M28" s="48" t="str">
        <f ca="1">IFERROR(IF(ISNUMBER(C28),INDEX('1. Locais'!K2:K24,C28 + 1)," ")," ")</f>
        <v xml:space="preserve"> </v>
      </c>
      <c r="N28" s="48" t="str">
        <f ca="1">IFERROR(IF(ISNUMBER(C28),IF(B28 = B5, 0, L28 + N27)," ")," ")</f>
        <v xml:space="preserve"> </v>
      </c>
      <c r="O28" s="48" t="str">
        <f ca="1">IFERROR(IF(ISNUMBER(C28),IF(B29 = B5, 0, IF(B29 = "", 0, O29 + M29))," ")," ")</f>
        <v xml:space="preserve"> </v>
      </c>
      <c r="P28" s="47" t="str">
        <f t="shared" ca="1" si="0"/>
        <v xml:space="preserve"> </v>
      </c>
    </row>
    <row r="30" spans="1:16" x14ac:dyDescent="0.25">
      <c r="A30" s="18" t="s">
        <v>1120</v>
      </c>
    </row>
  </sheetData>
  <conditionalFormatting sqref="F6:F28">
    <cfRule type="cellIs" dxfId="81" priority="4" stopIfTrue="1" operator="equal">
      <formula>" "</formula>
    </cfRule>
  </conditionalFormatting>
  <conditionalFormatting sqref="P6:P28">
    <cfRule type="cellIs" dxfId="80" priority="3" stopIfTrue="1" operator="equal">
      <formula>" "</formula>
    </cfRule>
  </conditionalFormatting>
  <conditionalFormatting sqref="P6:P28">
    <cfRule type="cellIs" dxfId="79" priority="78" stopIfTrue="1" operator="lessThan">
      <formula>0</formula>
    </cfRule>
  </conditionalFormatting>
  <conditionalFormatting sqref="G6:G28">
    <cfRule type="cellIs" dxfId="78" priority="2" stopIfTrue="1" operator="equal">
      <formula>" "</formula>
    </cfRule>
  </conditionalFormatting>
  <conditionalFormatting sqref="J6:J28">
    <cfRule type="cellIs" dxfId="77" priority="1" stopIfTrue="1" operator="equal">
      <formula>" "</formula>
    </cfRule>
  </conditionalFormatting>
  <conditionalFormatting sqref="I3">
    <cfRule type="expression" dxfId="76" priority="81" stopIfTrue="1">
      <formula>ISERROR(I3)</formula>
    </cfRule>
  </conditionalFormatting>
  <conditionalFormatting sqref="B1">
    <cfRule type="expression" dxfId="75" priority="82"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2EED8554-3967-49BE-B236-2003B98FB775}">
            <xm:f>(60 * HOUR(H5) + MINUTE(H5)) &gt;(60 * HOUR(INDEX('1. Locais'!G2:G24,C5 + 1)) +MINUTE(INDEX('1. Locais'!G2:G24,C5 + 1)))</xm:f>
            <x14:dxf>
              <fill>
                <patternFill>
                  <bgColor indexed="10"/>
                </patternFill>
              </fill>
            </x14:dxf>
          </x14:cfRule>
          <xm:sqref>H5</xm:sqref>
        </x14:conditionalFormatting>
        <x14:conditionalFormatting xmlns:xm="http://schemas.microsoft.com/office/excel/2006/main">
          <x14:cfRule type="expression" priority="6" stopIfTrue="1" id="{4D607615-4491-41E9-BF89-62782E5B6D71}">
            <xm:f>(60 * HOUR(I5) + MINUTE(I5)) &gt;(60 * HOUR(INDEX('1. Locais'!G2:G24,C5 + 1)) +MINUTE(INDEX('1. Locais'!G2:G24,C5 + 1)))</xm:f>
            <x14:dxf>
              <fill>
                <patternFill>
                  <bgColor indexed="10"/>
                </patternFill>
              </fill>
            </x14:dxf>
          </x14:cfRule>
          <xm:sqref>I5</xm:sqref>
        </x14:conditionalFormatting>
        <x14:conditionalFormatting xmlns:xm="http://schemas.microsoft.com/office/excel/2006/main">
          <x14:cfRule type="cellIs" priority="7" stopIfTrue="1" operator="lessThan" id="{070C14E5-0577-4557-BC2E-E58679572BD4}">
            <xm:f>INDEX('1. Locais'!F2:F24,C6 + 1)</xm:f>
            <x14:dxf>
              <fill>
                <patternFill>
                  <bgColor indexed="52"/>
                </patternFill>
              </fill>
            </x14:dxf>
          </x14:cfRule>
          <x14:cfRule type="expression" priority="8" stopIfTrue="1" id="{CBA5A8EA-CB0C-4ACE-A42C-612F534D0937}">
            <xm:f>(60 * HOUR(H6) + MINUTE(H6)) &gt;(60 * HOUR(INDEX('1. Locais'!G2:G24,C6 + 1)) +MINUTE(INDEX('1. Locais'!G2:G24,C6 + 1)))</xm:f>
            <x14:dxf>
              <fill>
                <patternFill>
                  <bgColor indexed="10"/>
                </patternFill>
              </fill>
            </x14:dxf>
          </x14:cfRule>
          <xm:sqref>H6</xm:sqref>
        </x14:conditionalFormatting>
        <x14:conditionalFormatting xmlns:xm="http://schemas.microsoft.com/office/excel/2006/main">
          <x14:cfRule type="expression" priority="9" stopIfTrue="1" id="{5E1704DC-5F95-4F52-9500-B589F08AB77E}">
            <xm:f>(60 * HOUR(I6) + MINUTE(I6)) &gt;(60 * HOUR(INDEX('1. Locais'!G2:G24,C6 + 1)) +MINUTE(INDEX('1. Locais'!G2:G24,C6 + 1)))</xm:f>
            <x14:dxf>
              <fill>
                <patternFill>
                  <bgColor indexed="10"/>
                </patternFill>
              </fill>
            </x14:dxf>
          </x14:cfRule>
          <xm:sqref>I6</xm:sqref>
        </x14:conditionalFormatting>
        <x14:conditionalFormatting xmlns:xm="http://schemas.microsoft.com/office/excel/2006/main">
          <x14:cfRule type="cellIs" priority="10" stopIfTrue="1" operator="lessThan" id="{B5834A51-E8D5-4DE5-A757-3614BC5BF91F}">
            <xm:f>INDEX('1. Locais'!F2:F24,C7 + 1)</xm:f>
            <x14:dxf>
              <fill>
                <patternFill>
                  <bgColor indexed="52"/>
                </patternFill>
              </fill>
            </x14:dxf>
          </x14:cfRule>
          <x14:cfRule type="expression" priority="11" stopIfTrue="1" id="{94580478-520E-4B1A-B401-81AF409C9D31}">
            <xm:f>(60 * HOUR(H7) + MINUTE(H7)) &gt;(60 * HOUR(INDEX('1. Locais'!G2:G24,C7 + 1)) +MINUTE(INDEX('1. Locais'!G2:G24,C7 + 1)))</xm:f>
            <x14:dxf>
              <fill>
                <patternFill>
                  <bgColor indexed="10"/>
                </patternFill>
              </fill>
            </x14:dxf>
          </x14:cfRule>
          <xm:sqref>H7</xm:sqref>
        </x14:conditionalFormatting>
        <x14:conditionalFormatting xmlns:xm="http://schemas.microsoft.com/office/excel/2006/main">
          <x14:cfRule type="expression" priority="12" stopIfTrue="1" id="{BAFF1448-3933-44ED-95A1-643BBF532F0F}">
            <xm:f>(60 * HOUR(I7) + MINUTE(I7)) &gt;(60 * HOUR(INDEX('1. Locais'!G2:G24,C7 + 1)) +MINUTE(INDEX('1. Locais'!G2:G24,C7 + 1)))</xm:f>
            <x14:dxf>
              <fill>
                <patternFill>
                  <bgColor indexed="10"/>
                </patternFill>
              </fill>
            </x14:dxf>
          </x14:cfRule>
          <xm:sqref>I7</xm:sqref>
        </x14:conditionalFormatting>
        <x14:conditionalFormatting xmlns:xm="http://schemas.microsoft.com/office/excel/2006/main">
          <x14:cfRule type="cellIs" priority="13" stopIfTrue="1" operator="lessThan" id="{284108E9-EA8D-44CA-BC7E-425D27384299}">
            <xm:f>INDEX('1. Locais'!F2:F24,C8 + 1)</xm:f>
            <x14:dxf>
              <fill>
                <patternFill>
                  <bgColor indexed="52"/>
                </patternFill>
              </fill>
            </x14:dxf>
          </x14:cfRule>
          <x14:cfRule type="expression" priority="14" stopIfTrue="1" id="{3DF2D380-05E1-4A5D-AF89-1FB0E6711245}">
            <xm:f>(60 * HOUR(H8) + MINUTE(H8)) &gt;(60 * HOUR(INDEX('1. Locais'!G2:G24,C8 + 1)) +MINUTE(INDEX('1. Locais'!G2:G24,C8 + 1)))</xm:f>
            <x14:dxf>
              <fill>
                <patternFill>
                  <bgColor indexed="10"/>
                </patternFill>
              </fill>
            </x14:dxf>
          </x14:cfRule>
          <xm:sqref>H8</xm:sqref>
        </x14:conditionalFormatting>
        <x14:conditionalFormatting xmlns:xm="http://schemas.microsoft.com/office/excel/2006/main">
          <x14:cfRule type="expression" priority="15" stopIfTrue="1" id="{D94BAB77-F24D-4BD6-9F31-2DECDC0E4303}">
            <xm:f>(60 * HOUR(I8) + MINUTE(I8)) &gt;(60 * HOUR(INDEX('1. Locais'!G2:G24,C8 + 1)) +MINUTE(INDEX('1. Locais'!G2:G24,C8 + 1)))</xm:f>
            <x14:dxf>
              <fill>
                <patternFill>
                  <bgColor indexed="10"/>
                </patternFill>
              </fill>
            </x14:dxf>
          </x14:cfRule>
          <xm:sqref>I8</xm:sqref>
        </x14:conditionalFormatting>
        <x14:conditionalFormatting xmlns:xm="http://schemas.microsoft.com/office/excel/2006/main">
          <x14:cfRule type="cellIs" priority="16" stopIfTrue="1" operator="lessThan" id="{6913C8B6-AC5E-41A6-8054-DEEFA2162061}">
            <xm:f>INDEX('1. Locais'!F2:F24,C9 + 1)</xm:f>
            <x14:dxf>
              <fill>
                <patternFill>
                  <bgColor indexed="52"/>
                </patternFill>
              </fill>
            </x14:dxf>
          </x14:cfRule>
          <x14:cfRule type="expression" priority="17" stopIfTrue="1" id="{FE5AE172-D7A8-4437-BDAB-05A83E98C3EF}">
            <xm:f>(60 * HOUR(H9) + MINUTE(H9)) &gt;(60 * HOUR(INDEX('1. Locais'!G2:G24,C9 + 1)) +MINUTE(INDEX('1. Locais'!G2:G24,C9 + 1)))</xm:f>
            <x14:dxf>
              <fill>
                <patternFill>
                  <bgColor indexed="10"/>
                </patternFill>
              </fill>
            </x14:dxf>
          </x14:cfRule>
          <xm:sqref>H9</xm:sqref>
        </x14:conditionalFormatting>
        <x14:conditionalFormatting xmlns:xm="http://schemas.microsoft.com/office/excel/2006/main">
          <x14:cfRule type="expression" priority="18" stopIfTrue="1" id="{B1B1D013-10CA-409E-B6AD-41F427A9BEE7}">
            <xm:f>(60 * HOUR(I9) + MINUTE(I9)) &gt;(60 * HOUR(INDEX('1. Locais'!G2:G24,C9 + 1)) +MINUTE(INDEX('1. Locais'!G2:G24,C9 + 1)))</xm:f>
            <x14:dxf>
              <fill>
                <patternFill>
                  <bgColor indexed="10"/>
                </patternFill>
              </fill>
            </x14:dxf>
          </x14:cfRule>
          <xm:sqref>I9</xm:sqref>
        </x14:conditionalFormatting>
        <x14:conditionalFormatting xmlns:xm="http://schemas.microsoft.com/office/excel/2006/main">
          <x14:cfRule type="cellIs" priority="19" stopIfTrue="1" operator="lessThan" id="{19C1FF7C-10B7-4D32-B5D0-80E6B52B4B39}">
            <xm:f>INDEX('1. Locais'!F2:F24,C10 + 1)</xm:f>
            <x14:dxf>
              <fill>
                <patternFill>
                  <bgColor indexed="52"/>
                </patternFill>
              </fill>
            </x14:dxf>
          </x14:cfRule>
          <x14:cfRule type="expression" priority="20" stopIfTrue="1" id="{C95F9EC8-2E61-418E-9EE7-A36A3E0D3AD8}">
            <xm:f>(60 * HOUR(H10) + MINUTE(H10)) &gt;(60 * HOUR(INDEX('1. Locais'!G2:G24,C10 + 1)) +MINUTE(INDEX('1. Locais'!G2:G24,C10 + 1)))</xm:f>
            <x14:dxf>
              <fill>
                <patternFill>
                  <bgColor indexed="10"/>
                </patternFill>
              </fill>
            </x14:dxf>
          </x14:cfRule>
          <xm:sqref>H10</xm:sqref>
        </x14:conditionalFormatting>
        <x14:conditionalFormatting xmlns:xm="http://schemas.microsoft.com/office/excel/2006/main">
          <x14:cfRule type="expression" priority="21" stopIfTrue="1" id="{FCEC8C22-C99B-48EC-9503-1E649005D579}">
            <xm:f>(60 * HOUR(I10) + MINUTE(I10)) &gt;(60 * HOUR(INDEX('1. Locais'!G2:G24,C10 + 1)) +MINUTE(INDEX('1. Locais'!G2:G24,C10 + 1)))</xm:f>
            <x14:dxf>
              <fill>
                <patternFill>
                  <bgColor indexed="10"/>
                </patternFill>
              </fill>
            </x14:dxf>
          </x14:cfRule>
          <xm:sqref>I10</xm:sqref>
        </x14:conditionalFormatting>
        <x14:conditionalFormatting xmlns:xm="http://schemas.microsoft.com/office/excel/2006/main">
          <x14:cfRule type="cellIs" priority="22" stopIfTrue="1" operator="lessThan" id="{6A3D5B43-15AC-4E99-9156-0749C08DB0D4}">
            <xm:f>INDEX('1. Locais'!F2:F24,C11 + 1)</xm:f>
            <x14:dxf>
              <fill>
                <patternFill>
                  <bgColor indexed="52"/>
                </patternFill>
              </fill>
            </x14:dxf>
          </x14:cfRule>
          <x14:cfRule type="expression" priority="23" stopIfTrue="1" id="{B1704095-BF81-4EC3-BB5D-3EAFB18A131B}">
            <xm:f>(60 * HOUR(H11) + MINUTE(H11)) &gt;(60 * HOUR(INDEX('1. Locais'!G2:G24,C11 + 1)) +MINUTE(INDEX('1. Locais'!G2:G24,C11 + 1)))</xm:f>
            <x14:dxf>
              <fill>
                <patternFill>
                  <bgColor indexed="10"/>
                </patternFill>
              </fill>
            </x14:dxf>
          </x14:cfRule>
          <xm:sqref>H11</xm:sqref>
        </x14:conditionalFormatting>
        <x14:conditionalFormatting xmlns:xm="http://schemas.microsoft.com/office/excel/2006/main">
          <x14:cfRule type="expression" priority="24" stopIfTrue="1" id="{29A106F7-994A-4894-A8E6-D4FBBA15EE79}">
            <xm:f>(60 * HOUR(I11) + MINUTE(I11)) &gt;(60 * HOUR(INDEX('1. Locais'!G2:G24,C11 + 1)) +MINUTE(INDEX('1. Locais'!G2:G24,C11 + 1)))</xm:f>
            <x14:dxf>
              <fill>
                <patternFill>
                  <bgColor indexed="10"/>
                </patternFill>
              </fill>
            </x14:dxf>
          </x14:cfRule>
          <xm:sqref>I11</xm:sqref>
        </x14:conditionalFormatting>
        <x14:conditionalFormatting xmlns:xm="http://schemas.microsoft.com/office/excel/2006/main">
          <x14:cfRule type="cellIs" priority="25" stopIfTrue="1" operator="lessThan" id="{390BC4EA-0D88-4CBF-8599-C9129AFE9561}">
            <xm:f>INDEX('1. Locais'!F2:F24,C12 + 1)</xm:f>
            <x14:dxf>
              <fill>
                <patternFill>
                  <bgColor indexed="52"/>
                </patternFill>
              </fill>
            </x14:dxf>
          </x14:cfRule>
          <x14:cfRule type="expression" priority="26" stopIfTrue="1" id="{E414F026-E9D3-4546-8FDB-885315A4F336}">
            <xm:f>(60 * HOUR(H12) + MINUTE(H12)) &gt;(60 * HOUR(INDEX('1. Locais'!G2:G24,C12 + 1)) +MINUTE(INDEX('1. Locais'!G2:G24,C12 + 1)))</xm:f>
            <x14:dxf>
              <fill>
                <patternFill>
                  <bgColor indexed="10"/>
                </patternFill>
              </fill>
            </x14:dxf>
          </x14:cfRule>
          <xm:sqref>H12</xm:sqref>
        </x14:conditionalFormatting>
        <x14:conditionalFormatting xmlns:xm="http://schemas.microsoft.com/office/excel/2006/main">
          <x14:cfRule type="expression" priority="27" stopIfTrue="1" id="{0AC0DB6D-8DC7-4F71-8200-DA1BCBDC2AFF}">
            <xm:f>(60 * HOUR(I12) + MINUTE(I12)) &gt;(60 * HOUR(INDEX('1. Locais'!G2:G24,C12 + 1)) +MINUTE(INDEX('1. Locais'!G2:G24,C12 + 1)))</xm:f>
            <x14:dxf>
              <fill>
                <patternFill>
                  <bgColor indexed="10"/>
                </patternFill>
              </fill>
            </x14:dxf>
          </x14:cfRule>
          <xm:sqref>I12</xm:sqref>
        </x14:conditionalFormatting>
        <x14:conditionalFormatting xmlns:xm="http://schemas.microsoft.com/office/excel/2006/main">
          <x14:cfRule type="cellIs" priority="28" stopIfTrue="1" operator="lessThan" id="{EFC51E4A-C1A1-483B-A0FA-374CDAD35E75}">
            <xm:f>INDEX('1. Locais'!F2:F24,C13 + 1)</xm:f>
            <x14:dxf>
              <fill>
                <patternFill>
                  <bgColor indexed="52"/>
                </patternFill>
              </fill>
            </x14:dxf>
          </x14:cfRule>
          <x14:cfRule type="expression" priority="29" stopIfTrue="1" id="{D8EC3245-8E2E-4DC8-B37C-A14C13609EEA}">
            <xm:f>(60 * HOUR(H13) + MINUTE(H13)) &gt;(60 * HOUR(INDEX('1. Locais'!G2:G24,C13 + 1)) +MINUTE(INDEX('1. Locais'!G2:G24,C13 + 1)))</xm:f>
            <x14:dxf>
              <fill>
                <patternFill>
                  <bgColor indexed="10"/>
                </patternFill>
              </fill>
            </x14:dxf>
          </x14:cfRule>
          <xm:sqref>H13</xm:sqref>
        </x14:conditionalFormatting>
        <x14:conditionalFormatting xmlns:xm="http://schemas.microsoft.com/office/excel/2006/main">
          <x14:cfRule type="expression" priority="30" stopIfTrue="1" id="{2CD7B42A-4BEC-447B-8A3F-6C3CC23A7D0D}">
            <xm:f>(60 * HOUR(I13) + MINUTE(I13)) &gt;(60 * HOUR(INDEX('1. Locais'!G2:G24,C13 + 1)) +MINUTE(INDEX('1. Locais'!G2:G24,C13 + 1)))</xm:f>
            <x14:dxf>
              <fill>
                <patternFill>
                  <bgColor indexed="10"/>
                </patternFill>
              </fill>
            </x14:dxf>
          </x14:cfRule>
          <xm:sqref>I13</xm:sqref>
        </x14:conditionalFormatting>
        <x14:conditionalFormatting xmlns:xm="http://schemas.microsoft.com/office/excel/2006/main">
          <x14:cfRule type="cellIs" priority="31" stopIfTrue="1" operator="lessThan" id="{C7FFC34C-B027-4205-ABB8-9A22CE8C2490}">
            <xm:f>INDEX('1. Locais'!F2:F24,C14 + 1)</xm:f>
            <x14:dxf>
              <fill>
                <patternFill>
                  <bgColor indexed="52"/>
                </patternFill>
              </fill>
            </x14:dxf>
          </x14:cfRule>
          <x14:cfRule type="expression" priority="32" stopIfTrue="1" id="{CD45BEDB-51C7-4806-81EA-821F9F014F15}">
            <xm:f>(60 * HOUR(H14) + MINUTE(H14)) &gt;(60 * HOUR(INDEX('1. Locais'!G2:G24,C14 + 1)) +MINUTE(INDEX('1. Locais'!G2:G24,C14 + 1)))</xm:f>
            <x14:dxf>
              <fill>
                <patternFill>
                  <bgColor indexed="10"/>
                </patternFill>
              </fill>
            </x14:dxf>
          </x14:cfRule>
          <xm:sqref>H14</xm:sqref>
        </x14:conditionalFormatting>
        <x14:conditionalFormatting xmlns:xm="http://schemas.microsoft.com/office/excel/2006/main">
          <x14:cfRule type="expression" priority="33" stopIfTrue="1" id="{1E3F8784-31C4-4966-BE70-282E19DB04A3}">
            <xm:f>(60 * HOUR(I14) + MINUTE(I14)) &gt;(60 * HOUR(INDEX('1. Locais'!G2:G24,C14 + 1)) +MINUTE(INDEX('1. Locais'!G2:G24,C14 + 1)))</xm:f>
            <x14:dxf>
              <fill>
                <patternFill>
                  <bgColor indexed="10"/>
                </patternFill>
              </fill>
            </x14:dxf>
          </x14:cfRule>
          <xm:sqref>I14</xm:sqref>
        </x14:conditionalFormatting>
        <x14:conditionalFormatting xmlns:xm="http://schemas.microsoft.com/office/excel/2006/main">
          <x14:cfRule type="cellIs" priority="34" stopIfTrue="1" operator="lessThan" id="{925FE92A-39EF-4718-81C0-5F931F963FDA}">
            <xm:f>INDEX('1. Locais'!F2:F24,C15 + 1)</xm:f>
            <x14:dxf>
              <fill>
                <patternFill>
                  <bgColor indexed="52"/>
                </patternFill>
              </fill>
            </x14:dxf>
          </x14:cfRule>
          <xm:sqref>H15</xm:sqref>
        </x14:conditionalFormatting>
        <x14:conditionalFormatting xmlns:xm="http://schemas.microsoft.com/office/excel/2006/main">
          <x14:cfRule type="expression" priority="35" stopIfTrue="1" id="{661FA375-B760-4FB2-9589-4FAFCCB8A6AF}">
            <xm:f>(60 * HOUR(H15) + MINUTE(H15)) &gt;(60 * HOUR(INDEX('1. Locais'!G2:G24,C15 + 1)) +MINUTE(INDEX('1. Locais'!G2:G24,C15 + 1)))</xm:f>
            <x14:dxf>
              <fill>
                <patternFill>
                  <bgColor indexed="10"/>
                </patternFill>
              </fill>
            </x14:dxf>
          </x14:cfRule>
          <xm:sqref>H15</xm:sqref>
        </x14:conditionalFormatting>
        <x14:conditionalFormatting xmlns:xm="http://schemas.microsoft.com/office/excel/2006/main">
          <x14:cfRule type="expression" priority="36" stopIfTrue="1" id="{43AE2252-A055-4535-8962-A014FB97BA09}">
            <xm:f>(60 * HOUR(I15) + MINUTE(I15)) &gt;(60 * HOUR(INDEX('1. Locais'!G2:G24,C15 + 1)) +MINUTE(INDEX('1. Locais'!G2:G24,C15 + 1)))</xm:f>
            <x14:dxf>
              <fill>
                <patternFill>
                  <bgColor indexed="10"/>
                </patternFill>
              </fill>
            </x14:dxf>
          </x14:cfRule>
          <xm:sqref>I15</xm:sqref>
        </x14:conditionalFormatting>
        <x14:conditionalFormatting xmlns:xm="http://schemas.microsoft.com/office/excel/2006/main">
          <x14:cfRule type="cellIs" priority="37" stopIfTrue="1" operator="lessThan" id="{8EC3D431-C54D-40CA-8839-8B28D1939D05}">
            <xm:f>INDEX('1. Locais'!F2:F24,C16 + 1)</xm:f>
            <x14:dxf>
              <fill>
                <patternFill>
                  <bgColor indexed="52"/>
                </patternFill>
              </fill>
            </x14:dxf>
          </x14:cfRule>
          <xm:sqref>H16</xm:sqref>
        </x14:conditionalFormatting>
        <x14:conditionalFormatting xmlns:xm="http://schemas.microsoft.com/office/excel/2006/main">
          <x14:cfRule type="expression" priority="38" stopIfTrue="1" id="{5291D42A-5047-448F-9C82-005B5AE5ED1F}">
            <xm:f>(60 * HOUR(H16) + MINUTE(H16)) &gt;(60 * HOUR(INDEX('1. Locais'!G2:G24,C16 + 1)) +MINUTE(INDEX('1. Locais'!G2:G24,C16 + 1)))</xm:f>
            <x14:dxf>
              <fill>
                <patternFill>
                  <bgColor indexed="10"/>
                </patternFill>
              </fill>
            </x14:dxf>
          </x14:cfRule>
          <xm:sqref>H16</xm:sqref>
        </x14:conditionalFormatting>
        <x14:conditionalFormatting xmlns:xm="http://schemas.microsoft.com/office/excel/2006/main">
          <x14:cfRule type="expression" priority="39" stopIfTrue="1" id="{A2CE90F5-8BC8-4ED0-8437-0891E8E34AD5}">
            <xm:f>(60 * HOUR(I16) + MINUTE(I16)) &gt;(60 * HOUR(INDEX('1. Locais'!G2:G24,C16 + 1)) +MINUTE(INDEX('1. Locais'!G2:G24,C16 + 1)))</xm:f>
            <x14:dxf>
              <fill>
                <patternFill>
                  <bgColor indexed="10"/>
                </patternFill>
              </fill>
            </x14:dxf>
          </x14:cfRule>
          <xm:sqref>I16</xm:sqref>
        </x14:conditionalFormatting>
        <x14:conditionalFormatting xmlns:xm="http://schemas.microsoft.com/office/excel/2006/main">
          <x14:cfRule type="cellIs" priority="40" stopIfTrue="1" operator="lessThan" id="{9C75BF7F-F168-40E3-9C8A-AF2393E6D4D3}">
            <xm:f>INDEX('1. Locais'!F2:F24,C17 + 1)</xm:f>
            <x14:dxf>
              <fill>
                <patternFill>
                  <bgColor indexed="52"/>
                </patternFill>
              </fill>
            </x14:dxf>
          </x14:cfRule>
          <xm:sqref>H17</xm:sqref>
        </x14:conditionalFormatting>
        <x14:conditionalFormatting xmlns:xm="http://schemas.microsoft.com/office/excel/2006/main">
          <x14:cfRule type="expression" priority="41" stopIfTrue="1" id="{F076E32F-E92D-4B9A-BD8C-AF1D5F88E93A}">
            <xm:f>(60 * HOUR(H17) + MINUTE(H17)) &gt;(60 * HOUR(INDEX('1. Locais'!G2:G24,C17 + 1)) +MINUTE(INDEX('1. Locais'!G2:G24,C17 + 1)))</xm:f>
            <x14:dxf>
              <fill>
                <patternFill>
                  <bgColor indexed="10"/>
                </patternFill>
              </fill>
            </x14:dxf>
          </x14:cfRule>
          <xm:sqref>H17</xm:sqref>
        </x14:conditionalFormatting>
        <x14:conditionalFormatting xmlns:xm="http://schemas.microsoft.com/office/excel/2006/main">
          <x14:cfRule type="expression" priority="42" stopIfTrue="1" id="{826A2D8D-63DE-4A11-BE25-7D47DC1748B5}">
            <xm:f>(60 * HOUR(I17) + MINUTE(I17)) &gt;(60 * HOUR(INDEX('1. Locais'!G2:G24,C17 + 1)) +MINUTE(INDEX('1. Locais'!G2:G24,C17 + 1)))</xm:f>
            <x14:dxf>
              <fill>
                <patternFill>
                  <bgColor indexed="10"/>
                </patternFill>
              </fill>
            </x14:dxf>
          </x14:cfRule>
          <xm:sqref>I17</xm:sqref>
        </x14:conditionalFormatting>
        <x14:conditionalFormatting xmlns:xm="http://schemas.microsoft.com/office/excel/2006/main">
          <x14:cfRule type="cellIs" priority="43" stopIfTrue="1" operator="lessThan" id="{E275CD60-6248-4ED6-AACD-53AE09727AE3}">
            <xm:f>INDEX('1. Locais'!F2:F24,C18 + 1)</xm:f>
            <x14:dxf>
              <fill>
                <patternFill>
                  <bgColor indexed="52"/>
                </patternFill>
              </fill>
            </x14:dxf>
          </x14:cfRule>
          <xm:sqref>H18</xm:sqref>
        </x14:conditionalFormatting>
        <x14:conditionalFormatting xmlns:xm="http://schemas.microsoft.com/office/excel/2006/main">
          <x14:cfRule type="expression" priority="44" stopIfTrue="1" id="{278EBE3F-EB31-407F-A9E4-7662A9495531}">
            <xm:f>(60 * HOUR(H18) + MINUTE(H18)) &gt;(60 * HOUR(INDEX('1. Locais'!G2:G24,C18 + 1)) +MINUTE(INDEX('1. Locais'!G2:G24,C18 + 1)))</xm:f>
            <x14:dxf>
              <fill>
                <patternFill>
                  <bgColor indexed="10"/>
                </patternFill>
              </fill>
            </x14:dxf>
          </x14:cfRule>
          <xm:sqref>H18</xm:sqref>
        </x14:conditionalFormatting>
        <x14:conditionalFormatting xmlns:xm="http://schemas.microsoft.com/office/excel/2006/main">
          <x14:cfRule type="expression" priority="45" stopIfTrue="1" id="{01A25BAF-C895-446F-922B-E289C7C40348}">
            <xm:f>(60 * HOUR(I18) + MINUTE(I18)) &gt;(60 * HOUR(INDEX('1. Locais'!G2:G24,C18 + 1)) +MINUTE(INDEX('1. Locais'!G2:G24,C18 + 1)))</xm:f>
            <x14:dxf>
              <fill>
                <patternFill>
                  <bgColor indexed="10"/>
                </patternFill>
              </fill>
            </x14:dxf>
          </x14:cfRule>
          <xm:sqref>I18</xm:sqref>
        </x14:conditionalFormatting>
        <x14:conditionalFormatting xmlns:xm="http://schemas.microsoft.com/office/excel/2006/main">
          <x14:cfRule type="cellIs" priority="46" stopIfTrue="1" operator="lessThan" id="{AB27E7D3-9655-4DB7-80B8-C2EA74373493}">
            <xm:f>INDEX('1. Locais'!F2:F24,C19 + 1)</xm:f>
            <x14:dxf>
              <fill>
                <patternFill>
                  <bgColor indexed="52"/>
                </patternFill>
              </fill>
            </x14:dxf>
          </x14:cfRule>
          <xm:sqref>H19</xm:sqref>
        </x14:conditionalFormatting>
        <x14:conditionalFormatting xmlns:xm="http://schemas.microsoft.com/office/excel/2006/main">
          <x14:cfRule type="expression" priority="47" stopIfTrue="1" id="{189D0D16-433A-43C7-9873-985BEEEC614D}">
            <xm:f>(60 * HOUR(H19) + MINUTE(H19)) &gt;(60 * HOUR(INDEX('1. Locais'!G2:G24,C19 + 1)) +MINUTE(INDEX('1. Locais'!G2:G24,C19 + 1)))</xm:f>
            <x14:dxf>
              <fill>
                <patternFill>
                  <bgColor indexed="10"/>
                </patternFill>
              </fill>
            </x14:dxf>
          </x14:cfRule>
          <xm:sqref>H19</xm:sqref>
        </x14:conditionalFormatting>
        <x14:conditionalFormatting xmlns:xm="http://schemas.microsoft.com/office/excel/2006/main">
          <x14:cfRule type="expression" priority="48" stopIfTrue="1" id="{4BDC3FED-70F7-4D85-8B6B-EF1F29768F02}">
            <xm:f>(60 * HOUR(I19) + MINUTE(I19)) &gt;(60 * HOUR(INDEX('1. Locais'!G2:G24,C19 + 1)) +MINUTE(INDEX('1. Locais'!G2:G24,C19 + 1)))</xm:f>
            <x14:dxf>
              <fill>
                <patternFill>
                  <bgColor indexed="10"/>
                </patternFill>
              </fill>
            </x14:dxf>
          </x14:cfRule>
          <xm:sqref>I19</xm:sqref>
        </x14:conditionalFormatting>
        <x14:conditionalFormatting xmlns:xm="http://schemas.microsoft.com/office/excel/2006/main">
          <x14:cfRule type="cellIs" priority="49" stopIfTrue="1" operator="lessThan" id="{A390BD30-AA25-4F28-A0D9-A426CD7A42E3}">
            <xm:f>INDEX('1. Locais'!F2:F24,C20 + 1)</xm:f>
            <x14:dxf>
              <fill>
                <patternFill>
                  <bgColor indexed="52"/>
                </patternFill>
              </fill>
            </x14:dxf>
          </x14:cfRule>
          <xm:sqref>H20</xm:sqref>
        </x14:conditionalFormatting>
        <x14:conditionalFormatting xmlns:xm="http://schemas.microsoft.com/office/excel/2006/main">
          <x14:cfRule type="expression" priority="50" stopIfTrue="1" id="{88DAE37A-20A3-4BA9-A0DA-E1B00B4BBEA7}">
            <xm:f>(60 * HOUR(H20) + MINUTE(H20)) &gt;(60 * HOUR(INDEX('1. Locais'!G2:G24,C20 + 1)) +MINUTE(INDEX('1. Locais'!G2:G24,C20 + 1)))</xm:f>
            <x14:dxf>
              <fill>
                <patternFill>
                  <bgColor indexed="10"/>
                </patternFill>
              </fill>
            </x14:dxf>
          </x14:cfRule>
          <xm:sqref>H20</xm:sqref>
        </x14:conditionalFormatting>
        <x14:conditionalFormatting xmlns:xm="http://schemas.microsoft.com/office/excel/2006/main">
          <x14:cfRule type="expression" priority="51" stopIfTrue="1" id="{E8FD5893-065F-422B-8DCF-59B4A34A3787}">
            <xm:f>(60 * HOUR(I20) + MINUTE(I20)) &gt;(60 * HOUR(INDEX('1. Locais'!G2:G24,C20 + 1)) +MINUTE(INDEX('1. Locais'!G2:G24,C20 + 1)))</xm:f>
            <x14:dxf>
              <fill>
                <patternFill>
                  <bgColor indexed="10"/>
                </patternFill>
              </fill>
            </x14:dxf>
          </x14:cfRule>
          <xm:sqref>I20</xm:sqref>
        </x14:conditionalFormatting>
        <x14:conditionalFormatting xmlns:xm="http://schemas.microsoft.com/office/excel/2006/main">
          <x14:cfRule type="cellIs" priority="52" stopIfTrue="1" operator="lessThan" id="{44E163E2-FAB9-4E9E-BC80-53F1805751B1}">
            <xm:f>INDEX('1. Locais'!F2:F24,C21 + 1)</xm:f>
            <x14:dxf>
              <fill>
                <patternFill>
                  <bgColor indexed="52"/>
                </patternFill>
              </fill>
            </x14:dxf>
          </x14:cfRule>
          <xm:sqref>H21</xm:sqref>
        </x14:conditionalFormatting>
        <x14:conditionalFormatting xmlns:xm="http://schemas.microsoft.com/office/excel/2006/main">
          <x14:cfRule type="expression" priority="53" stopIfTrue="1" id="{087247D3-0237-4465-A9E6-B452203D3D59}">
            <xm:f>(60 * HOUR(H21) + MINUTE(H21)) &gt;(60 * HOUR(INDEX('1. Locais'!G2:G24,C21 + 1)) +MINUTE(INDEX('1. Locais'!G2:G24,C21 + 1)))</xm:f>
            <x14:dxf>
              <fill>
                <patternFill>
                  <bgColor indexed="10"/>
                </patternFill>
              </fill>
            </x14:dxf>
          </x14:cfRule>
          <xm:sqref>H21</xm:sqref>
        </x14:conditionalFormatting>
        <x14:conditionalFormatting xmlns:xm="http://schemas.microsoft.com/office/excel/2006/main">
          <x14:cfRule type="expression" priority="54" stopIfTrue="1" id="{756F5B10-B213-4CD7-B792-9B2B7968BD96}">
            <xm:f>(60 * HOUR(I21) + MINUTE(I21)) &gt;(60 * HOUR(INDEX('1. Locais'!G2:G24,C21 + 1)) +MINUTE(INDEX('1. Locais'!G2:G24,C21 + 1)))</xm:f>
            <x14:dxf>
              <fill>
                <patternFill>
                  <bgColor indexed="10"/>
                </patternFill>
              </fill>
            </x14:dxf>
          </x14:cfRule>
          <xm:sqref>I21</xm:sqref>
        </x14:conditionalFormatting>
        <x14:conditionalFormatting xmlns:xm="http://schemas.microsoft.com/office/excel/2006/main">
          <x14:cfRule type="cellIs" priority="55" stopIfTrue="1" operator="lessThan" id="{1401FEDD-E75D-4B24-80E6-DC8CE2CDF2B8}">
            <xm:f>INDEX('1. Locais'!F2:F24,C22 + 1)</xm:f>
            <x14:dxf>
              <fill>
                <patternFill>
                  <bgColor indexed="52"/>
                </patternFill>
              </fill>
            </x14:dxf>
          </x14:cfRule>
          <xm:sqref>H22</xm:sqref>
        </x14:conditionalFormatting>
        <x14:conditionalFormatting xmlns:xm="http://schemas.microsoft.com/office/excel/2006/main">
          <x14:cfRule type="expression" priority="56" stopIfTrue="1" id="{07B475C6-76F3-4EA8-9528-93C64594FBB0}">
            <xm:f>(60 * HOUR(H22) + MINUTE(H22)) &gt;(60 * HOUR(INDEX('1. Locais'!G2:G24,C22 + 1)) +MINUTE(INDEX('1. Locais'!G2:G24,C22 + 1)))</xm:f>
            <x14:dxf>
              <fill>
                <patternFill>
                  <bgColor indexed="10"/>
                </patternFill>
              </fill>
            </x14:dxf>
          </x14:cfRule>
          <xm:sqref>H22</xm:sqref>
        </x14:conditionalFormatting>
        <x14:conditionalFormatting xmlns:xm="http://schemas.microsoft.com/office/excel/2006/main">
          <x14:cfRule type="expression" priority="57" stopIfTrue="1" id="{30362DD7-209D-4BAE-8DEC-7FAFC14DAFC3}">
            <xm:f>(60 * HOUR(I22) + MINUTE(I22)) &gt;(60 * HOUR(INDEX('1. Locais'!G2:G24,C22 + 1)) +MINUTE(INDEX('1. Locais'!G2:G24,C22 + 1)))</xm:f>
            <x14:dxf>
              <fill>
                <patternFill>
                  <bgColor indexed="10"/>
                </patternFill>
              </fill>
            </x14:dxf>
          </x14:cfRule>
          <xm:sqref>I22</xm:sqref>
        </x14:conditionalFormatting>
        <x14:conditionalFormatting xmlns:xm="http://schemas.microsoft.com/office/excel/2006/main">
          <x14:cfRule type="cellIs" priority="58" stopIfTrue="1" operator="lessThan" id="{E2D7D4EF-9057-4B6D-9517-FC66760B49C8}">
            <xm:f>INDEX('1. Locais'!F2:F24,C23 + 1)</xm:f>
            <x14:dxf>
              <fill>
                <patternFill>
                  <bgColor indexed="52"/>
                </patternFill>
              </fill>
            </x14:dxf>
          </x14:cfRule>
          <xm:sqref>H23</xm:sqref>
        </x14:conditionalFormatting>
        <x14:conditionalFormatting xmlns:xm="http://schemas.microsoft.com/office/excel/2006/main">
          <x14:cfRule type="expression" priority="59" stopIfTrue="1" id="{97709252-E348-4F81-B0E6-5E589B9F532C}">
            <xm:f>(60 * HOUR(H23) + MINUTE(H23)) &gt;(60 * HOUR(INDEX('1. Locais'!G2:G24,C23 + 1)) +MINUTE(INDEX('1. Locais'!G2:G24,C23 + 1)))</xm:f>
            <x14:dxf>
              <fill>
                <patternFill>
                  <bgColor indexed="10"/>
                </patternFill>
              </fill>
            </x14:dxf>
          </x14:cfRule>
          <xm:sqref>H23</xm:sqref>
        </x14:conditionalFormatting>
        <x14:conditionalFormatting xmlns:xm="http://schemas.microsoft.com/office/excel/2006/main">
          <x14:cfRule type="expression" priority="60" stopIfTrue="1" id="{A50FF7B4-41F8-4CD9-8DD6-B7D04EB34D08}">
            <xm:f>(60 * HOUR(I23) + MINUTE(I23)) &gt;(60 * HOUR(INDEX('1. Locais'!G2:G24,C23 + 1)) +MINUTE(INDEX('1. Locais'!G2:G24,C23 + 1)))</xm:f>
            <x14:dxf>
              <fill>
                <patternFill>
                  <bgColor indexed="10"/>
                </patternFill>
              </fill>
            </x14:dxf>
          </x14:cfRule>
          <xm:sqref>I23</xm:sqref>
        </x14:conditionalFormatting>
        <x14:conditionalFormatting xmlns:xm="http://schemas.microsoft.com/office/excel/2006/main">
          <x14:cfRule type="cellIs" priority="61" stopIfTrue="1" operator="lessThan" id="{AC8A64E9-3E3F-45CE-A95E-8781A7D0A211}">
            <xm:f>INDEX('1. Locais'!F2:F24,C24 + 1)</xm:f>
            <x14:dxf>
              <fill>
                <patternFill>
                  <bgColor indexed="52"/>
                </patternFill>
              </fill>
            </x14:dxf>
          </x14:cfRule>
          <xm:sqref>H24</xm:sqref>
        </x14:conditionalFormatting>
        <x14:conditionalFormatting xmlns:xm="http://schemas.microsoft.com/office/excel/2006/main">
          <x14:cfRule type="expression" priority="62" stopIfTrue="1" id="{8DAD904D-A0FF-4139-84FE-DF20F43A8C14}">
            <xm:f>(60 * HOUR(H24) + MINUTE(H24)) &gt;(60 * HOUR(INDEX('1. Locais'!G2:G24,C24 + 1)) +MINUTE(INDEX('1. Locais'!G2:G24,C24 + 1)))</xm:f>
            <x14:dxf>
              <fill>
                <patternFill>
                  <bgColor indexed="10"/>
                </patternFill>
              </fill>
            </x14:dxf>
          </x14:cfRule>
          <xm:sqref>H24</xm:sqref>
        </x14:conditionalFormatting>
        <x14:conditionalFormatting xmlns:xm="http://schemas.microsoft.com/office/excel/2006/main">
          <x14:cfRule type="expression" priority="63" stopIfTrue="1" id="{8CA3F377-C90C-496A-8691-6C468F7A7014}">
            <xm:f>(60 * HOUR(I24) + MINUTE(I24)) &gt;(60 * HOUR(INDEX('1. Locais'!G2:G24,C24 + 1)) +MINUTE(INDEX('1. Locais'!G2:G24,C24 + 1)))</xm:f>
            <x14:dxf>
              <fill>
                <patternFill>
                  <bgColor indexed="10"/>
                </patternFill>
              </fill>
            </x14:dxf>
          </x14:cfRule>
          <xm:sqref>I24</xm:sqref>
        </x14:conditionalFormatting>
        <x14:conditionalFormatting xmlns:xm="http://schemas.microsoft.com/office/excel/2006/main">
          <x14:cfRule type="cellIs" priority="64" stopIfTrue="1" operator="lessThan" id="{8B1F9F5B-9009-45CC-9C26-003D6CB2FC7D}">
            <xm:f>INDEX('1. Locais'!F2:F24,C25 + 1)</xm:f>
            <x14:dxf>
              <fill>
                <patternFill>
                  <bgColor indexed="52"/>
                </patternFill>
              </fill>
            </x14:dxf>
          </x14:cfRule>
          <xm:sqref>H25</xm:sqref>
        </x14:conditionalFormatting>
        <x14:conditionalFormatting xmlns:xm="http://schemas.microsoft.com/office/excel/2006/main">
          <x14:cfRule type="expression" priority="65" stopIfTrue="1" id="{E1D6BEDC-4FCB-42B9-9955-578EACB9B995}">
            <xm:f>(60 * HOUR(H25) + MINUTE(H25)) &gt;(60 * HOUR(INDEX('1. Locais'!G2:G24,C25 + 1)) +MINUTE(INDEX('1. Locais'!G2:G24,C25 + 1)))</xm:f>
            <x14:dxf>
              <fill>
                <patternFill>
                  <bgColor indexed="10"/>
                </patternFill>
              </fill>
            </x14:dxf>
          </x14:cfRule>
          <xm:sqref>H25</xm:sqref>
        </x14:conditionalFormatting>
        <x14:conditionalFormatting xmlns:xm="http://schemas.microsoft.com/office/excel/2006/main">
          <x14:cfRule type="expression" priority="66" stopIfTrue="1" id="{8C38240D-B429-49BE-828C-126AE0B66839}">
            <xm:f>(60 * HOUR(I25) + MINUTE(I25)) &gt;(60 * HOUR(INDEX('1. Locais'!G2:G24,C25 + 1)) +MINUTE(INDEX('1. Locais'!G2:G24,C25 + 1)))</xm:f>
            <x14:dxf>
              <fill>
                <patternFill>
                  <bgColor indexed="10"/>
                </patternFill>
              </fill>
            </x14:dxf>
          </x14:cfRule>
          <xm:sqref>I25</xm:sqref>
        </x14:conditionalFormatting>
        <x14:conditionalFormatting xmlns:xm="http://schemas.microsoft.com/office/excel/2006/main">
          <x14:cfRule type="cellIs" priority="67" stopIfTrue="1" operator="lessThan" id="{FC3ABCDC-26F7-46C6-A799-AE8089D1C65B}">
            <xm:f>INDEX('1. Locais'!F2:F24,C26 + 1)</xm:f>
            <x14:dxf>
              <fill>
                <patternFill>
                  <bgColor indexed="52"/>
                </patternFill>
              </fill>
            </x14:dxf>
          </x14:cfRule>
          <xm:sqref>H26</xm:sqref>
        </x14:conditionalFormatting>
        <x14:conditionalFormatting xmlns:xm="http://schemas.microsoft.com/office/excel/2006/main">
          <x14:cfRule type="expression" priority="68" stopIfTrue="1" id="{56BC8B13-E061-4401-8C98-97A636F0A3D1}">
            <xm:f>(60 * HOUR(H26) + MINUTE(H26)) &gt;(60 * HOUR(INDEX('1. Locais'!G2:G24,C26 + 1)) +MINUTE(INDEX('1. Locais'!G2:G24,C26 + 1)))</xm:f>
            <x14:dxf>
              <fill>
                <patternFill>
                  <bgColor indexed="10"/>
                </patternFill>
              </fill>
            </x14:dxf>
          </x14:cfRule>
          <xm:sqref>H26</xm:sqref>
        </x14:conditionalFormatting>
        <x14:conditionalFormatting xmlns:xm="http://schemas.microsoft.com/office/excel/2006/main">
          <x14:cfRule type="expression" priority="69" stopIfTrue="1" id="{633C1B5D-9608-469E-B1E5-B8C329086FB2}">
            <xm:f>(60 * HOUR(I26) + MINUTE(I26)) &gt;(60 * HOUR(INDEX('1. Locais'!G2:G24,C26 + 1)) +MINUTE(INDEX('1. Locais'!G2:G24,C26 + 1)))</xm:f>
            <x14:dxf>
              <fill>
                <patternFill>
                  <bgColor indexed="10"/>
                </patternFill>
              </fill>
            </x14:dxf>
          </x14:cfRule>
          <xm:sqref>I26</xm:sqref>
        </x14:conditionalFormatting>
        <x14:conditionalFormatting xmlns:xm="http://schemas.microsoft.com/office/excel/2006/main">
          <x14:cfRule type="cellIs" priority="70" stopIfTrue="1" operator="lessThan" id="{60A7D996-8C33-45FE-A908-31AEBED09464}">
            <xm:f>INDEX('1. Locais'!F2:F24,C27 + 1)</xm:f>
            <x14:dxf>
              <fill>
                <patternFill>
                  <bgColor indexed="52"/>
                </patternFill>
              </fill>
            </x14:dxf>
          </x14:cfRule>
          <xm:sqref>H27</xm:sqref>
        </x14:conditionalFormatting>
        <x14:conditionalFormatting xmlns:xm="http://schemas.microsoft.com/office/excel/2006/main">
          <x14:cfRule type="expression" priority="71" stopIfTrue="1" id="{7A4F591E-C46A-4D87-8E67-234775DE3F04}">
            <xm:f>(60 * HOUR(H27) + MINUTE(H27)) &gt;(60 * HOUR(INDEX('1. Locais'!G2:G24,C27 + 1)) +MINUTE(INDEX('1. Locais'!G2:G24,C27 + 1)))</xm:f>
            <x14:dxf>
              <fill>
                <patternFill>
                  <bgColor indexed="10"/>
                </patternFill>
              </fill>
            </x14:dxf>
          </x14:cfRule>
          <xm:sqref>H27</xm:sqref>
        </x14:conditionalFormatting>
        <x14:conditionalFormatting xmlns:xm="http://schemas.microsoft.com/office/excel/2006/main">
          <x14:cfRule type="expression" priority="72" stopIfTrue="1" id="{FB38DF3D-588D-4897-910D-E441DA9CAE16}">
            <xm:f>(60 * HOUR(I27) + MINUTE(I27)) &gt;(60 * HOUR(INDEX('1. Locais'!G2:G24,C27 + 1)) +MINUTE(INDEX('1. Locais'!G2:G24,C27 + 1)))</xm:f>
            <x14:dxf>
              <fill>
                <patternFill>
                  <bgColor indexed="10"/>
                </patternFill>
              </fill>
            </x14:dxf>
          </x14:cfRule>
          <xm:sqref>I27</xm:sqref>
        </x14:conditionalFormatting>
        <x14:conditionalFormatting xmlns:xm="http://schemas.microsoft.com/office/excel/2006/main">
          <x14:cfRule type="cellIs" priority="73" stopIfTrue="1" operator="lessThan" id="{D6D6E4E7-70BE-4684-AA7E-79B09A92BE0C}">
            <xm:f>INDEX('1. Locais'!F2:F24,C28 + 1)</xm:f>
            <x14:dxf>
              <fill>
                <patternFill>
                  <bgColor indexed="52"/>
                </patternFill>
              </fill>
            </x14:dxf>
          </x14:cfRule>
          <xm:sqref>H28</xm:sqref>
        </x14:conditionalFormatting>
        <x14:conditionalFormatting xmlns:xm="http://schemas.microsoft.com/office/excel/2006/main">
          <x14:cfRule type="expression" priority="74" stopIfTrue="1" id="{B7F682D2-C43E-40DF-8F01-33F79DBA029A}">
            <xm:f>(60 * HOUR(H28) + MINUTE(H28)) &gt;(60 * HOUR(INDEX('1. Locais'!G2:G24,C28 + 1)) +MINUTE(INDEX('1. Locais'!G2:G24,C28 + 1)))</xm:f>
            <x14:dxf>
              <fill>
                <patternFill>
                  <bgColor indexed="10"/>
                </patternFill>
              </fill>
            </x14:dxf>
          </x14:cfRule>
          <xm:sqref>H28</xm:sqref>
        </x14:conditionalFormatting>
        <x14:conditionalFormatting xmlns:xm="http://schemas.microsoft.com/office/excel/2006/main">
          <x14:cfRule type="expression" priority="75" stopIfTrue="1" id="{F93F338E-8725-439C-AF1E-3F00101E4F53}">
            <xm:f>(60 * HOUR(I28) + MINUTE(I28)) &gt;(60 * HOUR(INDEX('1. Locais'!G2:G24,C28 + 1)) +MINUTE(INDEX('1. Locais'!G2:G24,C28 + 1)))</xm:f>
            <x14:dxf>
              <fill>
                <patternFill>
                  <bgColor indexed="10"/>
                </patternFill>
              </fill>
            </x14:dxf>
          </x14:cfRule>
          <xm:sqref>I28</xm:sqref>
        </x14:conditionalFormatting>
        <x14:conditionalFormatting xmlns:xm="http://schemas.microsoft.com/office/excel/2006/main">
          <x14:cfRule type="cellIs" priority="76" stopIfTrue="1" operator="greaterThan" id="{63834332-320F-4403-A0CC-BA4BBC788E18}">
            <xm:f>'3. Veículos'!$G$2</xm:f>
            <x14:dxf>
              <fill>
                <patternFill>
                  <bgColor indexed="10"/>
                </patternFill>
              </fill>
            </x14:dxf>
          </x14:cfRule>
          <xm:sqref>F6:F28</xm:sqref>
        </x14:conditionalFormatting>
        <x14:conditionalFormatting xmlns:xm="http://schemas.microsoft.com/office/excel/2006/main">
          <x14:cfRule type="cellIs" priority="77" stopIfTrue="1" operator="greaterThan" id="{72969186-6F29-462F-8394-3331C886B23D}">
            <xm:f>'3. Veículos'!$C$2</xm:f>
            <x14:dxf>
              <fill>
                <patternFill>
                  <bgColor indexed="10"/>
                </patternFill>
              </fill>
            </x14:dxf>
          </x14:cfRule>
          <xm:sqref>P6:P28</xm:sqref>
        </x14:conditionalFormatting>
        <x14:conditionalFormatting xmlns:xm="http://schemas.microsoft.com/office/excel/2006/main">
          <x14:cfRule type="cellIs" priority="79" stopIfTrue="1" operator="greaterThan" id="{CDA51E48-D9F6-441B-B53A-13ABE05210E4}">
            <xm:f>'3. Veículos'!$I$2</xm:f>
            <x14:dxf>
              <fill>
                <patternFill>
                  <bgColor indexed="10"/>
                </patternFill>
              </fill>
            </x14:dxf>
          </x14:cfRule>
          <xm:sqref>G6:G28</xm:sqref>
        </x14:conditionalFormatting>
        <x14:conditionalFormatting xmlns:xm="http://schemas.microsoft.com/office/excel/2006/main">
          <x14:cfRule type="cellIs" priority="80" stopIfTrue="1" operator="greaterThan" id="{06B0E58D-4B1B-4363-A227-39AEAB27A13A}">
            <xm:f>'3. Veículos'!$J$2</xm:f>
            <x14:dxf>
              <fill>
                <patternFill>
                  <bgColor indexed="10"/>
                </patternFill>
              </fill>
            </x14:dxf>
          </x14:cfRule>
          <xm:sqref>J6:J28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33A39928-A429-4411-9FAB-4D068BD9FB83}">
          <x14:formula1>
            <xm:f>'1. Locais'!$B$2:$B$25</xm:f>
          </x14:formula1>
          <xm:sqref>B6:B28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CE3D-1BEE-4B79-A205-C81C2E3C1869}">
  <sheetPr codeName="Planilha5"/>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2021-06-25T16:39:17Z</dcterms:modified>
</cp:coreProperties>
</file>