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0527a6c38ba74264"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OGOV\Desktop\test\Dados\"/>
    </mc:Choice>
  </mc:AlternateContent>
  <xr:revisionPtr revIDLastSave="0" documentId="13_ncr:1_{B96EB040-07A9-4A43-91C9-E7A4E7414269}" xr6:coauthVersionLast="47" xr6:coauthVersionMax="47" xr10:uidLastSave="{00000000-0000-0000-0000-000000000000}"/>
  <bookViews>
    <workbookView xWindow="-120" yWindow="-120" windowWidth="19440" windowHeight="11640" tabRatio="705" activeTab="3" xr2:uid="{00000000-000D-0000-FFFF-FFFF00000000}"/>
  </bookViews>
  <sheets>
    <sheet name="VRP Solver Console" sheetId="231" r:id="rId1"/>
    <sheet name="MultiLanguageMenuItems" sheetId="232" state="hidden" r:id="rId2"/>
    <sheet name="MultiLanguageInterface" sheetId="233" state="hidden" r:id="rId3"/>
    <sheet name="1. Locais" sheetId="241" r:id="rId4"/>
    <sheet name="2. Distâncias" sheetId="242" r:id="rId5"/>
    <sheet name="3. Veículos" sheetId="243" r:id="rId6"/>
    <sheet name="4. Solução" sheetId="248" r:id="rId7"/>
    <sheet name="5.Visualização" sheetId="249" r:id="rId8"/>
  </sheets>
  <functionGroups builtInGroupCount="19"/>
  <definedNames>
    <definedName name="_xlnm._FilterDatabase" localSheetId="2" hidden="1">MultiLanguageInterface!$A$1:$G$193</definedName>
    <definedName name="_xlnm._FilterDatabase" localSheetId="1" hidden="1">MultiLanguageMenuItems!$B$1:$C$25</definedName>
    <definedName name="languages">#REF!</definedName>
  </definedNames>
  <calcPr calcId="191029"/>
</workbook>
</file>

<file path=xl/calcChain.xml><?xml version="1.0" encoding="utf-8"?>
<calcChain xmlns="http://schemas.openxmlformats.org/spreadsheetml/2006/main">
  <c r="G3" i="248" l="1"/>
  <c r="I5" i="248"/>
  <c r="B5" i="248"/>
  <c r="L2" i="243"/>
  <c r="D25" i="242"/>
  <c r="D49" i="242"/>
  <c r="D73" i="242"/>
  <c r="D97" i="242"/>
  <c r="D121" i="242"/>
  <c r="D145" i="242"/>
  <c r="D169" i="242"/>
  <c r="D193" i="242"/>
  <c r="D217" i="242"/>
  <c r="D241" i="242"/>
  <c r="D265" i="242"/>
  <c r="D289" i="242"/>
  <c r="D313" i="242"/>
  <c r="D337" i="242"/>
  <c r="D361" i="242"/>
  <c r="D385" i="242"/>
  <c r="D409" i="242"/>
  <c r="D433" i="242"/>
  <c r="D457" i="242"/>
  <c r="D481" i="242"/>
  <c r="D505" i="242"/>
  <c r="D529" i="242"/>
  <c r="D24" i="242"/>
  <c r="D508" i="242"/>
  <c r="D507" i="242"/>
  <c r="D483" i="242"/>
  <c r="D528" i="242"/>
  <c r="D484" i="242"/>
  <c r="D459" i="242"/>
  <c r="D527" i="242"/>
  <c r="D461" i="242"/>
  <c r="D504" i="242"/>
  <c r="D460" i="242"/>
  <c r="D435" i="242"/>
  <c r="D526" i="242"/>
  <c r="D438" i="242"/>
  <c r="D503" i="242"/>
  <c r="D437" i="242"/>
  <c r="D480" i="242"/>
  <c r="D436" i="242"/>
  <c r="D411" i="242"/>
  <c r="D525" i="242"/>
  <c r="D415" i="242"/>
  <c r="D502" i="242"/>
  <c r="D414" i="242"/>
  <c r="D479" i="242"/>
  <c r="D413" i="242"/>
  <c r="D456" i="242"/>
  <c r="D412" i="242"/>
  <c r="D387" i="242"/>
  <c r="D524" i="242"/>
  <c r="D392" i="242"/>
  <c r="D501" i="242"/>
  <c r="D391" i="242"/>
  <c r="D478" i="242"/>
  <c r="D390" i="242"/>
  <c r="D455" i="242"/>
  <c r="D389" i="242"/>
  <c r="D432" i="242"/>
  <c r="D388" i="242"/>
  <c r="D363" i="242"/>
  <c r="D523" i="242"/>
  <c r="D369" i="242"/>
  <c r="D500" i="242"/>
  <c r="D368" i="242"/>
  <c r="D477" i="242"/>
  <c r="D367" i="242"/>
  <c r="D454" i="242"/>
  <c r="D366" i="242"/>
  <c r="D431" i="242"/>
  <c r="D365" i="242"/>
  <c r="D408" i="242"/>
  <c r="D364" i="242"/>
  <c r="D339" i="242"/>
  <c r="D522" i="242"/>
  <c r="D346" i="242"/>
  <c r="D499" i="242"/>
  <c r="D345" i="242"/>
  <c r="D476" i="242"/>
  <c r="D344" i="242"/>
  <c r="D453" i="242"/>
  <c r="D343" i="242"/>
  <c r="D430" i="242"/>
  <c r="D342" i="242"/>
  <c r="D407" i="242"/>
  <c r="D341" i="242"/>
  <c r="D384" i="242"/>
  <c r="D340" i="242"/>
  <c r="D315" i="242"/>
  <c r="D521" i="242"/>
  <c r="D323" i="242"/>
  <c r="D498" i="242"/>
  <c r="D322" i="242"/>
  <c r="D475" i="242"/>
  <c r="D321" i="242"/>
  <c r="D452" i="242"/>
  <c r="D320" i="242"/>
  <c r="D429" i="242"/>
  <c r="D319" i="242"/>
  <c r="D406" i="242"/>
  <c r="D318" i="242"/>
  <c r="D383" i="242"/>
  <c r="D317" i="242"/>
  <c r="D360" i="242"/>
  <c r="D316" i="242"/>
  <c r="D291" i="242"/>
  <c r="D520" i="242"/>
  <c r="D300" i="242"/>
  <c r="D497" i="242"/>
  <c r="D299" i="242"/>
  <c r="D474" i="242"/>
  <c r="D298" i="242"/>
  <c r="D451" i="242"/>
  <c r="D297" i="242"/>
  <c r="D428" i="242"/>
  <c r="D296" i="242"/>
  <c r="D405" i="242"/>
  <c r="D295" i="242"/>
  <c r="D382" i="242"/>
  <c r="D294" i="242"/>
  <c r="D359" i="242"/>
  <c r="D293" i="242"/>
  <c r="D336" i="242"/>
  <c r="D292" i="242"/>
  <c r="D267" i="242"/>
  <c r="D519" i="242"/>
  <c r="D277" i="242"/>
  <c r="D496" i="242"/>
  <c r="D276" i="242"/>
  <c r="D473" i="242"/>
  <c r="D275" i="242"/>
  <c r="D450" i="242"/>
  <c r="D274" i="242"/>
  <c r="D427" i="242"/>
  <c r="D273" i="242"/>
  <c r="D404" i="242"/>
  <c r="D272" i="242"/>
  <c r="D381" i="242"/>
  <c r="D271" i="242"/>
  <c r="D358" i="242"/>
  <c r="D270" i="242"/>
  <c r="D335" i="242"/>
  <c r="D269" i="242"/>
  <c r="D312" i="242"/>
  <c r="D268" i="242"/>
  <c r="D243" i="242"/>
  <c r="D518" i="242"/>
  <c r="D254" i="242"/>
  <c r="D495" i="242"/>
  <c r="D253" i="242"/>
  <c r="D472" i="242"/>
  <c r="D252" i="242"/>
  <c r="D449" i="242"/>
  <c r="D251" i="242"/>
  <c r="D426" i="242"/>
  <c r="D250" i="242"/>
  <c r="D403" i="242"/>
  <c r="D249" i="242"/>
  <c r="D380" i="242"/>
  <c r="D248" i="242"/>
  <c r="D357" i="242"/>
  <c r="D247" i="242"/>
  <c r="D334" i="242"/>
  <c r="D246" i="242"/>
  <c r="D311" i="242"/>
  <c r="D245" i="242"/>
  <c r="D288" i="242"/>
  <c r="D244" i="242"/>
  <c r="D219" i="242"/>
  <c r="D517" i="242"/>
  <c r="D231" i="242"/>
  <c r="D494" i="242"/>
  <c r="D230" i="242"/>
  <c r="D471" i="242"/>
  <c r="D229" i="242"/>
  <c r="D448" i="242"/>
  <c r="D228" i="242"/>
  <c r="D425" i="242"/>
  <c r="D227" i="242"/>
  <c r="D402" i="242"/>
  <c r="D226" i="242"/>
  <c r="D379" i="242"/>
  <c r="D225" i="242"/>
  <c r="D356" i="242"/>
  <c r="D224" i="242"/>
  <c r="D333" i="242"/>
  <c r="D223" i="242"/>
  <c r="D310" i="242"/>
  <c r="D222" i="242"/>
  <c r="D287" i="242"/>
  <c r="D221" i="242"/>
  <c r="D264" i="242"/>
  <c r="D220" i="242"/>
  <c r="D195" i="242"/>
  <c r="D516" i="242"/>
  <c r="D208" i="242"/>
  <c r="D493" i="242"/>
  <c r="D207" i="242"/>
  <c r="D470" i="242"/>
  <c r="D206" i="242"/>
  <c r="D447" i="242"/>
  <c r="D205" i="242"/>
  <c r="D424" i="242"/>
  <c r="D204" i="242"/>
  <c r="D401" i="242"/>
  <c r="D203" i="242"/>
  <c r="D378" i="242"/>
  <c r="D202" i="242"/>
  <c r="D355" i="242"/>
  <c r="D201" i="242"/>
  <c r="D332" i="242"/>
  <c r="D200" i="242"/>
  <c r="D309" i="242"/>
  <c r="D199" i="242"/>
  <c r="D286" i="242"/>
  <c r="D198" i="242"/>
  <c r="D263" i="242"/>
  <c r="D197" i="242"/>
  <c r="D240" i="242"/>
  <c r="D196" i="242"/>
  <c r="D171" i="242"/>
  <c r="D515" i="242"/>
  <c r="D185" i="242"/>
  <c r="D492" i="242"/>
  <c r="D184" i="242"/>
  <c r="D469" i="242"/>
  <c r="D183" i="242"/>
  <c r="D446" i="242"/>
  <c r="D182" i="242"/>
  <c r="D423" i="242"/>
  <c r="D181" i="242"/>
  <c r="D400" i="242"/>
  <c r="D180" i="242"/>
  <c r="D377" i="242"/>
  <c r="D179" i="242"/>
  <c r="D354" i="242"/>
  <c r="D178" i="242"/>
  <c r="D331" i="242"/>
  <c r="D177" i="242"/>
  <c r="D308" i="242"/>
  <c r="D176" i="242"/>
  <c r="D285" i="242"/>
  <c r="D175" i="242"/>
  <c r="D262" i="242"/>
  <c r="D174" i="242"/>
  <c r="D239" i="242"/>
  <c r="D173" i="242"/>
  <c r="D216" i="242"/>
  <c r="D172" i="242"/>
  <c r="D147" i="242"/>
  <c r="D514" i="242"/>
  <c r="D162" i="242"/>
  <c r="D491" i="242"/>
  <c r="D161" i="242"/>
  <c r="D468" i="242"/>
  <c r="D160" i="242"/>
  <c r="D445" i="242"/>
  <c r="D159" i="242"/>
  <c r="D422" i="242"/>
  <c r="D158" i="242"/>
  <c r="D399" i="242"/>
  <c r="D157" i="242"/>
  <c r="D376" i="242"/>
  <c r="D156" i="242"/>
  <c r="D353" i="242"/>
  <c r="D155" i="242"/>
  <c r="D330" i="242"/>
  <c r="D154" i="242"/>
  <c r="D307" i="242"/>
  <c r="D153" i="242"/>
  <c r="D284" i="242"/>
  <c r="D152" i="242"/>
  <c r="D261" i="242"/>
  <c r="D151" i="242"/>
  <c r="D238" i="242"/>
  <c r="D150" i="242"/>
  <c r="D215" i="242"/>
  <c r="D149" i="242"/>
  <c r="D192" i="242"/>
  <c r="D148" i="242"/>
  <c r="D123" i="242"/>
  <c r="D513" i="242"/>
  <c r="D139" i="242"/>
  <c r="D490" i="242"/>
  <c r="D138" i="242"/>
  <c r="D467" i="242"/>
  <c r="D137" i="242"/>
  <c r="D444" i="242"/>
  <c r="D136" i="242"/>
  <c r="D421" i="242"/>
  <c r="D135" i="242"/>
  <c r="D398" i="242"/>
  <c r="D134" i="242"/>
  <c r="D375" i="242"/>
  <c r="D133" i="242"/>
  <c r="D352" i="242"/>
  <c r="D132" i="242"/>
  <c r="D329" i="242"/>
  <c r="D131" i="242"/>
  <c r="D306" i="242"/>
  <c r="D130" i="242"/>
  <c r="D283" i="242"/>
  <c r="D129" i="242"/>
  <c r="D260" i="242"/>
  <c r="D128" i="242"/>
  <c r="D237" i="242"/>
  <c r="D127" i="242"/>
  <c r="D214" i="242"/>
  <c r="D126" i="242"/>
  <c r="D191" i="242"/>
  <c r="D125" i="242"/>
  <c r="D168" i="242"/>
  <c r="D124" i="242"/>
  <c r="D99" i="242"/>
  <c r="D512" i="242"/>
  <c r="D116" i="242"/>
  <c r="D489" i="242"/>
  <c r="D115" i="242"/>
  <c r="D466" i="242"/>
  <c r="D114" i="242"/>
  <c r="D443" i="242"/>
  <c r="D113" i="242"/>
  <c r="D420" i="242"/>
  <c r="D112" i="242"/>
  <c r="D397" i="242"/>
  <c r="D111" i="242"/>
  <c r="D374" i="242"/>
  <c r="D110" i="242"/>
  <c r="D351" i="242"/>
  <c r="D109" i="242"/>
  <c r="D328" i="242"/>
  <c r="D108" i="242"/>
  <c r="D305" i="242"/>
  <c r="D107" i="242"/>
  <c r="D282" i="242"/>
  <c r="D106" i="242"/>
  <c r="D259" i="242"/>
  <c r="D105" i="242"/>
  <c r="D236" i="242"/>
  <c r="D104" i="242"/>
  <c r="D213" i="242"/>
  <c r="D103" i="242"/>
  <c r="D190" i="242"/>
  <c r="D102" i="242"/>
  <c r="D167" i="242"/>
  <c r="D101" i="242"/>
  <c r="D144" i="242"/>
  <c r="D100" i="242"/>
  <c r="D75" i="242"/>
  <c r="D511" i="242"/>
  <c r="D93" i="242"/>
  <c r="D488" i="242"/>
  <c r="D92" i="242"/>
  <c r="D465" i="242"/>
  <c r="D91" i="242"/>
  <c r="D442" i="242"/>
  <c r="D90" i="242"/>
  <c r="D419" i="242"/>
  <c r="D89" i="242"/>
  <c r="D396" i="242"/>
  <c r="D88" i="242"/>
  <c r="D373" i="242"/>
  <c r="D87" i="242"/>
  <c r="D350" i="242"/>
  <c r="D86" i="242"/>
  <c r="D327" i="242"/>
  <c r="D85" i="242"/>
  <c r="D304" i="242"/>
  <c r="D84" i="242"/>
  <c r="D281" i="242"/>
  <c r="D83" i="242"/>
  <c r="D258" i="242"/>
  <c r="D82" i="242"/>
  <c r="D235" i="242"/>
  <c r="D81" i="242"/>
  <c r="D212" i="242"/>
  <c r="D80" i="242"/>
  <c r="D189" i="242"/>
  <c r="D79" i="242"/>
  <c r="D166" i="242"/>
  <c r="D78" i="242"/>
  <c r="D143" i="242"/>
  <c r="D77" i="242"/>
  <c r="D120" i="242"/>
  <c r="D76" i="242"/>
  <c r="D51" i="242"/>
  <c r="D510" i="242"/>
  <c r="D70" i="242"/>
  <c r="D487" i="242"/>
  <c r="D69" i="242"/>
  <c r="D464" i="242"/>
  <c r="D68" i="242"/>
  <c r="D441" i="242"/>
  <c r="D67" i="242"/>
  <c r="D418" i="242"/>
  <c r="D66" i="242"/>
  <c r="D395" i="242"/>
  <c r="D65" i="242"/>
  <c r="D372" i="242"/>
  <c r="D64" i="242"/>
  <c r="D349" i="242"/>
  <c r="D63" i="242"/>
  <c r="D326" i="242"/>
  <c r="D62" i="242"/>
  <c r="D303" i="242"/>
  <c r="D61" i="242"/>
  <c r="D280" i="242"/>
  <c r="D60" i="242"/>
  <c r="D257" i="242"/>
  <c r="D59" i="242"/>
  <c r="D234" i="242"/>
  <c r="D58" i="242"/>
  <c r="D211" i="242"/>
  <c r="D57" i="242"/>
  <c r="D188" i="242"/>
  <c r="D56" i="242"/>
  <c r="D165" i="242"/>
  <c r="D55" i="242"/>
  <c r="D142" i="242"/>
  <c r="D54" i="242"/>
  <c r="D119" i="242"/>
  <c r="D53" i="242"/>
  <c r="D96" i="242"/>
  <c r="D52" i="242"/>
  <c r="D27" i="242"/>
  <c r="D509" i="242"/>
  <c r="D47" i="242"/>
  <c r="D486" i="242"/>
  <c r="D46" i="242"/>
  <c r="D463" i="242"/>
  <c r="D45" i="242"/>
  <c r="D440" i="242"/>
  <c r="D44" i="242"/>
  <c r="D417" i="242"/>
  <c r="D43" i="242"/>
  <c r="D394" i="242"/>
  <c r="D42" i="242"/>
  <c r="D371" i="242"/>
  <c r="D41" i="242"/>
  <c r="D348" i="242"/>
  <c r="D40" i="242"/>
  <c r="D325" i="242"/>
  <c r="D39" i="242"/>
  <c r="D302" i="242"/>
  <c r="D38" i="242"/>
  <c r="D279" i="242"/>
  <c r="D37" i="242"/>
  <c r="D256" i="242"/>
  <c r="D36" i="242"/>
  <c r="D233" i="242"/>
  <c r="D35" i="242"/>
  <c r="D210" i="242"/>
  <c r="D34" i="242"/>
  <c r="D187" i="242"/>
  <c r="D33" i="242"/>
  <c r="D164" i="242"/>
  <c r="D32" i="242"/>
  <c r="D141" i="242"/>
  <c r="D31" i="242"/>
  <c r="D118" i="242"/>
  <c r="D30" i="242"/>
  <c r="D95" i="242"/>
  <c r="D29" i="242"/>
  <c r="D72" i="242"/>
  <c r="D28" i="242"/>
  <c r="D3" i="242"/>
  <c r="D485" i="242"/>
  <c r="D23" i="242"/>
  <c r="D462" i="242"/>
  <c r="D22" i="242"/>
  <c r="D439" i="242"/>
  <c r="D21" i="242"/>
  <c r="D416" i="242"/>
  <c r="D20" i="242"/>
  <c r="D393" i="242"/>
  <c r="D19" i="242"/>
  <c r="D370" i="242"/>
  <c r="D18" i="242"/>
  <c r="D347" i="242"/>
  <c r="D17" i="242"/>
  <c r="D324" i="242"/>
  <c r="D16" i="242"/>
  <c r="D301" i="242"/>
  <c r="D15" i="242"/>
  <c r="D278" i="242"/>
  <c r="D14" i="242"/>
  <c r="D255" i="242"/>
  <c r="D13" i="242"/>
  <c r="D232" i="242"/>
  <c r="D12" i="242"/>
  <c r="D209" i="242"/>
  <c r="D11" i="242"/>
  <c r="D186" i="242"/>
  <c r="D10" i="242"/>
  <c r="D163" i="242"/>
  <c r="D9" i="242"/>
  <c r="D140" i="242"/>
  <c r="D8" i="242"/>
  <c r="D117" i="242"/>
  <c r="D7" i="242"/>
  <c r="D94" i="242"/>
  <c r="D6" i="242"/>
  <c r="D71" i="242"/>
  <c r="D5" i="242"/>
  <c r="D48" i="242"/>
  <c r="D4" i="242"/>
  <c r="D24" i="231"/>
  <c r="C25" i="248"/>
  <c r="C21" i="248"/>
  <c r="C17" i="248"/>
  <c r="C13" i="248"/>
  <c r="C14" i="248"/>
  <c r="C6" i="248"/>
  <c r="C26" i="248"/>
  <c r="C22" i="248"/>
  <c r="C18" i="248"/>
  <c r="C15" i="248"/>
  <c r="C7" i="248"/>
  <c r="C8" i="248"/>
  <c r="C27" i="248"/>
  <c r="C23" i="248"/>
  <c r="C19" i="248"/>
  <c r="C16" i="248"/>
  <c r="C9" i="248"/>
  <c r="C10" i="248"/>
  <c r="C28" i="248"/>
  <c r="C24" i="248"/>
  <c r="C20" i="248"/>
  <c r="C5" i="248"/>
  <c r="C11" i="248"/>
  <c r="C12" i="248"/>
  <c r="L6" i="248" l="1"/>
  <c r="N6" i="248" s="1"/>
  <c r="H6" i="248"/>
  <c r="I6" i="248" s="1"/>
  <c r="J6" i="248" s="1"/>
  <c r="F6" i="248"/>
  <c r="D6" i="248"/>
  <c r="M6" i="248"/>
  <c r="E6" i="248"/>
  <c r="K6" i="248"/>
  <c r="K7" i="248" s="1"/>
  <c r="K8" i="248" s="1"/>
  <c r="K9" i="248" s="1"/>
  <c r="K10" i="248" s="1"/>
  <c r="K11" i="248" s="1"/>
  <c r="G6" i="248"/>
  <c r="G7" i="248" s="1"/>
  <c r="G8" i="248" s="1"/>
  <c r="G9" i="248" s="1"/>
  <c r="G10" i="248" s="1"/>
  <c r="G11" i="248" s="1"/>
  <c r="L8" i="248"/>
  <c r="D8" i="248"/>
  <c r="M8" i="248"/>
  <c r="E8" i="248"/>
  <c r="L10" i="248"/>
  <c r="D10" i="248"/>
  <c r="M10" i="248"/>
  <c r="E10" i="248"/>
  <c r="O10" i="248"/>
  <c r="O9" i="248" s="1"/>
  <c r="P12" i="248"/>
  <c r="N12" i="248"/>
  <c r="L12" i="248"/>
  <c r="H12" i="248"/>
  <c r="I12" i="248" s="1"/>
  <c r="J12" i="248" s="1"/>
  <c r="F12" i="248"/>
  <c r="D12" i="248"/>
  <c r="M12" i="248"/>
  <c r="E12" i="248"/>
  <c r="O12" i="248"/>
  <c r="K12" i="248"/>
  <c r="G12" i="248"/>
  <c r="P14" i="248"/>
  <c r="N14" i="248"/>
  <c r="L14" i="248"/>
  <c r="H14" i="248"/>
  <c r="I14" i="248" s="1"/>
  <c r="J14" i="248" s="1"/>
  <c r="F14" i="248"/>
  <c r="D14" i="248"/>
  <c r="M14" i="248"/>
  <c r="E14" i="248"/>
  <c r="O14" i="248"/>
  <c r="K14" i="248"/>
  <c r="G14" i="248"/>
  <c r="L7" i="248"/>
  <c r="F7" i="248"/>
  <c r="F8" i="248" s="1"/>
  <c r="F9" i="248" s="1"/>
  <c r="F10" i="248" s="1"/>
  <c r="F11" i="248" s="1"/>
  <c r="D7" i="248"/>
  <c r="M7" i="248"/>
  <c r="E7" i="248"/>
  <c r="L9" i="248"/>
  <c r="D9" i="248"/>
  <c r="M9" i="248"/>
  <c r="E9" i="248"/>
  <c r="N11" i="248"/>
  <c r="L11" i="248"/>
  <c r="D11" i="248"/>
  <c r="O11" i="248"/>
  <c r="M11" i="248"/>
  <c r="E11" i="248"/>
  <c r="P13" i="248"/>
  <c r="N13" i="248"/>
  <c r="L13" i="248"/>
  <c r="H13" i="248"/>
  <c r="F13" i="248"/>
  <c r="D13" i="248"/>
  <c r="O13" i="248"/>
  <c r="K13" i="248"/>
  <c r="G13" i="248"/>
  <c r="M13" i="248"/>
  <c r="E13" i="248"/>
  <c r="P15" i="248"/>
  <c r="N15" i="248"/>
  <c r="L15" i="248"/>
  <c r="H15" i="248"/>
  <c r="I15" i="248" s="1"/>
  <c r="J15" i="248" s="1"/>
  <c r="F15" i="248"/>
  <c r="D15" i="248"/>
  <c r="O15" i="248"/>
  <c r="M15" i="248"/>
  <c r="K15" i="248"/>
  <c r="G15" i="248"/>
  <c r="E15" i="248"/>
  <c r="O16" i="248"/>
  <c r="M16" i="248"/>
  <c r="K16" i="248"/>
  <c r="P16" i="248"/>
  <c r="L16" i="248"/>
  <c r="H16" i="248"/>
  <c r="F16" i="248"/>
  <c r="D16" i="248"/>
  <c r="N16" i="248"/>
  <c r="G16" i="248"/>
  <c r="E16" i="248"/>
  <c r="I16" i="248"/>
  <c r="J16" i="248" s="1"/>
  <c r="E5" i="248"/>
  <c r="I13" i="248"/>
  <c r="J13" i="248" s="1"/>
  <c r="D5" i="248"/>
  <c r="O17" i="248"/>
  <c r="M17" i="248"/>
  <c r="K17" i="248"/>
  <c r="G17" i="248"/>
  <c r="E17" i="248"/>
  <c r="N17" i="248"/>
  <c r="F17" i="248"/>
  <c r="P17" i="248"/>
  <c r="L17" i="248"/>
  <c r="H17" i="248"/>
  <c r="I17" i="248" s="1"/>
  <c r="J17" i="248" s="1"/>
  <c r="D17" i="248"/>
  <c r="O18" i="248"/>
  <c r="M18" i="248"/>
  <c r="K18" i="248"/>
  <c r="G18" i="248"/>
  <c r="E18" i="248"/>
  <c r="P18" i="248"/>
  <c r="L18" i="248"/>
  <c r="H18" i="248"/>
  <c r="I18" i="248" s="1"/>
  <c r="J18" i="248" s="1"/>
  <c r="D18" i="248"/>
  <c r="N18" i="248"/>
  <c r="F18" i="248"/>
  <c r="O19" i="248"/>
  <c r="M19" i="248"/>
  <c r="K19" i="248"/>
  <c r="G19" i="248"/>
  <c r="E19" i="248"/>
  <c r="N19" i="248"/>
  <c r="F19" i="248"/>
  <c r="P19" i="248"/>
  <c r="L19" i="248"/>
  <c r="H19" i="248"/>
  <c r="I19" i="248" s="1"/>
  <c r="J19" i="248" s="1"/>
  <c r="D19" i="248"/>
  <c r="O20" i="248"/>
  <c r="M20" i="248"/>
  <c r="K20" i="248"/>
  <c r="G20" i="248"/>
  <c r="E20" i="248"/>
  <c r="P20" i="248"/>
  <c r="L20" i="248"/>
  <c r="H20" i="248"/>
  <c r="I20" i="248" s="1"/>
  <c r="J20" i="248" s="1"/>
  <c r="D20" i="248"/>
  <c r="N20" i="248"/>
  <c r="F20" i="248"/>
  <c r="O21" i="248"/>
  <c r="M21" i="248"/>
  <c r="K21" i="248"/>
  <c r="G21" i="248"/>
  <c r="E21" i="248"/>
  <c r="N21" i="248"/>
  <c r="F21" i="248"/>
  <c r="P21" i="248"/>
  <c r="L21" i="248"/>
  <c r="H21" i="248"/>
  <c r="I21" i="248" s="1"/>
  <c r="J21" i="248" s="1"/>
  <c r="D21" i="248"/>
  <c r="O22" i="248"/>
  <c r="M22" i="248"/>
  <c r="K22" i="248"/>
  <c r="G22" i="248"/>
  <c r="E22" i="248"/>
  <c r="P22" i="248"/>
  <c r="L22" i="248"/>
  <c r="H22" i="248"/>
  <c r="I22" i="248" s="1"/>
  <c r="J22" i="248" s="1"/>
  <c r="D22" i="248"/>
  <c r="N22" i="248"/>
  <c r="F22" i="248"/>
  <c r="O23" i="248"/>
  <c r="M23" i="248"/>
  <c r="K23" i="248"/>
  <c r="G23" i="248"/>
  <c r="E23" i="248"/>
  <c r="N23" i="248"/>
  <c r="F23" i="248"/>
  <c r="P23" i="248"/>
  <c r="L23" i="248"/>
  <c r="H23" i="248"/>
  <c r="I23" i="248" s="1"/>
  <c r="J23" i="248" s="1"/>
  <c r="D23" i="248"/>
  <c r="O24" i="248"/>
  <c r="M24" i="248"/>
  <c r="K24" i="248"/>
  <c r="G24" i="248"/>
  <c r="E24" i="248"/>
  <c r="P24" i="248"/>
  <c r="L24" i="248"/>
  <c r="H24" i="248"/>
  <c r="I24" i="248" s="1"/>
  <c r="J24" i="248" s="1"/>
  <c r="D24" i="248"/>
  <c r="N24" i="248"/>
  <c r="F24" i="248"/>
  <c r="O25" i="248"/>
  <c r="M25" i="248"/>
  <c r="K25" i="248"/>
  <c r="G25" i="248"/>
  <c r="E25" i="248"/>
  <c r="N25" i="248"/>
  <c r="F25" i="248"/>
  <c r="P25" i="248"/>
  <c r="L25" i="248"/>
  <c r="H25" i="248"/>
  <c r="I25" i="248" s="1"/>
  <c r="J25" i="248" s="1"/>
  <c r="D25" i="248"/>
  <c r="O26" i="248"/>
  <c r="M26" i="248"/>
  <c r="K26" i="248"/>
  <c r="G26" i="248"/>
  <c r="E26" i="248"/>
  <c r="P26" i="248"/>
  <c r="L26" i="248"/>
  <c r="H26" i="248"/>
  <c r="I26" i="248" s="1"/>
  <c r="J26" i="248" s="1"/>
  <c r="D26" i="248"/>
  <c r="N26" i="248"/>
  <c r="F26" i="248"/>
  <c r="O27" i="248"/>
  <c r="M27" i="248"/>
  <c r="K27" i="248"/>
  <c r="G27" i="248"/>
  <c r="E27" i="248"/>
  <c r="N27" i="248"/>
  <c r="F27" i="248"/>
  <c r="P27" i="248"/>
  <c r="L27" i="248"/>
  <c r="H27" i="248"/>
  <c r="I27" i="248" s="1"/>
  <c r="J27" i="248" s="1"/>
  <c r="D27" i="248"/>
  <c r="O28" i="248"/>
  <c r="M28" i="248"/>
  <c r="K28" i="248"/>
  <c r="G28" i="248"/>
  <c r="E28" i="248"/>
  <c r="P28" i="248"/>
  <c r="L28" i="248"/>
  <c r="H28" i="248"/>
  <c r="I28" i="248" s="1"/>
  <c r="J28" i="248" s="1"/>
  <c r="D28" i="248"/>
  <c r="N28" i="248"/>
  <c r="F28" i="248"/>
  <c r="I3" i="248"/>
  <c r="O8" i="248" l="1"/>
  <c r="O7" i="248" s="1"/>
  <c r="O6" i="248" s="1"/>
  <c r="O5" i="248" s="1"/>
  <c r="P5" i="248" s="1"/>
  <c r="P11" i="248"/>
  <c r="N7" i="248"/>
  <c r="N8" i="248" s="1"/>
  <c r="B1" i="248"/>
  <c r="P7" i="248"/>
  <c r="H7" i="248"/>
  <c r="I7" i="248" s="1"/>
  <c r="P6" i="248" l="1"/>
  <c r="N9" i="248"/>
  <c r="N10" i="248" s="1"/>
  <c r="P10" i="248" s="1"/>
  <c r="P8" i="248"/>
  <c r="J7" i="248"/>
  <c r="H8" i="248"/>
  <c r="I8" i="248" s="1"/>
  <c r="P9" i="248"/>
  <c r="J8" i="248" l="1"/>
  <c r="H9" i="248"/>
  <c r="I9" i="248" s="1"/>
  <c r="J9" i="248" l="1"/>
  <c r="H10" i="248"/>
  <c r="I10" i="248" s="1"/>
  <c r="J10" i="248" l="1"/>
  <c r="H11" i="248"/>
  <c r="I11" i="248" s="1"/>
  <c r="J11" i="248" s="1"/>
</calcChain>
</file>

<file path=xl/sharedStrings.xml><?xml version="1.0" encoding="utf-8"?>
<sst xmlns="http://schemas.openxmlformats.org/spreadsheetml/2006/main" count="5476" uniqueCount="4047">
  <si>
    <t>Sequence</t>
  </si>
  <si>
    <t>Parameter</t>
  </si>
  <si>
    <t>Value</t>
  </si>
  <si>
    <t>Remarks</t>
  </si>
  <si>
    <t>1.Locations</t>
  </si>
  <si>
    <t>Number of customers</t>
  </si>
  <si>
    <t>2.Distances</t>
  </si>
  <si>
    <t>Bing Maps route type</t>
  </si>
  <si>
    <t>Fastest</t>
  </si>
  <si>
    <t>Average vehicle speed</t>
  </si>
  <si>
    <t>3.Vehicles</t>
  </si>
  <si>
    <t>Number of vehicle types</t>
  </si>
  <si>
    <t>4.Solution</t>
  </si>
  <si>
    <t>Yes</t>
  </si>
  <si>
    <t>Time window type</t>
  </si>
  <si>
    <t>Hard</t>
  </si>
  <si>
    <t>5.Optional - Visualization</t>
  </si>
  <si>
    <t>Visualization background</t>
  </si>
  <si>
    <t>Location labels</t>
  </si>
  <si>
    <t>6.Solver</t>
  </si>
  <si>
    <t>Warm start?</t>
  </si>
  <si>
    <t>CPU time limit (seconds)</t>
  </si>
  <si>
    <t>[5,200]</t>
  </si>
  <si>
    <t>Number of depots</t>
  </si>
  <si>
    <t>[1,20]</t>
  </si>
  <si>
    <t>Backhauls?</t>
  </si>
  <si>
    <t>Show progress on the status bar?</t>
  </si>
  <si>
    <t>If activated, delivery locations must be visited before pickup locations</t>
  </si>
  <si>
    <t>Bing Maps</t>
  </si>
  <si>
    <t>Bing Maps driving distances (km)</t>
  </si>
  <si>
    <t>You can get a free trial key at https://www.bingmapsportal.com/</t>
  </si>
  <si>
    <t>Recommendation: Use 'postcode, country' format for addresses</t>
  </si>
  <si>
    <t>Recommendation: Use 'Fastest'</t>
  </si>
  <si>
    <t>Do the vehicles return to their depot(s)?</t>
  </si>
  <si>
    <t>Yes - only once at the end</t>
  </si>
  <si>
    <t>Distance computation method</t>
  </si>
  <si>
    <t>Duration computation method</t>
  </si>
  <si>
    <t>Bing Maps driving durations</t>
  </si>
  <si>
    <t>Menu Item</t>
  </si>
  <si>
    <t>English</t>
  </si>
  <si>
    <t>Türkçe</t>
  </si>
  <si>
    <t>Deutsche</t>
  </si>
  <si>
    <t>Espanola</t>
  </si>
  <si>
    <t>Française</t>
  </si>
  <si>
    <t>Italiano</t>
  </si>
  <si>
    <t>Português</t>
  </si>
  <si>
    <t>عربى</t>
  </si>
  <si>
    <t>0. Reset</t>
  </si>
  <si>
    <t>0. Sıfırla</t>
  </si>
  <si>
    <t>0. Zurücksetzen</t>
  </si>
  <si>
    <t>0. Restablecer</t>
  </si>
  <si>
    <t>0. Réinitialiser</t>
  </si>
  <si>
    <t>0. Reimposta</t>
  </si>
  <si>
    <t>0. Reiniciar</t>
  </si>
  <si>
    <t>0. إعادة</t>
  </si>
  <si>
    <t>customButton1</t>
  </si>
  <si>
    <t>0. Reset the workbook</t>
  </si>
  <si>
    <t>0. Çalışma kitabını sıfırlayın</t>
  </si>
  <si>
    <t>0. Setzen Sie die Arbeitsmappe zurück</t>
  </si>
  <si>
    <t>0. Restablecer el libro de trabajo</t>
  </si>
  <si>
    <t>0. Réinitialiser le classeur</t>
  </si>
  <si>
    <t>0. Reimpostare la cartella di lavoro</t>
  </si>
  <si>
    <t>0. Reinicialize a pasta de trabalho</t>
  </si>
  <si>
    <t>0. إعادة تعيين المصنف</t>
  </si>
  <si>
    <t>menu1</t>
  </si>
  <si>
    <t>customButton2</t>
  </si>
  <si>
    <t>customButton3</t>
  </si>
  <si>
    <t>customButton4</t>
  </si>
  <si>
    <t>menu2</t>
  </si>
  <si>
    <t>customButton5</t>
  </si>
  <si>
    <t>customButton6</t>
  </si>
  <si>
    <t>customButton7</t>
  </si>
  <si>
    <t>menu3</t>
  </si>
  <si>
    <t>customButton8</t>
  </si>
  <si>
    <t>menu4</t>
  </si>
  <si>
    <t>customButton9</t>
  </si>
  <si>
    <t>customButton10</t>
  </si>
  <si>
    <t>menu5</t>
  </si>
  <si>
    <t>customButton11</t>
  </si>
  <si>
    <t>customButton12</t>
  </si>
  <si>
    <t>menu6</t>
  </si>
  <si>
    <t>Info</t>
  </si>
  <si>
    <t>Bilgi</t>
  </si>
  <si>
    <t>Die Info</t>
  </si>
  <si>
    <t>Informazioni</t>
  </si>
  <si>
    <t>Informações</t>
  </si>
  <si>
    <t>معلومات</t>
  </si>
  <si>
    <t>customButton13</t>
  </si>
  <si>
    <t>customButton14</t>
  </si>
  <si>
    <t>Watch the tutorial video on YouTube</t>
  </si>
  <si>
    <t>Sehen Sie sich das Tutorial-Video auf YouTube an</t>
  </si>
  <si>
    <t>Mira el video tutorial en YouTube</t>
  </si>
  <si>
    <t>Regardez la vidéo du didacticiel sur YouTube</t>
  </si>
  <si>
    <t>Guarda il video tutorial su YouTube</t>
  </si>
  <si>
    <t>Assista ao vídeo tutorial no YouTube</t>
  </si>
  <si>
    <t>شاهد الفيديو التعليمي على موقع يوتيوب</t>
  </si>
  <si>
    <t>customButton15</t>
  </si>
  <si>
    <t>About</t>
  </si>
  <si>
    <t>Hakkında</t>
  </si>
  <si>
    <t>Über</t>
  </si>
  <si>
    <t>Acerca de</t>
  </si>
  <si>
    <t>Di</t>
  </si>
  <si>
    <t>Sobre</t>
  </si>
  <si>
    <t>حول</t>
  </si>
  <si>
    <t>0.Interface</t>
  </si>
  <si>
    <t>0.Interfaz</t>
  </si>
  <si>
    <t>0.Interfaccia</t>
  </si>
  <si>
    <t>0. الواجهة</t>
  </si>
  <si>
    <t>Language</t>
  </si>
  <si>
    <t>Dil</t>
  </si>
  <si>
    <t>Sprache</t>
  </si>
  <si>
    <t>Idioma</t>
  </si>
  <si>
    <t>Langue</t>
  </si>
  <si>
    <t>linguaggio</t>
  </si>
  <si>
    <t>Língua</t>
  </si>
  <si>
    <t>لغة</t>
  </si>
  <si>
    <t>Please refer to the manual for modifying the interface.</t>
  </si>
  <si>
    <t>Veuillez vous référer au manuel pour modifier l'interface.</t>
  </si>
  <si>
    <t>Fare riferimento al manuale per modificare l'interfaccia.</t>
  </si>
  <si>
    <t>Consulte o manual para modificar a interface.</t>
  </si>
  <si>
    <t>يرجى الرجوع إلى دليل تعديل الواجهة.</t>
  </si>
  <si>
    <t>Send feedback or ask a question</t>
  </si>
  <si>
    <t>Geri bildirim gönderin veya soru sorun</t>
  </si>
  <si>
    <t>Senden Sie Feedback oder stellen Sie eine Frage</t>
  </si>
  <si>
    <t>Envíe sus comentarios o haga una pregunta</t>
  </si>
  <si>
    <t>Envoyez des commentaires ou posez une question</t>
  </si>
  <si>
    <t>Invia feedback o fai una domanda</t>
  </si>
  <si>
    <t>Envie feedback ou faça uma pergunta</t>
  </si>
  <si>
    <t>إرسال ملاحظات أو طرح سؤال</t>
  </si>
  <si>
    <t>Sıra</t>
  </si>
  <si>
    <t>Reihenfolge</t>
  </si>
  <si>
    <t>Secuencia</t>
  </si>
  <si>
    <t>Séquence</t>
  </si>
  <si>
    <t>Sequenza</t>
  </si>
  <si>
    <t>Seqüência</t>
  </si>
  <si>
    <t>تسلسل</t>
  </si>
  <si>
    <t>Parametre</t>
  </si>
  <si>
    <t>Parámetro</t>
  </si>
  <si>
    <t>Paramètre</t>
  </si>
  <si>
    <t>Parametro</t>
  </si>
  <si>
    <t>Parâmetro</t>
  </si>
  <si>
    <t>معامل</t>
  </si>
  <si>
    <t>Değer</t>
  </si>
  <si>
    <t>Wert</t>
  </si>
  <si>
    <t>Valor</t>
  </si>
  <si>
    <t>Valeur</t>
  </si>
  <si>
    <t>Valore</t>
  </si>
  <si>
    <t>القيمة</t>
  </si>
  <si>
    <t>Uyarılar</t>
  </si>
  <si>
    <t>Bemerkungen</t>
  </si>
  <si>
    <t>Observaciones</t>
  </si>
  <si>
    <t>Remarques</t>
  </si>
  <si>
    <t>Osservazioni</t>
  </si>
  <si>
    <t>Observações</t>
  </si>
  <si>
    <t>ملاحظات</t>
  </si>
  <si>
    <t>Please enter an integer from 1 to 10</t>
  </si>
  <si>
    <t>Lütfen 1 ile 10 arasında bir tam sayı girin</t>
  </si>
  <si>
    <t>Bitte geben Sie eine Ganzzahl von 1 bis 10 ein</t>
  </si>
  <si>
    <t>Ingrese un número entero del 1 al 10</t>
  </si>
  <si>
    <t>Veuillez saisir un entier de 1 à 10</t>
  </si>
  <si>
    <t>Inserisci un numero intero compreso tra 1 e 10</t>
  </si>
  <si>
    <t>Insira um número inteiro de 1 a 10</t>
  </si>
  <si>
    <t>الرجاء إدخال عدد صحيح من 1 إلى 10</t>
  </si>
  <si>
    <t>Evet</t>
  </si>
  <si>
    <t>Ja</t>
  </si>
  <si>
    <t>Oui</t>
  </si>
  <si>
    <t>نعم</t>
  </si>
  <si>
    <t>No</t>
  </si>
  <si>
    <t>Hayır</t>
  </si>
  <si>
    <t>Nein</t>
  </si>
  <si>
    <t>Non</t>
  </si>
  <si>
    <t>Não</t>
  </si>
  <si>
    <t>لا</t>
  </si>
  <si>
    <t>CPU zaman sınırı (saniye)</t>
  </si>
  <si>
    <t>CPU-Zeitlimit (Sekunden)</t>
  </si>
  <si>
    <t>Límite de tiempo de la CPU (segundos)</t>
  </si>
  <si>
    <t>Limite de temps CPU (secondes)</t>
  </si>
  <si>
    <t>Limite di tempo della CPU (secondi)</t>
  </si>
  <si>
    <t>Limite de tempo da CPU (segundos)</t>
  </si>
  <si>
    <t>حد وقت وحدة المعالجة المركزية (بالثواني)</t>
  </si>
  <si>
    <t>Please enter a value greater than or equal to 10 seconds.</t>
  </si>
  <si>
    <t>Bitte geben Sie einen Wert größer oder gleich 10 Sekunden ein.</t>
  </si>
  <si>
    <t>Ingrese un valor mayor o igual a 10 segundos.</t>
  </si>
  <si>
    <t>Veuillez saisir une valeur supérieure ou égale à 10 secondes.</t>
  </si>
  <si>
    <t>Inserisci un valore maggiore o uguale a 10 secondi.</t>
  </si>
  <si>
    <t>Insira um valor maior ou igual a 10 segundos.</t>
  </si>
  <si>
    <t>الرجاء إدخال قيمة أكبر من أو تساوي 10 ثوانٍ.</t>
  </si>
  <si>
    <t>This will overwrite existing visualization data. Do you want to continue?</t>
  </si>
  <si>
    <t>Esto sobrescribirá los datos de visualización existentes. ¿Quieres continuar?</t>
  </si>
  <si>
    <t>Cela écrasera les données de visualisation existantes. Voulez-vous continuer?</t>
  </si>
  <si>
    <t>Questo sovrascriverà i dati di visualizzazione esistenti. Vuoi continuare?</t>
  </si>
  <si>
    <t>Isso substituirá os dados de visualização existentes. Você quer continuar?</t>
  </si>
  <si>
    <t>سيؤدي هذا إلى الكتابة فوق بيانات التصور الموجودة. هل تريد الاستمرار؟</t>
  </si>
  <si>
    <t>Name</t>
  </si>
  <si>
    <t>İsim</t>
  </si>
  <si>
    <t>Nombre</t>
  </si>
  <si>
    <t>Nom</t>
  </si>
  <si>
    <t>Nome</t>
  </si>
  <si>
    <t>اسم</t>
  </si>
  <si>
    <t>Profit</t>
  </si>
  <si>
    <t>Kar</t>
  </si>
  <si>
    <t>Profitieren</t>
  </si>
  <si>
    <t>Lucro</t>
  </si>
  <si>
    <t>Profitto</t>
  </si>
  <si>
    <t>الربح</t>
  </si>
  <si>
    <t>Please enter a positive value</t>
  </si>
  <si>
    <t>Lütfen pozitif bir değer girin</t>
  </si>
  <si>
    <t>Bitte geben Sie einen positiven Wert ein</t>
  </si>
  <si>
    <t>Ingrese un valor positivo</t>
  </si>
  <si>
    <t>Veuillez saisir une valeur positive</t>
  </si>
  <si>
    <t>Inserisci un valore positivo</t>
  </si>
  <si>
    <t>Insira um valor positivo</t>
  </si>
  <si>
    <t>الرجاء إدخال قيمة موجبة</t>
  </si>
  <si>
    <t>Please enter a nonnegative value</t>
  </si>
  <si>
    <t>Lütfen negatif olmayan bir değer girin</t>
  </si>
  <si>
    <t>Bitte geben Sie einen nicht negativen Wert ein</t>
  </si>
  <si>
    <t>Ingrese un valor no negativo</t>
  </si>
  <si>
    <t>Veuillez saisir une valeur non négative</t>
  </si>
  <si>
    <t>Inserisci un valore non negativo</t>
  </si>
  <si>
    <t>Insira um valor não negativo</t>
  </si>
  <si>
    <t>الرجاء إدخال قيمة غير سالبة</t>
  </si>
  <si>
    <t xml:space="preserve">This will take some time (estimated </t>
  </si>
  <si>
    <t>Bu biraz zaman alacak (tahmini</t>
  </si>
  <si>
    <t>Dies wird einige Zeit dauern (geschätzt</t>
  </si>
  <si>
    <t>Esto llevará algún tiempo (estimado</t>
  </si>
  <si>
    <t>Cela prendra un certain temps (estimation</t>
  </si>
  <si>
    <t>Questo richiederà del tempo (stimato</t>
  </si>
  <si>
    <t>Isso levará algum tempo (estimativa</t>
  </si>
  <si>
    <t>سيستغرق هذا بعض الوقت (تقديري</t>
  </si>
  <si>
    <t xml:space="preserve"> seconds), overwrite existing solution data, and erase the visualization data. Do you want to continue?</t>
  </si>
  <si>
    <t xml:space="preserve"> segundos), sobrescriba los datos de la solución existente y borre los datos de visualización. ¿Quieres continuar?</t>
  </si>
  <si>
    <t xml:space="preserve"> secondes), écrasez les données de solution existantes et effacez les données de visualisation. Voulez-vous continuer?</t>
  </si>
  <si>
    <t xml:space="preserve"> secondi), sovrascrivere i dati della soluzione esistente e cancellare i dati di visualizzazione. Vuoi continuare?</t>
  </si>
  <si>
    <t xml:space="preserve"> segundos), sobrescrever os dados da solução existentes e apagar os dados de visualização. Você quer continuar?</t>
  </si>
  <si>
    <t xml:space="preserve"> ثواني) ، والكتابة فوق بيانات الحل الموجودة ، ومحو بيانات التصور. هل تريد الاستمرار؟</t>
  </si>
  <si>
    <t xml:space="preserve"> seconds), and overwrite existing solution data. Do you want to continue?</t>
  </si>
  <si>
    <t xml:space="preserve"> segundos) y sobrescriba los datos de la solución existente. ¿Quieres continuar?</t>
  </si>
  <si>
    <t xml:space="preserve"> secondes) et écraser les données de solution existantes. Voulez-vous continuer?</t>
  </si>
  <si>
    <t xml:space="preserve"> secondi) e sovrascrivere i dati della soluzione esistente. Vuoi continuare?</t>
  </si>
  <si>
    <t xml:space="preserve"> segundos) e sobrescrever os dados da solução existentes. Você quer continuar?</t>
  </si>
  <si>
    <t xml:space="preserve"> ثواني) ، والكتابة فوق بيانات الحل الموجودة. هل تريد الاستمرار؟</t>
  </si>
  <si>
    <t xml:space="preserve"> seconds). Do you want to continue?</t>
  </si>
  <si>
    <t xml:space="preserve"> segundos). ¿Quieres continuar?</t>
  </si>
  <si>
    <t xml:space="preserve"> secondes). Voulez-vous continuer?</t>
  </si>
  <si>
    <t xml:space="preserve"> secondi). Vuoi continuare?</t>
  </si>
  <si>
    <t xml:space="preserve"> segundos). Você quer continuar?</t>
  </si>
  <si>
    <t xml:space="preserve"> ثواني). هل تريد الاستمرار؟</t>
  </si>
  <si>
    <t>Total net profit:</t>
  </si>
  <si>
    <t>Toplam net kar:</t>
  </si>
  <si>
    <t>Gesamtnettogewinn:</t>
  </si>
  <si>
    <t>Beneficio neto total:</t>
  </si>
  <si>
    <t>Bénéfice net total:</t>
  </si>
  <si>
    <t>Utile netto totale:</t>
  </si>
  <si>
    <t>Lucro líquido total:</t>
  </si>
  <si>
    <t>إجمالي صافي الربح:</t>
  </si>
  <si>
    <t>Warning</t>
  </si>
  <si>
    <t>Uyarı</t>
  </si>
  <si>
    <t>Warnung</t>
  </si>
  <si>
    <t>Advertencia</t>
  </si>
  <si>
    <t>avvertimento</t>
  </si>
  <si>
    <t>Atenção</t>
  </si>
  <si>
    <t>تحذير</t>
  </si>
  <si>
    <t>Please select a value from the list available in the selected cell.</t>
  </si>
  <si>
    <t>Lütfen seçili hücrede bulunan listeden bir değer seçin.</t>
  </si>
  <si>
    <t>Bitte wählen Sie einen Wert aus der Liste aus, die in der ausgewählten Zelle verfügbar ist.</t>
  </si>
  <si>
    <t>Seleccione un valor de la lista disponible en la celda seleccionada.</t>
  </si>
  <si>
    <t>Veuillez sélectionner une valeur dans la liste disponible dans la cellule sélectionnée.</t>
  </si>
  <si>
    <t>Seleziona un valore dall'elenco disponibile nella cella selezionata.</t>
  </si>
  <si>
    <t>Selecione um valor da lista disponível na célula selecionada.</t>
  </si>
  <si>
    <t>يرجى تحديد قيمة من القائمة المتاحة في الخلية المحددة.</t>
  </si>
  <si>
    <t>Solution worksheet setup complete.</t>
  </si>
  <si>
    <t>Çözüm çalışma sayfası kurulumu tamamlandı.</t>
  </si>
  <si>
    <t>Einrichtung des Lösungsarbeitsblatts abgeschlossen.</t>
  </si>
  <si>
    <t>Se completó la configuración de la hoja de trabajo de la solución.</t>
  </si>
  <si>
    <t>Configuration de la feuille de calcul de la solution terminée.</t>
  </si>
  <si>
    <t>Configurazione del foglio di lavoro della soluzione completata.</t>
  </si>
  <si>
    <t>Configuração da planilha de solução concluída.</t>
  </si>
  <si>
    <t>اكتمل إعداد ورقة عمل الحل.</t>
  </si>
  <si>
    <t>This will delete all existing problem data. Do you want to continue?</t>
  </si>
  <si>
    <t>Esto eliminará todos los datos de problemas existentes. ¿Quieres continuar?</t>
  </si>
  <si>
    <t>Cela supprimera toutes les données de problème existantes. Voulez-vous continuer?</t>
  </si>
  <si>
    <t>Questo cancellerà tutti i dati esistenti del problema. Vuoi continuare?</t>
  </si>
  <si>
    <t>Isso excluirá todos os dados do problema existentes. Você quer continuar?</t>
  </si>
  <si>
    <t>سيؤدي هذا إلى حذف جميع بيانات المشكلة الموجودة. هل تريد الاستمرار؟</t>
  </si>
  <si>
    <t>Do you want to continue?</t>
  </si>
  <si>
    <t>¿Quieres continuar?</t>
  </si>
  <si>
    <t>Voulez-vous continuer?</t>
  </si>
  <si>
    <t>Vuoi continuare?</t>
  </si>
  <si>
    <t>Você quer continuar?</t>
  </si>
  <si>
    <t>هل تريد الاستمرار؟</t>
  </si>
  <si>
    <t xml:space="preserve"> LNS iterations and found a solution with a net profit of </t>
  </si>
  <si>
    <t xml:space="preserve"> LNS-Iterationen und fand eine Lösung mit einem Nettogewinn von</t>
  </si>
  <si>
    <t xml:space="preserve"> Iteraciones LNS y encontré una solución con un beneficio neto de</t>
  </si>
  <si>
    <t xml:space="preserve"> Itérations LNS et trouvé une solution avec un bénéfice net de</t>
  </si>
  <si>
    <t xml:space="preserve"> LNS iterazioni e ha trovato una soluzione con un utile netto di</t>
  </si>
  <si>
    <t xml:space="preserve"> Iterações LNS e encontrou uma solução com um lucro líquido de</t>
  </si>
  <si>
    <t xml:space="preserve"> تكرارات LNS ووجدت حلاً بصافي ربح</t>
  </si>
  <si>
    <t>. Do you want to overwrite the current solution with the best found solution?</t>
  </si>
  <si>
    <t>. Bulunan en iyi çözümü mevcut çözümün üzerine yazmak ister misiniz?</t>
  </si>
  <si>
    <t>. Möchten Sie die aktuelle Lösung mit der am besten gefundenen Lösung überschreiben?</t>
  </si>
  <si>
    <t>. ¿Quiere sobrescribir la solución actual con la mejor solución encontrada?</t>
  </si>
  <si>
    <t>. Vuoi sovrascrivere la soluzione corrente con la migliore soluzione trovata?</t>
  </si>
  <si>
    <t>. Quer substituir a solução atual pela melhor solução encontrada?</t>
  </si>
  <si>
    <t>. هل تريد استبدال الحل الحالي بأفضل الحلول الموجودة؟</t>
  </si>
  <si>
    <t>Warning! You are changing the problem size parameters, which will not be reflected on the existing worksheets until you set them up again.</t>
  </si>
  <si>
    <t>Warnung! Sie ändern die Problemgrößenparameter, die erst in den vorhandenen Arbeitsblättern angezeigt werden, wenn Sie sie erneut einrichten.</t>
  </si>
  <si>
    <t>Avvertimento! Stai modificando i parametri della dimensione del problema, che non si rifletteranno sui fogli di lavoro esistenti finché non li imposterai di nuovo.</t>
  </si>
  <si>
    <t>Atenção! Você está alterando os parâmetros de tamanho do problema, que não serão refletidos nas planilhas existentes até que você os configure novamente.</t>
  </si>
  <si>
    <t>تحذير! أنت تقوم بتغيير معلمات حجم المشكلة ، والتي لن تنعكس على أوراق العمل الحالية حتى تقوم بإعدادها مرة أخرى.</t>
  </si>
  <si>
    <t>Unable to access Tools menu.</t>
  </si>
  <si>
    <t>Araçlar menüsüne erişilemiyor.</t>
  </si>
  <si>
    <t>Zugriff auf das Menü Extras nicht möglich.</t>
  </si>
  <si>
    <t>No se puede acceder al menú Herramientas.</t>
  </si>
  <si>
    <t>Impossible d'accéder au menu Outils.</t>
  </si>
  <si>
    <t>Impossibile accedere al menu Strumenti.</t>
  </si>
  <si>
    <t>Incapaz de acessar o menu Ferramentas.</t>
  </si>
  <si>
    <t>تعذر الوصول إلى قائمة الأدوات.</t>
  </si>
  <si>
    <t>Please save, close, and reopen the workbook for the menu to be updated.</t>
  </si>
  <si>
    <t>Speichern Sie die Arbeitsmappe, schließen Sie sie und öffnen Sie sie erneut, damit das Menü aktualisiert werden kann.</t>
  </si>
  <si>
    <t>Guarde, cierre y vuelva a abrir el libro de trabajo para que se actualice el menú.</t>
  </si>
  <si>
    <t>Veuillez enregistrer, fermer et rouvrir le classeur pour que le menu soit mis à jour.</t>
  </si>
  <si>
    <t>Salvare, chiudere e riaprire la cartella di lavoro per aggiornare il menu.</t>
  </si>
  <si>
    <t>Salve, feche e reabra a pasta de trabalho para que o menu seja atualizado.</t>
  </si>
  <si>
    <t>يرجى حفظ المصنف وإغلاقه وإعادة فتحه حتى يتم تحديث القائمة.</t>
  </si>
  <si>
    <t>Rusuhi Cantay for helping with the multi-language support.</t>
  </si>
  <si>
    <t>Rusuhi Cantay, çoklu dil desteğine yardımcı olduğu için.</t>
  </si>
  <si>
    <t>Rusuhi Cantay für die Unterstützung bei der mehrsprachigen Unterstützung.</t>
  </si>
  <si>
    <t>Rusuhi Cantay por ayudar con el soporte multilingüe.</t>
  </si>
  <si>
    <t>Rusuhi Cantay pour son aide avec le support multilingue.</t>
  </si>
  <si>
    <t>Rusuhi Cantay per aver aiutato con il supporto multilingue.</t>
  </si>
  <si>
    <t>Rusuhi Cantay por ajudar com o suporte multilíngue.</t>
  </si>
  <si>
    <t>Rusuhi Cantay للمساعدة في دعم متعدد اللغات.</t>
  </si>
  <si>
    <t>The latest version of the solver can be downloaded at</t>
  </si>
  <si>
    <t>Çözücünün en son sürümü şu adresten indirilebilir:</t>
  </si>
  <si>
    <t>Die neueste Version des Solvers kann unter heruntergeladen werden</t>
  </si>
  <si>
    <t>La última versión del solucionador se puede descargar en</t>
  </si>
  <si>
    <t>La dernière version du solveur peut être téléchargée sur</t>
  </si>
  <si>
    <t>L'ultima versione del risolutore può essere scaricata all'indirizzo</t>
  </si>
  <si>
    <t>A versão mais recente do solver pode ser baixada em</t>
  </si>
  <si>
    <t>Location IDs</t>
  </si>
  <si>
    <t>Optional - Bing Maps Key</t>
  </si>
  <si>
    <t>VRPSpreadsheetSolver</t>
  </si>
  <si>
    <t>VRP Spreadsheet Solver</t>
  </si>
  <si>
    <t>1. Locations</t>
  </si>
  <si>
    <t>1.1. Setup Locations Worksheet</t>
  </si>
  <si>
    <t>1.3. Sort locations alphabetically</t>
  </si>
  <si>
    <t>1.2. Populate Lat/Lon using addresses</t>
  </si>
  <si>
    <t>2. Distances</t>
  </si>
  <si>
    <t>2.1. Setup Distances Worksheet</t>
  </si>
  <si>
    <t>2.2. Populate Distances Worksheet</t>
  </si>
  <si>
    <t>3. Vehicles</t>
  </si>
  <si>
    <t>3.2. Setup Vehicle Compatibility Worksheet</t>
  </si>
  <si>
    <t>3.1. Setup Vehicles Worksheet</t>
  </si>
  <si>
    <t>4. Solution</t>
  </si>
  <si>
    <t>5. Visualisation</t>
  </si>
  <si>
    <t>5. Visualization</t>
  </si>
  <si>
    <t>5.1. Setup Visualization Worksheet</t>
  </si>
  <si>
    <t>4.1. Setup Solution Worksheet</t>
  </si>
  <si>
    <t>menu7</t>
  </si>
  <si>
    <t>6. Solver</t>
  </si>
  <si>
    <t>menu8</t>
  </si>
  <si>
    <t>6.3. Engage external solver</t>
  </si>
  <si>
    <t>6.1. Engage VRP Spreadsheet Solver</t>
  </si>
  <si>
    <t>6.2. Feasibility Check</t>
  </si>
  <si>
    <t>customButton16</t>
  </si>
  <si>
    <t>1. Konumlar</t>
  </si>
  <si>
    <t>1.3. Yerleri alfabetik olarak sıralayın</t>
  </si>
  <si>
    <t>2. Mesafeler</t>
  </si>
  <si>
    <t>3. Araçlar</t>
  </si>
  <si>
    <t>3.1. Araçlar Çalışma Sayfası Kurulumu</t>
  </si>
  <si>
    <t>3.2. Araç Uyumluluk Çalışma Sayfasını Ayarlayın</t>
  </si>
  <si>
    <t>4. Çözüm</t>
  </si>
  <si>
    <t>5. Görselleştirme</t>
  </si>
  <si>
    <t>6. Çözücü</t>
  </si>
  <si>
    <t>6.2. Fizibilite Kontrolü</t>
  </si>
  <si>
    <t>6.3. Harici çözücüyü devreye alın</t>
  </si>
  <si>
    <t>Eğitici videoyu YouTube'da izleyin</t>
  </si>
  <si>
    <t>VRP Excel Çözücü</t>
  </si>
  <si>
    <t>4.1. Çözüm Çalışma Sayfası Kurulumu</t>
  </si>
  <si>
    <t>5.1. Görselleştirme Çalışma Sayfası Kurulumu</t>
  </si>
  <si>
    <t>6.1. VRP Excel Çözücüsünü Kullanın</t>
  </si>
  <si>
    <t>1.1. Konumlar Çalışma Sayfası Kurulumu</t>
  </si>
  <si>
    <t>2.1. Mesafeler Çalışma Sayfası Kurulumu</t>
  </si>
  <si>
    <t>1. Standorte</t>
  </si>
  <si>
    <t>1.1. Arbeitsblatt "Standorte einrichten"</t>
  </si>
  <si>
    <t>1.2. Füllen Sie Lat / Lon mit Adressen</t>
  </si>
  <si>
    <t>1.3. Standorte alphabetisch sortieren</t>
  </si>
  <si>
    <t>2. Entfernungen</t>
  </si>
  <si>
    <t>2.1. Arbeitsblatt "Entfernungen einrichten"</t>
  </si>
  <si>
    <t>2.2. Arbeitsblatt "Entfernungen füllen"</t>
  </si>
  <si>
    <t>3. Fahrzeuge</t>
  </si>
  <si>
    <t>3.1. Arbeitsblatt zum Einrichten von Fahrzeugen</t>
  </si>
  <si>
    <t>3.2. Arbeitsblatt zur Fahrzeugkompatibilität einrichten</t>
  </si>
  <si>
    <t>4. Lösung</t>
  </si>
  <si>
    <t>4.1. Arbeitsblatt zum Einrichten der Lösung</t>
  </si>
  <si>
    <t>5. Visualisierung</t>
  </si>
  <si>
    <t>5.1. Arbeitsblatt zur Visualisierung einrichten</t>
  </si>
  <si>
    <t>6. Löser</t>
  </si>
  <si>
    <t>6.1. Aktivieren Sie VRP Spreadsheet Solver</t>
  </si>
  <si>
    <t>6.2. Machbarkeitsprüfung</t>
  </si>
  <si>
    <t>6.3. Aktivieren Sie den externen Löser</t>
  </si>
  <si>
    <t>Solucionador de hojas de cálculo VRP</t>
  </si>
  <si>
    <t>1. Ubicaciones</t>
  </si>
  <si>
    <t>1.1. Hoja de trabajo de configuración de ubicaciones</t>
  </si>
  <si>
    <t>1.2. Complete Lat / Lon usando direcciones</t>
  </si>
  <si>
    <t>1.3. Ordenar ubicaciones alfabéticamente</t>
  </si>
  <si>
    <t>2. Distancias</t>
  </si>
  <si>
    <t>2.1. Configurar hoja de trabajo de distancias</t>
  </si>
  <si>
    <t>2.2. Hoja de trabajo para completar distancias</t>
  </si>
  <si>
    <t>3. Vehículos</t>
  </si>
  <si>
    <t>3.1. Hoja de trabajo de configuración de vehículos</t>
  </si>
  <si>
    <t>3.2. Configurar hoja de trabajo de compatibilidad de vehículos</t>
  </si>
  <si>
    <t>4. Solución</t>
  </si>
  <si>
    <t>4.1. Configuración de la hoja de trabajo de la solución</t>
  </si>
  <si>
    <t>5. Visualización</t>
  </si>
  <si>
    <t>5.1. Configurar hoja de trabajo de visualización</t>
  </si>
  <si>
    <t>6. Solucionador</t>
  </si>
  <si>
    <t>6.1. Activar el solucionador de hojas de cálculo VRP</t>
  </si>
  <si>
    <t>6.2. Verificación de viabilidad</t>
  </si>
  <si>
    <t>6.3. Involucrar a un solucionador externo</t>
  </si>
  <si>
    <t>Solveur de feuille de calcul VRP</t>
  </si>
  <si>
    <t>1. Lieux</t>
  </si>
  <si>
    <t>1.1. Feuille de calcul des emplacements de configuration</t>
  </si>
  <si>
    <t>1.2. Remplir Lat / Lon à l'aide d'adresses</t>
  </si>
  <si>
    <t>1.3. Trier les emplacements par ordre alphabétique</t>
  </si>
  <si>
    <t>2.1. Feuille de travail de configuration des distances</t>
  </si>
  <si>
    <t>2.2. Remplir la feuille de calcul des distances</t>
  </si>
  <si>
    <t>3. Véhicules</t>
  </si>
  <si>
    <t>3.1. Feuille de travail de configuration des véhicules</t>
  </si>
  <si>
    <t>3.2. Feuille de calcul de la compatibilité des véhicules</t>
  </si>
  <si>
    <t>4.1. Feuille de travail de la solution de configuration</t>
  </si>
  <si>
    <t>5.1. Feuille de travail de visualisation de la configuration</t>
  </si>
  <si>
    <t>6. Solveur</t>
  </si>
  <si>
    <t>6.1. Engager le solveur de feuille de calcul VRP</t>
  </si>
  <si>
    <t>6.2. Contrôle de faisabilité</t>
  </si>
  <si>
    <t>6.3. Engager un solveur externe</t>
  </si>
  <si>
    <t>À propos</t>
  </si>
  <si>
    <t>Risolutore di fogli di calcolo VRP</t>
  </si>
  <si>
    <t>1. Posizioni</t>
  </si>
  <si>
    <t>1.1. Foglio di lavoro delle posizioni di installazione</t>
  </si>
  <si>
    <t>1.2. Popolare Lat / Lon utilizzando gli indirizzi</t>
  </si>
  <si>
    <t>1.3. Ordina le posizioni in ordine alfabetico</t>
  </si>
  <si>
    <t>2. Distanze</t>
  </si>
  <si>
    <t>2.1. Foglio di lavoro per l'impostazione delle distanze</t>
  </si>
  <si>
    <t>2.2. Foglio di lavoro per popolare le distanze</t>
  </si>
  <si>
    <t>3. Veicoli</t>
  </si>
  <si>
    <t>3.1. Foglio di lavoro per la configurazione dei veicoli</t>
  </si>
  <si>
    <t>3.2. Imposta foglio di lavoro sulla compatibilità del veicolo</t>
  </si>
  <si>
    <t>4. Soluzione</t>
  </si>
  <si>
    <t>4.1. Foglio di lavoro della soluzione di installazione</t>
  </si>
  <si>
    <t>5. Visualizzazione</t>
  </si>
  <si>
    <t>5.1. Imposta foglio di lavoro per la visualizzazione</t>
  </si>
  <si>
    <t>6. Risolutore</t>
  </si>
  <si>
    <t>6.1. Attiva il risolutore di fogli di calcolo VRP</t>
  </si>
  <si>
    <t>6.2. Verifica di fattibilità</t>
  </si>
  <si>
    <t>6.3. Coinvolgi il risolutore esterno</t>
  </si>
  <si>
    <t>1. Localizações</t>
  </si>
  <si>
    <t>1.1. Planilha de locais de configuração</t>
  </si>
  <si>
    <t>1.2. Preencher Lat / Lon usando endereços</t>
  </si>
  <si>
    <t>1.3. Classifique os locais em ordem alfabética</t>
  </si>
  <si>
    <t>2. Distâncias</t>
  </si>
  <si>
    <t>2.1. Planilha de configuração de distâncias</t>
  </si>
  <si>
    <t>2.2. Planilha de preenchimento de distâncias</t>
  </si>
  <si>
    <t>3. Veículos</t>
  </si>
  <si>
    <t>3.1. Planilha de configuração de veículos</t>
  </si>
  <si>
    <t>3.2. Planilha de configuração de compatibilidade de veículos</t>
  </si>
  <si>
    <t>4. Solução</t>
  </si>
  <si>
    <t>4.1. Planilha de solução de configuração</t>
  </si>
  <si>
    <t>5. Visualização</t>
  </si>
  <si>
    <t>5.1. Planilha de visualização de configuração</t>
  </si>
  <si>
    <t>6,2 Verificação de viabilidade</t>
  </si>
  <si>
    <t>6.3. Envolver solucionador externo</t>
  </si>
  <si>
    <t>1. المواقع</t>
  </si>
  <si>
    <t>1.1. إعداد ورقة عمل المواقع</t>
  </si>
  <si>
    <t>1.2 قم بتعبئة خطوط الطول والخط باستخدام العناوين</t>
  </si>
  <si>
    <t>1.3 فرز المواقع أبجديا</t>
  </si>
  <si>
    <t>2. المسافات</t>
  </si>
  <si>
    <t>2.1. إعداد ورقة عمل المسافات</t>
  </si>
  <si>
    <t>2.2. ورقة عمل تعبئة المسافات</t>
  </si>
  <si>
    <t>3. المركبات</t>
  </si>
  <si>
    <t>3.1. إعداد ورقة عمل المركبات</t>
  </si>
  <si>
    <t>3.2 إعداد ورقة عمل توافق السيارة</t>
  </si>
  <si>
    <t>4. الحل</t>
  </si>
  <si>
    <t>4.1 إعداد ورقة عمل الحل</t>
  </si>
  <si>
    <t>5. التصور</t>
  </si>
  <si>
    <t>5.1 إعداد ورقة عمل التصور</t>
  </si>
  <si>
    <t>6. حلال</t>
  </si>
  <si>
    <t>6.1 إشراك برنامج VRP Spreadsheet Solver</t>
  </si>
  <si>
    <t>6.2 التحقق من الجدوى</t>
  </si>
  <si>
    <t>6.3 إشراك المحلل الخارجي</t>
  </si>
  <si>
    <t xml:space="preserve"> has been used for multiple locations. Please correct the error and try again.</t>
  </si>
  <si>
    <t xml:space="preserve"> seconds) and overwrite the existing coordinate data. By clicking the Yes button below, you confirm that you accept Bing Maps Terms of Service. Do you want to continue?</t>
  </si>
  <si>
    <t xml:space="preserve"> seconds), overwrite the existing coordinate data, and erase existing distance data. By clicking the Yes button below, you confirm that you accept Bing Maps Terms of Service. Do you want to continue?</t>
  </si>
  <si>
    <t>(Pickup amount; Delivery amount)</t>
  </si>
  <si>
    <t>(Time window start;Time window end)</t>
  </si>
  <si>
    <t>0. Optional - Reset the workbook</t>
  </si>
  <si>
    <t>1.1 Setup Locations Worksheet</t>
  </si>
  <si>
    <t>1.2 Optional - Populate Lat/Lon using addresses</t>
  </si>
  <si>
    <t>1.3 Optional - Sort locations alphabetically</t>
  </si>
  <si>
    <t>2.1 Setup Distances Worksheet</t>
  </si>
  <si>
    <t>2.2 Optional - Populate Distances Worksheet</t>
  </si>
  <si>
    <t>3. Setup Vehicles Worksheet</t>
  </si>
  <si>
    <t>3.1.Vehicle Compatibility</t>
  </si>
  <si>
    <t>4. Setup Solution Worksheet</t>
  </si>
  <si>
    <t>5. Optional - Setup Visualization Worksheet</t>
  </si>
  <si>
    <t>5.Visualization</t>
  </si>
  <si>
    <t>6.1 Engage VRP Spreadsheet Solver</t>
  </si>
  <si>
    <t>6.2 Optional - Feasibility check</t>
  </si>
  <si>
    <t>6.3 Optional - Engage external solver</t>
  </si>
  <si>
    <t>A valid Bing Maps Key is required for Lat/Lon to be determined. You can get a free key at https://www.bingmapsportal.com/</t>
  </si>
  <si>
    <t>A valid Bing Maps Key is required for the distances to be determined. You can get a free key at https://www.bingmapsportal.com/</t>
  </si>
  <si>
    <t>A valid Bing Maps Key is required. You can get a free key at https://www.bingmapsportal.com/</t>
  </si>
  <si>
    <t>Address</t>
  </si>
  <si>
    <t>Address error</t>
  </si>
  <si>
    <t>All coordinates must be input for the distances to be populated.</t>
  </si>
  <si>
    <t>All coordinates must be input for the Visualization worksheet to be created.</t>
  </si>
  <si>
    <t>All vehicles must be compatible with all locations when there is a single type of vehicle.</t>
  </si>
  <si>
    <t>Arrival time</t>
  </si>
  <si>
    <t>Bing Maps driving distances (miles)</t>
  </si>
  <si>
    <t>Bird flight distances (km)</t>
  </si>
  <si>
    <t>Bird flight distances (miles)</t>
  </si>
  <si>
    <t>Blank</t>
  </si>
  <si>
    <t>Capacity</t>
  </si>
  <si>
    <t>Compatible</t>
  </si>
  <si>
    <t>Cost per unit distance</t>
  </si>
  <si>
    <t>Cumulative pickup</t>
  </si>
  <si>
    <t xml:space="preserve">Customer </t>
  </si>
  <si>
    <t>Delivery amount</t>
  </si>
  <si>
    <t>Departure time</t>
  </si>
  <si>
    <t>Depot</t>
  </si>
  <si>
    <t xml:space="preserve">Depot </t>
  </si>
  <si>
    <t>Destination ID</t>
  </si>
  <si>
    <t>Detected reasons of infeasibility</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</si>
  <si>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</si>
  <si>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Distance</t>
  </si>
  <si>
    <t>Distance limit</t>
  </si>
  <si>
    <t>Distance travelled</t>
  </si>
  <si>
    <t>Distances populated.</t>
  </si>
  <si>
    <t>Distances populated. Some distances are missing due to a connection error.</t>
  </si>
  <si>
    <t>Distances worksheet setup complete.</t>
  </si>
  <si>
    <t>Don't visit</t>
  </si>
  <si>
    <t>Driving time</t>
  </si>
  <si>
    <t>Driving time limit</t>
  </si>
  <si>
    <t>Duration</t>
  </si>
  <si>
    <t>Duration multiplier</t>
  </si>
  <si>
    <t>Euclidian distances</t>
  </si>
  <si>
    <t>External solver (vrp_spreadsheet_solver.dll) not found. Do you want to continue with the internal solver?</t>
  </si>
  <si>
    <t>External solver returned a solution. Do you want to overwrite the current solution with the best found solution?</t>
  </si>
  <si>
    <t>Fastest - Real Time Traffic</t>
  </si>
  <si>
    <t>Fixed cost per trip</t>
  </si>
  <si>
    <t>From</t>
  </si>
  <si>
    <t>Lat/Lon populated. Please check the map in the Locations worksheet for geocoding errors.</t>
  </si>
  <si>
    <t>Latitude (y)</t>
  </si>
  <si>
    <t>Load</t>
  </si>
  <si>
    <t>Location ID</t>
  </si>
  <si>
    <t>Location Name</t>
  </si>
  <si>
    <t xml:space="preserve">Location name </t>
  </si>
  <si>
    <t>Location names</t>
  </si>
  <si>
    <t>Locations worksheet setup complete.</t>
  </si>
  <si>
    <t>Longitude (x)</t>
  </si>
  <si>
    <t>Manual entry</t>
  </si>
  <si>
    <t>May be visited</t>
  </si>
  <si>
    <t>Method:</t>
  </si>
  <si>
    <t>Must be visited</t>
  </si>
  <si>
    <t>Must be visited?</t>
  </si>
  <si>
    <t>Net profit:</t>
  </si>
  <si>
    <t>No driving route could be found between some of the locations. Please check the addresses and the coordinates.</t>
  </si>
  <si>
    <t>Number of vehicles</t>
  </si>
  <si>
    <t>One or more locations are too far from any roads. Please check the addresses and the coordinates.</t>
  </si>
  <si>
    <t>Open source, developed by Dr Gunes Erdogan (G.Erdogan@bath.ac.uk)</t>
  </si>
  <si>
    <t>Pickup amount</t>
  </si>
  <si>
    <t>Please enter a nonnegative integer value</t>
  </si>
  <si>
    <t>Please enter an integer from 1 to 20</t>
  </si>
  <si>
    <t>Please enter an integer from 5 to 200</t>
  </si>
  <si>
    <t xml:space="preserve">Populating distances, </t>
  </si>
  <si>
    <t xml:space="preserve">Populating Lat/Lon, </t>
  </si>
  <si>
    <t>Profit collected</t>
  </si>
  <si>
    <t>Reasons for infeasibility detected.</t>
  </si>
  <si>
    <t>Rectilinear (Manhattan) distances</t>
  </si>
  <si>
    <t>Return depot</t>
  </si>
  <si>
    <t>Rounded Euclidian distances</t>
  </si>
  <si>
    <t>School of Management, University of Bath, 2020.</t>
  </si>
  <si>
    <t>Send feedback / ask a question</t>
  </si>
  <si>
    <t>Service time</t>
  </si>
  <si>
    <t xml:space="preserve">Setting up distances worksheet, working on location </t>
  </si>
  <si>
    <t xml:space="preserve">Setting up solution worksheet, working on vehicle </t>
  </si>
  <si>
    <t>Shortest</t>
  </si>
  <si>
    <t>Starting depot</t>
  </si>
  <si>
    <t>Starting location</t>
  </si>
  <si>
    <t>Stop count</t>
  </si>
  <si>
    <t>Stops:</t>
  </si>
  <si>
    <t>Subtractive delivery</t>
  </si>
  <si>
    <t>The latest version of the solver can be downloaded at: http://people.bath.ac.uk/ge277/vrp-spreadsheet-solver/</t>
  </si>
  <si>
    <t>There are coordinates with |latitude| &gt; 90 or |longitude| &gt; 180. Proceeding with a blank background.</t>
  </si>
  <si>
    <t>There must be at least one available vehicle for the solution worksheet to be created.</t>
  </si>
  <si>
    <t>This will delete existing distance, solution, and visualization data. Do you want to continue?</t>
  </si>
  <si>
    <t xml:space="preserve">This will overwrite existing distance data, and will take some time (estimated </t>
  </si>
  <si>
    <t>This will overwrite existing distance data. Do you want to continue?</t>
  </si>
  <si>
    <t>This will overwrite existing location data, and erase distance and solution data. Do you want to continue?</t>
  </si>
  <si>
    <t>This will overwrite existing vehicle compatibility data. Do you want to continue?</t>
  </si>
  <si>
    <t>This will overwrite existing vehicle data, and erase solution and visualization data. Do you want to continue?</t>
  </si>
  <si>
    <t>Time window end</t>
  </si>
  <si>
    <t>Time window start</t>
  </si>
  <si>
    <t>To</t>
  </si>
  <si>
    <t>Vehicle compatibility worksheet setup complete.</t>
  </si>
  <si>
    <t>Vehicle type</t>
  </si>
  <si>
    <t>Vehicle:</t>
  </si>
  <si>
    <t>Vehicles worksheet setup complete.</t>
  </si>
  <si>
    <t>VRP Solver</t>
  </si>
  <si>
    <t>VRP Solver Console</t>
  </si>
  <si>
    <t xml:space="preserve">VRP Spreadsheet Solver performed </t>
  </si>
  <si>
    <t>Warning! You are changing the distance computation parameters, which will not be reflected on the existing distances and durations until you populate them again.</t>
  </si>
  <si>
    <t>Warning! You are changing the distance data, which will not be reflected on the rest of the existing worksheets until you set them up again.</t>
  </si>
  <si>
    <t>Warning! You are changing the fleet size, which will not be reflected on the rest of the existing worksheets until you set them up again.</t>
  </si>
  <si>
    <t>Warning! You are changing the location data, which may render the current solution infeasible or suboptimal, and will not be reflected on the rest of the existing worksheets until you set them up again.</t>
  </si>
  <si>
    <t>Warning! You are changing the number of vehicle types, which will not be reflected on the existing vehicles, solution, or visualization worksheets until you set them up again.</t>
  </si>
  <si>
    <t>Warning! You are changing the parameters regarding the constraints for the solution, which will not be reflected on the existing solution worksheet until you set it up again. The current solution may have become infeasible.</t>
  </si>
  <si>
    <t>Warning! You are changing the parameters regarding the visualization worksheet, which will not be reflected on the visualization worksheet until you set it up again.</t>
  </si>
  <si>
    <t>Warning! You are changing the vehicle data, which will not be reflected on the rest of the existing worksheets until you set them up again.</t>
  </si>
  <si>
    <t>Warning: Distances for the pairs below have not been populated.</t>
  </si>
  <si>
    <t>Warning: The data has changed since the last solver run / feasibility check.</t>
  </si>
  <si>
    <t>Work start time</t>
  </si>
  <si>
    <t>Working time</t>
  </si>
  <si>
    <t>Working time limit</t>
  </si>
  <si>
    <t>Worksheet 1.Locations must exist for coordinates to be determined.</t>
  </si>
  <si>
    <t>Worksheet 1.Locations must exist for locations to be sorted.</t>
  </si>
  <si>
    <t>Worksheets 1.Locations must exist for the distance worksheet to be created.</t>
  </si>
  <si>
    <t>Worksheets 1.Locations, 2.Distances, 3.Vehicles, and 4.Solution must exist for the external solver to function.</t>
  </si>
  <si>
    <t>Worksheets 1.Locations, 2.Distances, 3.Vehicles, and 4.Solution must exist for the Infeasibility Check.</t>
  </si>
  <si>
    <t>Worksheets 1.Locations, 2.Distances, 3.Vehicles, and 4.Solution must exist for the visualization worksheet to be created.</t>
  </si>
  <si>
    <t>Worksheets 1.Locations, 2.Distances, 3.Vehicles, and 4.Solution must exist for VRP Spreadsheet Solver to function.</t>
  </si>
  <si>
    <t>Worksheets 1.Locations, 2.Distances, and 3.Vehicles must exist for the solution worksheet to be created.</t>
  </si>
  <si>
    <t>Worksheets 1.Locations, 2.Distances, and 3.Vehicles must exist for the vehicle compatibility worksheet to be created.</t>
  </si>
  <si>
    <t>Worksheets VRP Solver Console, 1.Locations, and 2.Distances must exist for distances to be computed.</t>
  </si>
  <si>
    <t>Yes - may do so multiple times</t>
  </si>
  <si>
    <t>Your Bing Maps key is not valid or has expired. Remaining coordinates will not be populated.</t>
  </si>
  <si>
    <t>Your Bing Maps key is not valid or has expired. Remaining distances will not be populated.</t>
  </si>
  <si>
    <t>birden çok konum için kullanıldı. Lütfen hatayı düzeltip tekrar deneyin.</t>
  </si>
  <si>
    <t xml:space="preserve"> LNS yinelemeleri ve net karı olan bir çözüm buldu.</t>
  </si>
  <si>
    <t xml:space="preserve"> saniye) ve mevcut koordinat verilerinin üzerine yazın. Aşağıdaki Evet düğmesini tıklayarak, Bing Haritalar Hizmet Şartları'nı kabul ettiğinizi onaylarsınız. Devam etmek istiyor musun?</t>
  </si>
  <si>
    <t xml:space="preserve"> saniye) ve mevcut çözüm verilerinin üzerine yazın. Devam etmek istiyor musun?</t>
  </si>
  <si>
    <t xml:space="preserve"> saniye), mevcut çözüm verilerinin üzerine yazın ve görselleştirme verilerini silin. Devam etmek istiyor musun?</t>
  </si>
  <si>
    <t xml:space="preserve"> saniye), mevcut koordinat verilerinin üzerine yazın ve mevcut mesafe verilerini silin. Aşağıdaki Evet düğmesini tıklayarak, Bing Haritalar Hizmet Şartları'nı kabul ettiğinizi onaylarsınız. Devam etmek istiyor musun?</t>
  </si>
  <si>
    <t xml:space="preserve"> saniye). Devam etmek istiyor musun?</t>
  </si>
  <si>
    <t>(Zaman penceresi başlangıcı; Zaman penceresi sonu)</t>
  </si>
  <si>
    <t>0. İsteğe bağlı - Çalışma kitabını sıfırlayın</t>
  </si>
  <si>
    <t>0. Arayüz</t>
  </si>
  <si>
    <t>1.1 Kurulum Konumları Çalışma Sayfası</t>
  </si>
  <si>
    <t>2.1 Mesafeleri Ayarlama Çalışma Sayfası</t>
  </si>
  <si>
    <t>3. Araçlar Çalışma Sayfasını Ayarla</t>
  </si>
  <si>
    <t>3.1. Araç Uyumluluğu</t>
  </si>
  <si>
    <t>5. İsteğe Bağlı - Görselleştirme Çalışma Sayfası Kurulumu</t>
  </si>
  <si>
    <t>5. İsteğe bağlı - Görselleştirme</t>
  </si>
  <si>
    <t>6.1 VRP Elektronik Tablo Çözücüsünü Çalıştırın</t>
  </si>
  <si>
    <t>6.2 İsteğe bağlı - Fizibilite kontrolü</t>
  </si>
  <si>
    <t>6.3 İsteğe bağlı - Harici çözücüyü devreye alın</t>
  </si>
  <si>
    <t>Enlem / Boylamın belirlenmesi için geçerli bir Bing Haritalar Anahtarı gereklidir. Ücretsiz anahtarı https://www.bingmapsportal.com/ adresinden edinebilirsiniz.</t>
  </si>
  <si>
    <t>Mesafelerin belirlenmesi için geçerli bir Bing Haritalar Anahtarı gereklidir. Ücretsiz anahtarı https://www.bingmapsportal.com/ adresinden edinebilirsiniz.</t>
  </si>
  <si>
    <t>Geçerli bir Bing Haritalar Anahtarı gereklidir. Ücretsiz anahtarı https://www.bingmapsportal.com/ adresinden edinebilirsiniz.</t>
  </si>
  <si>
    <t>Adres</t>
  </si>
  <si>
    <t>Adres hatası</t>
  </si>
  <si>
    <t>Görselleştirme çalışma sayfasının oluşturulması için tüm koordinatlar girilmelidir.</t>
  </si>
  <si>
    <t>Tek tip araç olduğunda tüm araçlar tüm lokasyonlarla uyumlu olmalıdır.</t>
  </si>
  <si>
    <t>Varış zamanı</t>
  </si>
  <si>
    <t>Ortalama araç hızı</t>
  </si>
  <si>
    <t>Bing Haritalar sürüş mesafeleri (mil)</t>
  </si>
  <si>
    <t>Bing Haritalar sürüş süreleri</t>
  </si>
  <si>
    <t>Bing Haritalar rota türü</t>
  </si>
  <si>
    <t>Kuş uçuş mesafeleri (km)</t>
  </si>
  <si>
    <t>Kuş uçuş mesafeleri (mil)</t>
  </si>
  <si>
    <t>Boş</t>
  </si>
  <si>
    <t>Kapasite</t>
  </si>
  <si>
    <t>Uyumlu</t>
  </si>
  <si>
    <t>Birim mesafe başına maliyet</t>
  </si>
  <si>
    <t>Kümülatif alım</t>
  </si>
  <si>
    <t>Müşteri</t>
  </si>
  <si>
    <t>Teslimat miktarı</t>
  </si>
  <si>
    <t>Hareket saati</t>
  </si>
  <si>
    <t>Depo</t>
  </si>
  <si>
    <t>Hedef Kimliği</t>
  </si>
  <si>
    <t>SORUMLULUK REDDİ: BU YAZILIM 'OLDUĞU GİBİ' SUNULMAKTADIR VE TİCARİ ELVERİŞLİLİK VE BELİRLİ BİR AMACA UYGUNLUK GARANTİLERİ DAHİL ANCAK BUNLARLA SINIRLI OLMAMAK ÜZERE AÇIK VEYA ZIMNİ GARANTİLER REDDEDİLMEKTEDİR. ORİJİNAL GELİŞTİRİCİ HİÇBİR DURUMDA HERHANGİ BİR DOĞRUDAN, DOLAYLI, ARIZİ, ÖZEL, ÖRNEK VEYA DOLAYLI HASARLARDAN SORUMLU OLMAYACAKTIR (YEDEK MAL VEYA HİZMETLERİN TEDARİKİ DAHİL, ANCAK BUNLARLA SINIRLI OLMAMAKTADIR; KULLANIM, VERİ VEYA KAR KAYBI; KESİNTİ) BU YAZILIMIN KULLANIMINDAN HERHANGİ BİR ŞEKİLDE BÖYLE BİRLİKTE TAVSİYE EDİLMİŞ OLSA BİLE, SÖZLEŞME, KESİN SORUMLULUK VEYA TORT (İHMAL VEYA BAŞKA ŞEKİL DAHİL) HERHANGİ BİR SORUMLULUK TEORİSİNE NEDEN OLURSA.</t>
  </si>
  <si>
    <t>Mesafe</t>
  </si>
  <si>
    <t>Mesafe hesaplama yöntemi</t>
  </si>
  <si>
    <t>Mesafe sınırı</t>
  </si>
  <si>
    <t>Kat edilen mesafe</t>
  </si>
  <si>
    <t>Mesafeler çalışma sayfası kurulumu tamamlandı.</t>
  </si>
  <si>
    <t>Araçlar depolarına dönüyor mu?</t>
  </si>
  <si>
    <t>Devam etmek istiyor musun?</t>
  </si>
  <si>
    <t>Ziyaret etmeyin</t>
  </si>
  <si>
    <t>Sürüş süresi sınırı</t>
  </si>
  <si>
    <t>Süresi</t>
  </si>
  <si>
    <t>Süre hesaplama yöntemi</t>
  </si>
  <si>
    <t>Süre çarpanı</t>
  </si>
  <si>
    <t>Öklid mesafeleri</t>
  </si>
  <si>
    <t>Harici çözücü (vrp_spreadsheet_solver.dll) bulunamadı. Dahili çözücüye devam etmek istiyor musunuz?</t>
  </si>
  <si>
    <t>Harici çözücü bir çözüm döndürdü. Bulunan en iyi çözümü mevcut çözümün üzerine yazmak ister misiniz?</t>
  </si>
  <si>
    <t>En hızlı</t>
  </si>
  <si>
    <t>En Hızlı - Gerçek Zamanlı Trafik</t>
  </si>
  <si>
    <t>Yolculuk başına sabit maliyet</t>
  </si>
  <si>
    <t>Nereden</t>
  </si>
  <si>
    <t>Etkinleştirilirse, teslimat yerleri, teslim alma yerlerinden önce ziyaret edilmelidir.</t>
  </si>
  <si>
    <t>Enlem (y)</t>
  </si>
  <si>
    <t>Yük</t>
  </si>
  <si>
    <t>Konum Kimliği</t>
  </si>
  <si>
    <t>Konum kimlikleri</t>
  </si>
  <si>
    <t>Konum etiketleri</t>
  </si>
  <si>
    <t>Yer ismi</t>
  </si>
  <si>
    <t>Yer isimleri</t>
  </si>
  <si>
    <t>Konumlar çalışma sayfası kurulumu tamamlandı.</t>
  </si>
  <si>
    <t>Boylam (x)</t>
  </si>
  <si>
    <t>Ziyaret edilebilir</t>
  </si>
  <si>
    <t>Yöntem:</t>
  </si>
  <si>
    <t>Ziyaret edilmelidir</t>
  </si>
  <si>
    <t>Ziyaret edilmeli mi?</t>
  </si>
  <si>
    <t>Net kazanç:</t>
  </si>
  <si>
    <t>wurde für mehrere Standorte verwendet. Bitte korrigieren Sie den Fehler und versuchen Sie es erneut.</t>
  </si>
  <si>
    <t xml:space="preserve"> Sekunden) und überschreiben Sie die vorhandenen Koordinatendaten. Durch Klicken auf die Schaltfläche Ja unten bestätigen Sie, dass Sie die Nutzungsbedingungen von Bing Maps akzeptieren. Wollen Sie fortfahren?</t>
  </si>
  <si>
    <t xml:space="preserve"> Sekunden) und überschreiben Sie vorhandene Lösungsdaten. Wollen Sie fortfahren?</t>
  </si>
  <si>
    <t xml:space="preserve"> Sekunden), überschreiben Sie vorhandene Lösungsdaten und löschen Sie die Visualisierungsdaten. Wollen Sie fortfahren?</t>
  </si>
  <si>
    <t xml:space="preserve"> Sekunden), überschreiben Sie die vorhandenen Koordinatendaten und löschen Sie vorhandene Entfernungsdaten. Durch Klicken auf die Schaltfläche Ja unten bestätigen Sie, dass Sie die Nutzungsbedingungen von Bing Maps akzeptieren. Wollen Sie fortfahren?</t>
  </si>
  <si>
    <t xml:space="preserve"> Sekunden). Wollen Sie fortfahren?</t>
  </si>
  <si>
    <t>(Abholbetrag; Lieferbetrag)</t>
  </si>
  <si>
    <t>(Beginn des Zeitfensters; Ende des Zeitfensters)</t>
  </si>
  <si>
    <t>0. Optional - Setzen Sie die Arbeitsmappe zurück</t>
  </si>
  <si>
    <t>1.1 Arbeitsblatt zum Einrichten von Standorten</t>
  </si>
  <si>
    <t>1.2 Optional - Füllen Sie Lat / Lon mit Adressen</t>
  </si>
  <si>
    <t>1.3 Optional - Standorte alphabetisch sortieren</t>
  </si>
  <si>
    <t>2.1 Arbeitsblatt zum Einrichten von Entfernungen</t>
  </si>
  <si>
    <t>2.2 Optional - Arbeitsblatt "Entfernungen füllen"</t>
  </si>
  <si>
    <t>3. Fahrzeugarbeitsblatt einrichten</t>
  </si>
  <si>
    <t>3.1.Fahrzeugkompatibilität</t>
  </si>
  <si>
    <t>4. Arbeitsblatt zum Einrichten der Lösung</t>
  </si>
  <si>
    <t>4.Lösung</t>
  </si>
  <si>
    <t>5. Optional - Visualisierungsarbeitsblatt einrichten</t>
  </si>
  <si>
    <t>5.Optional - Visualisierung</t>
  </si>
  <si>
    <t>5.Visualisierung</t>
  </si>
  <si>
    <t>6.1 Aktivieren Sie VRP Spreadsheet Solver</t>
  </si>
  <si>
    <t>6.2 Optional - Machbarkeitsprüfung</t>
  </si>
  <si>
    <t>6.3 Optional - Aktivieren Sie den externen Löser</t>
  </si>
  <si>
    <t>Für die Ermittlung von Lat / Lon ist ein gültiger Bing Maps-Schlüssel erforderlich. Sie können einen kostenlosen Schlüssel unter https://www.bingmapsportal.com/ erhalten.</t>
  </si>
  <si>
    <t>Für die zu bestimmenden Entfernungen ist ein gültiger Bing Maps Key erforderlich. Sie können einen kostenlosen Schlüssel unter https://www.bingmapsportal.com/ erhalten.</t>
  </si>
  <si>
    <t>Ein gültiger Bing Maps Key ist erforderlich. Sie können einen kostenlosen Schlüssel unter https://www.bingmapsportal.com/ erhalten.</t>
  </si>
  <si>
    <t>Adresse</t>
  </si>
  <si>
    <t>Adressfehler</t>
  </si>
  <si>
    <t>Alle Koordinaten müssen eingegeben werden, damit die Entfernungen ausgefüllt werden können.</t>
  </si>
  <si>
    <t>Alle Koordinaten müssen eingegeben werden, damit das Visualisierungsarbeitsblatt erstellt werden kann.</t>
  </si>
  <si>
    <t>Alle Fahrzeuge müssen mit allen Standorten kompatibel sein, wenn es einen einzigen Fahrzeugtyp gibt.</t>
  </si>
  <si>
    <t>Ankunftszeit</t>
  </si>
  <si>
    <t>Durchschnittliche Fahrzeuggeschwindigkeit</t>
  </si>
  <si>
    <t>Rücktransport?</t>
  </si>
  <si>
    <t>Bing Maps Fahrstrecken (km)</t>
  </si>
  <si>
    <t>Bing Maps Fahrstrecken (Meilen)</t>
  </si>
  <si>
    <t>Bing Maps Fahrdauer</t>
  </si>
  <si>
    <t>Routentyp für Bing Maps</t>
  </si>
  <si>
    <t>Vogelflugentfernungen (km)</t>
  </si>
  <si>
    <t>Vogelflugentfernungen (Meilen)</t>
  </si>
  <si>
    <t>Leer</t>
  </si>
  <si>
    <t>Kapazität</t>
  </si>
  <si>
    <t>kompatibel</t>
  </si>
  <si>
    <t>Kosten pro Entfernungseinheit</t>
  </si>
  <si>
    <t>Kumulative Abholung</t>
  </si>
  <si>
    <t>Kunde</t>
  </si>
  <si>
    <t>Lieferbetrag</t>
  </si>
  <si>
    <t>Abfahrtszeit</t>
  </si>
  <si>
    <t>Ziel-ID</t>
  </si>
  <si>
    <t>Erkannte Gründe für die Unmöglichkeit</t>
  </si>
  <si>
    <t>HAFTUNGSAUSSCHLUSS: DIESE SOFTWARE WIRD "WIE BESEHEN" ZUR VERFÜGUNG GESTELLT, UND JEGLICHE AUSDRÜCKLICHE ODER STILLSCHWEIGENDE GEWÄHRLEISTUNGEN, EINSCHLIESSLICH DER STILLSCHWEIGENDEN GEWÄHRLEISTUNGEN FÜR MARKTGÄNGIGKEIT UND EIGNUNG FÜR EINEN BESTIMMTEN ZWECK, WERDEN AUSGESCHLOSSEN. DER URSPRÜNGLICHE ENTWICKLER HAFTET IN KEINEM FALL FÜR DIREKTE, INDIREKTE, NEBEN-, SPEZIELLE, BEISPIELHAFTE ODER FOLGESCHÄDEN (EINSCHLIESSLICH, ABER NICHT BESCHRÄNKT AUF, BESCHAFFUNG VON ERSATZWAREN ODER DIENSTLEISTUNGEN, VERLUSTEN ODER GEBRAUCHEN, GEWINNEN ODER GEBRAUCHEN; UNTERBRECHUNG) JEDOCH VERURSACHT UND AUF JEGLICHE HAFTUNGSTHEORIE, OB VERTRAG, STRENGE HAFTUNG ODER HAFTUNG (EINSCHLIESSLICH NACHLÄSSIGKEIT ODER ANDERWEITIG), DIE AUS DER NUTZUNG DIESER SOFTWARE ENTSTEHT, AUCH WENN SIE DIE MÖGLICHKEIT DER ÜBERMÄSSIGKEIT VERWENDET.</t>
  </si>
  <si>
    <t>Entfernung</t>
  </si>
  <si>
    <t>Entfernungsberechnungsmethode</t>
  </si>
  <si>
    <t>Entfernungsgrenze</t>
  </si>
  <si>
    <t>Zurückgelegte Entfernung</t>
  </si>
  <si>
    <t>Entfernungen besiedelt.</t>
  </si>
  <si>
    <t>Entfernungen besiedelt. Einige Entfernungen fehlen aufgrund eines Verbindungsfehlers.</t>
  </si>
  <si>
    <t>Einrichtung des Entfernungsarbeitsblatts abgeschlossen.</t>
  </si>
  <si>
    <t>Kehren die Fahrzeuge zu ihren Depots zurück?</t>
  </si>
  <si>
    <t>Wollen Sie fortfahren?</t>
  </si>
  <si>
    <t>Nicht besuchen</t>
  </si>
  <si>
    <t>Fahrzeit</t>
  </si>
  <si>
    <t>Fahrzeitlimit</t>
  </si>
  <si>
    <t>Dauer</t>
  </si>
  <si>
    <t>Berechnungsmethode für die Dauer</t>
  </si>
  <si>
    <t>Durationsmultiplikator</t>
  </si>
  <si>
    <t>Euklidische Entfernungen</t>
  </si>
  <si>
    <t>Externer Solver (vrp_spreadsheet_solver.dll) nicht gefunden. Möchten Sie mit dem internen Solver fortfahren?</t>
  </si>
  <si>
    <t>Externer Löser gab eine Lösung zurück. Möchten Sie die aktuelle Lösung mit der am besten gefundenen Lösung überschreiben?</t>
  </si>
  <si>
    <t>Am schnellsten</t>
  </si>
  <si>
    <t>Am schnellsten - Echtzeitverkehr</t>
  </si>
  <si>
    <t>Fixe Kosten pro Reise</t>
  </si>
  <si>
    <t>Von</t>
  </si>
  <si>
    <t>Hart</t>
  </si>
  <si>
    <t>Wenn aktiviert, müssen die Lieferorte vor den Abholorten besucht werden</t>
  </si>
  <si>
    <t>Lat / Lon besiedelt. Bitte überprüfen Sie die Karte im Arbeitsblatt Standorte auf Geokodierungsfehler.</t>
  </si>
  <si>
    <t>Breitengrad (y)</t>
  </si>
  <si>
    <t>Belastung</t>
  </si>
  <si>
    <t>Standort-ID</t>
  </si>
  <si>
    <t>Standort-IDs</t>
  </si>
  <si>
    <t>Standortbezeichnungen</t>
  </si>
  <si>
    <t>Standortnamen</t>
  </si>
  <si>
    <t>Einrichtung des Arbeitsblatts für Standorte abgeschlossen.</t>
  </si>
  <si>
    <t>Längengrad (x)</t>
  </si>
  <si>
    <t>Manueller Eintrag</t>
  </si>
  <si>
    <t>Kann besucht werden</t>
  </si>
  <si>
    <t>Methode:</t>
  </si>
  <si>
    <t>Muss besucht werden</t>
  </si>
  <si>
    <t>Muss besucht werden?</t>
  </si>
  <si>
    <t>Reingewinn:</t>
  </si>
  <si>
    <t>se ha utilizado para varias ubicaciones. Corrija el error y vuelva a intentarlo.</t>
  </si>
  <si>
    <t xml:space="preserve"> segundos) y sobrescriba los datos de coordenadas existentes. Al hacer clic en el botón Sí a continuación, confirma que acepta los Términos de servicio de Bing Maps. ¿Quieres continuar?</t>
  </si>
  <si>
    <t xml:space="preserve"> segundos), sobrescriba los datos de coordenadas existentes y borre los datos de distancia existentes. Al hacer clic en el botón Sí a continuación, confirma que acepta los Términos de servicio de Bing Maps. ¿Quieres continuar?</t>
  </si>
  <si>
    <t>(Importe de recogida; Importe de entrega)</t>
  </si>
  <si>
    <t>(Inicio de la ventana de tiempo; Fin de la ventana de tiempo)</t>
  </si>
  <si>
    <t>0. Opcional: restablecer el libro de trabajo</t>
  </si>
  <si>
    <t>1.1 Hoja de trabajo de configuración de ubicaciones</t>
  </si>
  <si>
    <t>1.2 Opcional - Complete Lat / Lon usando direcciones</t>
  </si>
  <si>
    <t>1.3 Opcional: ordenar las ubicaciones alfabéticamente</t>
  </si>
  <si>
    <t>1 ubicaciones</t>
  </si>
  <si>
    <t>2.1 Hoja de trabajo de configuración de distancias</t>
  </si>
  <si>
    <t>2.2 Opcional - Hoja de trabajo para completar distancias</t>
  </si>
  <si>
    <t>2.Distancias</t>
  </si>
  <si>
    <t>3. Hoja de trabajo de configuración de vehículos</t>
  </si>
  <si>
    <t>3.1.Compatibilidad de vehículos</t>
  </si>
  <si>
    <t>3.Vehículos</t>
  </si>
  <si>
    <t>4. Hoja de trabajo de la solución de configuración</t>
  </si>
  <si>
    <t>4.Solución</t>
  </si>
  <si>
    <t>5. Opcional: configuración de la hoja de trabajo de visualización</t>
  </si>
  <si>
    <t>5.Opcional - Visualización</t>
  </si>
  <si>
    <t>5.Visualización</t>
  </si>
  <si>
    <t>6.1 Activar el solucionador de hojas de cálculo VRP</t>
  </si>
  <si>
    <t>6.2 Opcional - Verificación de viabilidad</t>
  </si>
  <si>
    <t>6.3 Opcional - Activar solucionador externo</t>
  </si>
  <si>
    <t>6 solucionador</t>
  </si>
  <si>
    <t>Se requiere una clave válida de Bing Maps para determinar Lat / Lon. Puede obtener una clave gratuita en https://www.bingmapsportal.com/</t>
  </si>
  <si>
    <t>Se requiere una clave de Bing Maps válida para determinar las distancias. Puede obtener una clave gratuita en https://www.bingmapsportal.com/</t>
  </si>
  <si>
    <t>Se requiere una clave de Bing Maps válida. Puede obtener una clave gratuita en https://www.bingmapsportal.com/</t>
  </si>
  <si>
    <t>Habla a</t>
  </si>
  <si>
    <t>Error de dirección</t>
  </si>
  <si>
    <t>Deben introducirse todas las coordenadas para completar las distancias.</t>
  </si>
  <si>
    <t>Se deben ingresar todas las coordenadas para que se cree la hoja de trabajo de visualización.</t>
  </si>
  <si>
    <t>Todos los vehículos deben ser compatibles con todas las ubicaciones cuando hay un solo tipo de vehículo.</t>
  </si>
  <si>
    <t>Hora de llegada</t>
  </si>
  <si>
    <t>Velocidad media del vehículo</t>
  </si>
  <si>
    <t>Mapas de Bing</t>
  </si>
  <si>
    <t>Distancias de conducción de Bing Maps (km)</t>
  </si>
  <si>
    <t>Bing Maps recorriendo distancias (millas)</t>
  </si>
  <si>
    <t>Duraciones de conducción de Bing Maps</t>
  </si>
  <si>
    <t>Tipo de ruta de Bing Maps</t>
  </si>
  <si>
    <t>Distancias de vuelo de aves (km)</t>
  </si>
  <si>
    <t>Distancias de vuelo de aves (millas)</t>
  </si>
  <si>
    <t>Blanco</t>
  </si>
  <si>
    <t>Capacidad</t>
  </si>
  <si>
    <t>Costo por unidad de distancia</t>
  </si>
  <si>
    <t>Recogida acumulativa</t>
  </si>
  <si>
    <t>Cliente</t>
  </si>
  <si>
    <t>Importe de la entrega</t>
  </si>
  <si>
    <t>Hora de salida</t>
  </si>
  <si>
    <t>deposito</t>
  </si>
  <si>
    <t>ID de destino</t>
  </si>
  <si>
    <t>Razones detectadas de inviabilidad</t>
  </si>
  <si>
    <t>DESCARGO DE RESPONSABILIDAD: ESTE SOFTWARE SE PROPORCIONA "TAL CUAL" Y CUALQUIER GARANTÍA EXPRESA O IMPLÍCITA, INCLUYENDO, PERO NO LIMITADO A, LAS GARANTÍAS IMPLÍCITAS DE COMERCIABILIDAD E IDONEIDAD PARA UN PROPÓSITO PARTICULAR SE RECHAZAN. EN NINGÚN CASO EL DESARROLLADOR ORIGINAL SERÁ RESPONSABLE DE CUALQUIER DAÑO DIRECTO, INDIRECTO, INCIDENTAL, ESPECIAL, EJEMPLAR O CONSECUENTE (INCLUYENDO, PERO NO LIMITADO A, LA ADQUISICIÓN DE BIENES O SERVICIOS SUSTITUTOS; PÉRDIDA DE USO, DATOS O BENEFICIOS; O NEGOCIO INTERRUPCIÓN) SIN EMBARGO Y SOBRE CUALQUIER TEORÍA DE RESPONSABILIDAD, YA SEA POR CONTRATO, RESPONSABILIDAD ESTRICTA O AGRAVIO (INCLUYENDO NEGLIGENCIA O DE OTRO MODO) QUE SURJA DE CUALQUIER FORMA DEL USO DE ESTE SOFTWARE, AUNQUE SE INDIQUE LA POSIBILIDAD DE DICHO DAÑO.</t>
  </si>
  <si>
    <t>Distancia</t>
  </si>
  <si>
    <t>Método de cálculo de distancia</t>
  </si>
  <si>
    <t>Límite de distancia</t>
  </si>
  <si>
    <t>Distancia recorrida</t>
  </si>
  <si>
    <t>Distancias pobladas.</t>
  </si>
  <si>
    <t>Distancias pobladas. Faltan algunas distancias debido a un error de conexión.</t>
  </si>
  <si>
    <t>Se completó la configuración de la hoja de cálculo de distancias.</t>
  </si>
  <si>
    <t>¿Los vehículos regresan a su (s) depósito (s)?</t>
  </si>
  <si>
    <t>No visitar</t>
  </si>
  <si>
    <t>Tiempo de conducción</t>
  </si>
  <si>
    <t>Límite de tiempo de conducción</t>
  </si>
  <si>
    <t>Duración</t>
  </si>
  <si>
    <t>Método de cálculo de duración</t>
  </si>
  <si>
    <t>Multiplicador de duración</t>
  </si>
  <si>
    <t>Distancias euclidianas</t>
  </si>
  <si>
    <t>No se encontró el solucionador externo (vrp_spreadsheet_solver.dll). ¿Quieres continuar con el solucionador interno?</t>
  </si>
  <si>
    <t>El solucionador externo devolvió una solución. ¿Quiere sobrescribir la solución actual con la mejor solución encontrada?</t>
  </si>
  <si>
    <t>Lo más rápido</t>
  </si>
  <si>
    <t>Más rápido: tráfico en tiempo real</t>
  </si>
  <si>
    <t>Costo fijo por viaje</t>
  </si>
  <si>
    <t>Desde</t>
  </si>
  <si>
    <t>Difícil</t>
  </si>
  <si>
    <t>Si está activado, los lugares de entrega deben visitarse antes que los lugares de recogida</t>
  </si>
  <si>
    <t>Lat / Lon poblado. Consulte el mapa en la hoja de trabajo Ubicaciones para ver si hay errores de codificación geográfica.</t>
  </si>
  <si>
    <t>Latitud (y)</t>
  </si>
  <si>
    <t>Carga</t>
  </si>
  <si>
    <t>ID de ubicación</t>
  </si>
  <si>
    <t>Etiquetas de ubicación</t>
  </si>
  <si>
    <t>Nombre del lugar</t>
  </si>
  <si>
    <t>Nombres de ubicación</t>
  </si>
  <si>
    <t>Se completó la configuración de la hoja de trabajo de ubicaciones.</t>
  </si>
  <si>
    <t>Longitud (x)</t>
  </si>
  <si>
    <t>Entrada manual</t>
  </si>
  <si>
    <t>Puede ser visitado</t>
  </si>
  <si>
    <t>Método:</t>
  </si>
  <si>
    <t>Debe ser visitado</t>
  </si>
  <si>
    <t>¿Debe ser visitado?</t>
  </si>
  <si>
    <t>Beneficio neto:</t>
  </si>
  <si>
    <t>a été utilisé pour plusieurs emplacements. Veuillez corriger l'erreur et réessayer.</t>
  </si>
  <si>
    <t xml:space="preserve"> secondes) et écraser les données de coordonnées existantes. En cliquant sur le bouton Oui ci-dessous, vous confirmez que vous acceptez les conditions d'utilisation de Bing Maps. Voulez-vous continuer?</t>
  </si>
  <si>
    <t xml:space="preserve"> secondes), écrasez les données de coordonnées existantes et effacez les données de distance existantes. En cliquant sur le bouton Oui ci-dessous, vous confirmez que vous acceptez les conditions d'utilisation de Bing Maps. Voulez-vous continuer?</t>
  </si>
  <si>
    <t>(Montant du ramassage; montant de la livraison)</t>
  </si>
  <si>
    <t>(Début de la fenêtre de temps; Fin de la fenêtre de temps)</t>
  </si>
  <si>
    <t>. Voulez-vous remplacer la solution actuelle par la meilleure solution trouvée?</t>
  </si>
  <si>
    <t>0. Facultatif - Réinitialisez le classeur</t>
  </si>
  <si>
    <t>1.1 Feuille de travail des emplacements d'installation</t>
  </si>
  <si>
    <t>1.2 Facultatif - Remplissez Lat / Lon à l'aide d'adresses</t>
  </si>
  <si>
    <t>1.3 Facultatif - Trier les emplacements par ordre alphabétique</t>
  </si>
  <si>
    <t>1.Localisations</t>
  </si>
  <si>
    <t>2.1 Feuille de calcul des distances de configuration</t>
  </si>
  <si>
    <t>2.2 Facultatif - Feuille de calcul Remplir les distances</t>
  </si>
  <si>
    <t>2. distances</t>
  </si>
  <si>
    <t>3. Feuille de travail de configuration des véhicules</t>
  </si>
  <si>
    <t>3.1.Compatibilité du véhicule</t>
  </si>
  <si>
    <t>3. véhicules</t>
  </si>
  <si>
    <t>4. Feuille de travail de la solution d'installation</t>
  </si>
  <si>
    <t>4. solution</t>
  </si>
  <si>
    <t>5. Facultatif - Feuille de travail de visualisation de configuration</t>
  </si>
  <si>
    <t>5. facultatif - visualisation</t>
  </si>
  <si>
    <t>5. visualisation</t>
  </si>
  <si>
    <t>6.1 Engager le solveur de feuille de calcul VRP</t>
  </si>
  <si>
    <t>6.2 Facultatif - Contrôle de faisabilité</t>
  </si>
  <si>
    <t>6.3 Facultatif - Engager un solveur externe</t>
  </si>
  <si>
    <t>6. solveur</t>
  </si>
  <si>
    <t>Une clé Bing Maps valide est requise pour que la latitude / longitude soit déterminée. Vous pouvez obtenir une clé gratuite sur https://www.bingmapsportal.com/</t>
  </si>
  <si>
    <t>Une clé Bing Maps valide est requise pour les distances à déterminer. Vous pouvez obtenir une clé gratuite sur https://www.bingmapsportal.com/</t>
  </si>
  <si>
    <t>Une clé Bing Maps valide est requise. Vous pouvez obtenir une clé gratuite sur https://www.bingmapsportal.com/</t>
  </si>
  <si>
    <t>Erreur d'adresse</t>
  </si>
  <si>
    <t>Toutes les coordonnées doivent être saisies pour que les distances soient renseignées.</t>
  </si>
  <si>
    <t>Toutes les coordonnées doivent être saisies pour que la feuille de calcul Visualisation soit créée.</t>
  </si>
  <si>
    <t>Tous les véhicules doivent être compatibles avec tous les emplacements lorsqu'il n'y a qu'un seul type de véhicule.</t>
  </si>
  <si>
    <t>Heure d'arrivée</t>
  </si>
  <si>
    <t>Vitesse moyenne du véhicule</t>
  </si>
  <si>
    <t>Cartes Bing</t>
  </si>
  <si>
    <t>Distances de conduite Bing Maps (km)</t>
  </si>
  <si>
    <t>Distances de conduite Bing Maps (miles)</t>
  </si>
  <si>
    <t>Durées de conduite Bing Maps</t>
  </si>
  <si>
    <t>Type d'itinéraire Bing Maps</t>
  </si>
  <si>
    <t>Distances de vol des oiseaux (km)</t>
  </si>
  <si>
    <t>Distances de vol des oiseaux (miles)</t>
  </si>
  <si>
    <t>Vide</t>
  </si>
  <si>
    <t>Capacité</t>
  </si>
  <si>
    <t>Coût par unité de distance</t>
  </si>
  <si>
    <t>Ramassage cumulatif</t>
  </si>
  <si>
    <t>Client</t>
  </si>
  <si>
    <t>Montant de la livraison</t>
  </si>
  <si>
    <t>Heure de départ</t>
  </si>
  <si>
    <t>Dépôt</t>
  </si>
  <si>
    <t>ID de destination</t>
  </si>
  <si>
    <t>Raisons détectées d'infaisabilité</t>
  </si>
  <si>
    <t>AVIS DE NON-RESPONSABILITÉ: CE LOGICIEL EST FOURNI «EN L'ÉTAT» ET TOUTE GARANTIE EXPRESSE OU IMPLICITE, Y COMPRIS, MAIS SANS S'Y LIMITER, LES GARANTIES IMPLICITES DE QUALITÉ MARCHANDE ET D'ADÉQUATION À UN USAGE PARTICULIER SONT EXCLUES. EN AUCUN CAS, LE DÉVELOPPEUR ORIGINAL NE SERA RESPONSABLE DE TOUT DOMMAGE DIRECT, INDIRECT, ACCESSOIRE, SPÉCIAL, EXEMPLAIRE OU INDIRECT (Y COMPRIS, MAIS SANS S'Y LIMITER, L'ACHAT DE BIENS OU SERVICES DE SUBSTITUTION; PERTE D'UTILISATION, DE DONNÉES OU DE BÉNÉFICES; INTERRUPTION) TOUTEFOIS CAUSÉE ET SUR TOUTE THÉORIE DE RESPONSABILITÉ, QUE CE SOIT DANS LE CONTRAT, LA RESPONSABILITÉ STRICTE OU LA TORT (Y COMPRIS LA NÉGLIGENCE OU AUTRE) RÉSULTANT DE TOUTE MANIÈRE DE L'UTILISATION DE CE LOGICIEL, MÊME SI AVIS AVIS DE LA POSSIBILITÉ DE TELS DOMMAGES.</t>
  </si>
  <si>
    <t>Méthode de calcul de distance</t>
  </si>
  <si>
    <t>Limite de distance</t>
  </si>
  <si>
    <t>Distance parcourue</t>
  </si>
  <si>
    <t>Distances peuplées.</t>
  </si>
  <si>
    <t>Distances peuplées. Certaines distances sont manquantes en raison d'une erreur de connexion.</t>
  </si>
  <si>
    <t>Configuration de la feuille de calcul des distances terminée.</t>
  </si>
  <si>
    <t>Les véhicules retournent-ils à leur (s) dépôt (s)?</t>
  </si>
  <si>
    <t>Ne visite pas</t>
  </si>
  <si>
    <t>Temps de conduite</t>
  </si>
  <si>
    <t>Limite de temps de conduite</t>
  </si>
  <si>
    <t>Durée</t>
  </si>
  <si>
    <t>Méthode de calcul de la durée</t>
  </si>
  <si>
    <t>Multiplicateur de durée</t>
  </si>
  <si>
    <t>Distances euclidiennes</t>
  </si>
  <si>
    <t>Solveur externe (vrp_spreadsheet_solver.dll) introuvable. Voulez-vous continuer avec le solveur interne?</t>
  </si>
  <si>
    <t>Le solveur externe a renvoyé une solution. Voulez-vous remplacer la solution actuelle par la meilleure solution trouvée?</t>
  </si>
  <si>
    <t>Le plus rapide</t>
  </si>
  <si>
    <t>Plus rapide - Trafic en temps réel</t>
  </si>
  <si>
    <t>Coût fixe par voyage</t>
  </si>
  <si>
    <t>De</t>
  </si>
  <si>
    <t>Dur</t>
  </si>
  <si>
    <t>Si activé, les lieux de livraison doivent être visités avant les lieux de ramassage</t>
  </si>
  <si>
    <t>Lat / Lon peuplé. Veuillez vérifier la carte dans la feuille de calcul Emplacements pour les erreurs de géocodage.</t>
  </si>
  <si>
    <t>Charge</t>
  </si>
  <si>
    <t>ID d'emplacement</t>
  </si>
  <si>
    <t>Libellés d'emplacement</t>
  </si>
  <si>
    <t>Nom de la localisation</t>
  </si>
  <si>
    <t>Noms d'emplacement</t>
  </si>
  <si>
    <t>Configuration de la feuille de calcul des emplacements terminée.</t>
  </si>
  <si>
    <t>Saisie manuelle</t>
  </si>
  <si>
    <t>Peut être visité</t>
  </si>
  <si>
    <t>Méthode:</t>
  </si>
  <si>
    <t>Doit être visité</t>
  </si>
  <si>
    <t>Doit être visité?</t>
  </si>
  <si>
    <t>Bénéfice net:</t>
  </si>
  <si>
    <t>è stato utilizzato per più posizioni. Correggi l'errore e riprova.</t>
  </si>
  <si>
    <t xml:space="preserve"> secondi) e sovrascrivere i dati delle coordinate esistenti. Facendo clic sul pulsante Sì di seguito, confermi di accettare i Termini di servizio di Bing Maps. Vuoi continuare?</t>
  </si>
  <si>
    <t xml:space="preserve"> secondi), sovrascrivere i dati di coordinate esistenti e cancellare i dati di distanza esistenti. Facendo clic sul pulsante Sì di seguito, confermi di accettare i Termini di servizio di Bing Maps. Vuoi continuare?</t>
  </si>
  <si>
    <t>(Importo del ritiro; Importo della consegna)</t>
  </si>
  <si>
    <t>(Inizio finestra temporale; Fine finestra temporale)</t>
  </si>
  <si>
    <t>0. Opzionale: reimpostare la cartella di lavoro</t>
  </si>
  <si>
    <t>1.1 Foglio di lavoro delle posizioni di installazione</t>
  </si>
  <si>
    <t>1.2 Opzionale - Popolare Lat / Lon utilizzando gli indirizzi</t>
  </si>
  <si>
    <t>1.3 Opzionale: ordina le posizioni in ordine alfabetico</t>
  </si>
  <si>
    <t>1. Sedi</t>
  </si>
  <si>
    <t>2.1 Foglio di lavoro per l'impostazione delle distanze</t>
  </si>
  <si>
    <t>2.2 Opzionale - Foglio di lavoro per popolare le distanze</t>
  </si>
  <si>
    <t>2.Distanze</t>
  </si>
  <si>
    <t>3. Foglio di lavoro per la configurazione dei veicoli</t>
  </si>
  <si>
    <t>3.1 Compatibilità del veicolo</t>
  </si>
  <si>
    <t>3.Veicoli</t>
  </si>
  <si>
    <t>4. Foglio di lavoro della soluzione di installazione</t>
  </si>
  <si>
    <t>4.Soluzione</t>
  </si>
  <si>
    <t>5. Opzionale - Imposta foglio di lavoro per la visualizzazione</t>
  </si>
  <si>
    <t>5.Opzionale - Visualizzazione</t>
  </si>
  <si>
    <t>5.Visualizzazione</t>
  </si>
  <si>
    <t>6.1 Attivazione del risolutore di fogli di calcolo VRP</t>
  </si>
  <si>
    <t>6.2 Opzionale - Verifica di fattibilità</t>
  </si>
  <si>
    <t>6.3 Opzionale - Coinvolgere il risolutore esterno</t>
  </si>
  <si>
    <t>Per determinare Lat / Lon è necessaria una chiave Bing Maps valida. Puoi ottenere una chiave gratuita su https://www.bingmapsportal.com/</t>
  </si>
  <si>
    <t>Per determinare le distanze è necessaria una chiave Bing Maps valida. Puoi ottenere una chiave gratuita su https://www.bingmapsportal.com/</t>
  </si>
  <si>
    <t>È necessaria una chiave Bing Maps valida. Puoi ottenere una chiave gratuita su https://www.bingmapsportal.com/</t>
  </si>
  <si>
    <t>Indirizzo</t>
  </si>
  <si>
    <t>Errore di indirizzo</t>
  </si>
  <si>
    <t>Tutte le coordinate devono essere inserite affinché le distanze vengano popolate.</t>
  </si>
  <si>
    <t>Tutte le coordinate devono essere immesse per poter creare il foglio di lavoro di visualizzazione.</t>
  </si>
  <si>
    <t>Tutti i veicoli devono essere compatibili con tutte le località quando esiste un unico tipo di veicolo.</t>
  </si>
  <si>
    <t>Orario di arrivo</t>
  </si>
  <si>
    <t>Velocità media del veicolo</t>
  </si>
  <si>
    <t>Mappe di Bing</t>
  </si>
  <si>
    <t>Distanze di guida di Bing Maps (km)</t>
  </si>
  <si>
    <t>Distanze di guida di Bing Maps (miglia)</t>
  </si>
  <si>
    <t>Durata di guida di Bing Maps</t>
  </si>
  <si>
    <t>Tipo di percorso di Bing Maps</t>
  </si>
  <si>
    <t>Distanze di volo degli uccelli (km)</t>
  </si>
  <si>
    <t>Distanze di volo degli uccelli (miglia)</t>
  </si>
  <si>
    <t>Vuoto</t>
  </si>
  <si>
    <t>Capacità</t>
  </si>
  <si>
    <t>Compatibile</t>
  </si>
  <si>
    <t>Costo per unità di distanza</t>
  </si>
  <si>
    <t>Ritiro cumulativo</t>
  </si>
  <si>
    <t>Importo della consegna</t>
  </si>
  <si>
    <t>Orario di partenza</t>
  </si>
  <si>
    <t>Deposito</t>
  </si>
  <si>
    <t>ID destinazione</t>
  </si>
  <si>
    <t>Rilevati motivi di non fattibilità</t>
  </si>
  <si>
    <t>ESCLUSIONE DI RESPONSABILITÀ: QUESTO SOFTWARE VIENE FORNITO "COSÌ COM'È" E NON SI RICONOSCE ALCUNA GARANZIA ESPLICITA O IMPLICITA, INCLUSE, MA NON SOLO, LE GARANZIE IMPLICITE DI COMMERCIABILITÀ E IDONEITÀ PER UNO SCOPO PARTICOLARE. IN NESSUN CASO LO SVILUPPATORE ORIGINALE SARÀ RESPONSABILE DI ALCUN DANNO DIRETTO, INDIRETTO, ACCIDENTALE, SPECIALE, ESEMPLARE O CONSEQUENZIALE (COMPRESO, MA NON SOLO, APPROVVIGIONAMENTO DI BENI O SERVIZI SOSTITUTIVI; PERDITA DI UTILIZZO, DATI O PROFITTI; O COMMERCIO INTERRUZIONE) TUTTAVIA CAUSA E SU QUALSIASI TEORIA DI RESPONSABILITÀ, SIA IN CONTRATTO, RESPONSABILITÀ RIGOROSA O TORTO (INCLUSA NEGLIGENZA O ALTRO) DERIVANTI IN QUALSIASI MODO DALL'USO DI QUESTO SOFTWARE, ANCHE SE AVVISATA DELLA POSSIBILITÀ DI TALI DANNI.</t>
  </si>
  <si>
    <t>Distanza</t>
  </si>
  <si>
    <t>Metodo di calcolo della distanza</t>
  </si>
  <si>
    <t>Limite di distanza</t>
  </si>
  <si>
    <t>Distanza percorsa</t>
  </si>
  <si>
    <t>Distanze popolate.</t>
  </si>
  <si>
    <t>Distanze popolate. Mancano alcune distanze a causa di un errore di connessione.</t>
  </si>
  <si>
    <t>Impostazione del foglio di lavoro delle distanze completata.</t>
  </si>
  <si>
    <t>I veicoli tornano ai loro depositi?</t>
  </si>
  <si>
    <t>Non visitare</t>
  </si>
  <si>
    <t>Tempo di guida</t>
  </si>
  <si>
    <t>Limite di tempo di guida</t>
  </si>
  <si>
    <t>Durata</t>
  </si>
  <si>
    <t>Metodo di calcolo della durata</t>
  </si>
  <si>
    <t>Moltiplicatore di durata</t>
  </si>
  <si>
    <t>Distanze euclidee</t>
  </si>
  <si>
    <t>Risolutore esterno (vrp_spreadsheet_solver.dll) non trovato. Vuoi continuare con il risolutore interno?</t>
  </si>
  <si>
    <t>Il risolutore esterno ha restituito una soluzione. Vuoi sovrascrivere la soluzione corrente con la migliore soluzione trovata?</t>
  </si>
  <si>
    <t>Il più veloce</t>
  </si>
  <si>
    <t>Il più veloce: traffico in tempo reale</t>
  </si>
  <si>
    <t>Costo fisso per viaggio</t>
  </si>
  <si>
    <t>A partire dal</t>
  </si>
  <si>
    <t>Difficile</t>
  </si>
  <si>
    <t>Se attivato, i luoghi di consegna devono essere visitati prima dei luoghi di ritiro</t>
  </si>
  <si>
    <t>Lat / Lon popolato. Controlla la mappa nel foglio di lavoro Posizioni per errori di geocodifica.</t>
  </si>
  <si>
    <t>Latitudine (y)</t>
  </si>
  <si>
    <t>Caricare</t>
  </si>
  <si>
    <t>ID posizione</t>
  </si>
  <si>
    <t>Etichette di posizione</t>
  </si>
  <si>
    <t>Nome del luogo</t>
  </si>
  <si>
    <t>Nomi di località</t>
  </si>
  <si>
    <t>Configurazione del foglio di lavoro delle posizioni completata.</t>
  </si>
  <si>
    <t>Longitudine (x)</t>
  </si>
  <si>
    <t>Inserimento manuale</t>
  </si>
  <si>
    <t>Può essere visitato</t>
  </si>
  <si>
    <t>Metodo:</t>
  </si>
  <si>
    <t>Deve essere visitato</t>
  </si>
  <si>
    <t>Deve essere visitato?</t>
  </si>
  <si>
    <t>Profitto netto:</t>
  </si>
  <si>
    <t>foi usado para vários locais. Corrija o erro e tente novamente.</t>
  </si>
  <si>
    <t xml:space="preserve"> segundos) e sobrescrever os dados de coordenadas existentes. Ao clicar no botão Sim abaixo, você confirma que aceita os Termos de Serviço do Bing Maps. Você quer continuar?</t>
  </si>
  <si>
    <t xml:space="preserve"> segundos), sobrescrever os dados de coordenadas existentes e apagar os dados de distância existentes. Ao clicar no botão Sim abaixo, você confirma que aceita os Termos de Serviço do Bing Maps. Você quer continuar?</t>
  </si>
  <si>
    <t>(Valor de retirada; valor de entrega)</t>
  </si>
  <si>
    <t>(Início da janela de tempo; Fim da janela de tempo)</t>
  </si>
  <si>
    <t>0. Opcional - Redefina a pasta de trabalho</t>
  </si>
  <si>
    <t>0. Interface</t>
  </si>
  <si>
    <t>1.1 Planilha de locais de configuração</t>
  </si>
  <si>
    <t>1.2 Opcional - Preencher Lat / Lon usando endereços</t>
  </si>
  <si>
    <t>1.3 Opcional - Classifique os locais em ordem alfabética</t>
  </si>
  <si>
    <t>1. Locais</t>
  </si>
  <si>
    <t>2.1 Planilha de Distâncias de Configuração</t>
  </si>
  <si>
    <t>2.2 Opcional - Planilha de preenchimento de distâncias</t>
  </si>
  <si>
    <t>3. Planilha de configuração de veículos</t>
  </si>
  <si>
    <t>3.1. Compatibilidade do veículo</t>
  </si>
  <si>
    <t>4. Planilha de solução de configuração</t>
  </si>
  <si>
    <t>5. Opcional - Planilha de visualização de configuração</t>
  </si>
  <si>
    <t>5. Opcional - Visualização</t>
  </si>
  <si>
    <t>5.Visualização</t>
  </si>
  <si>
    <t>6.2 Opcional - Verificação de viabilidade</t>
  </si>
  <si>
    <t>6.3 Opcional - Engate solver externo</t>
  </si>
  <si>
    <t>Uma chave válida do Bing Maps é necessária para que Lat / Lon seja determinado. Você pode obter uma chave gratuita em https://www.bingmapsportal.com/</t>
  </si>
  <si>
    <t>Uma chave válida do Bing Maps é necessária para que as distâncias sejam determinadas. Você pode obter uma chave gratuita em https://www.bingmapsportal.com/</t>
  </si>
  <si>
    <t>É necessária uma chave válida do Bing Maps. Você pode obter uma chave gratuita em https://www.bingmapsportal.com/</t>
  </si>
  <si>
    <t>Endereço</t>
  </si>
  <si>
    <t>Erro de endereço</t>
  </si>
  <si>
    <t>Todas as coordenadas devem ser inseridas para que as distâncias sejam preenchidas.</t>
  </si>
  <si>
    <t>Todas as coordenadas devem ser inseridas para que a planilha de visualização seja criada.</t>
  </si>
  <si>
    <t>Todos os veículos devem ser compatíveis com todos os locais quando houver um único tipo de veículo.</t>
  </si>
  <si>
    <t>Tempo de chegada</t>
  </si>
  <si>
    <t>Velocidade média do veículo</t>
  </si>
  <si>
    <t>Distâncias de condução do Bing Maps (km)</t>
  </si>
  <si>
    <t>Distâncias de condução do Bing Maps (milhas)</t>
  </si>
  <si>
    <t>Duração de condução do Bing Maps</t>
  </si>
  <si>
    <t>Tipo de rota do Bing Maps</t>
  </si>
  <si>
    <t>Distâncias de voo de pássaros (km)</t>
  </si>
  <si>
    <t>Distâncias de voo de pássaros (milhas)</t>
  </si>
  <si>
    <t>Em branco</t>
  </si>
  <si>
    <t>Capacidade</t>
  </si>
  <si>
    <t>Compatível</t>
  </si>
  <si>
    <t>Custo por unidade de distância</t>
  </si>
  <si>
    <t>Coleta cumulativa</t>
  </si>
  <si>
    <t>Quantidade de entrega</t>
  </si>
  <si>
    <t>Hora de partida</t>
  </si>
  <si>
    <t>depósito</t>
  </si>
  <si>
    <t>Razões de inviabilidade detectadas</t>
  </si>
  <si>
    <t>ISENÇÃO DE RESPONSABILIDADE: ESTE SOFTWARE É FORNECIDO 'COMO ESTÁ' E QUAISQUER GARANTIAS EXPRESSAS OU IMPLÍCITAS, INCLUINDO, MAS NÃO SE LIMITANDO A, GARANTIAS IMPLÍCITAS DE COMERCIALIZAÇÃO E ADEQUAÇÃO A UM DETERMINADO FIM SÃO REJEITADAS. EM NENHUMA HIPÓTESE O DESENVOLVEDOR ORIGINAL SERÁ RESPONSÁVEL POR QUAISQUER DANOS DIRETOS, INDIRETOS, INCIDENTAIS, ESPECIAIS, EXEMPLARES OU CONSEQÜENCIAIS (INCLUINDO, MAS NÃO SE LIMITANDO À, AQUISIÇÃO DE BENS OU SERVIÇOS SUBSTITUTOS; PERDA DE USO, DADOS OU LUCROS; OU NEGÓCIO; INTERRUPÇÃO) NO ENTANTO CAUSADA E EM QUALQUER TEORIA DE RESPONSABILIDADE, SEJA EM CONTRATO, RESPONSABILIDADE ESTRITA OU DELITO (INCLUINDO NEGLIGÊNCIA OU OUTRO) DECORRENTE DE QUALQUER FORMA DO USO DESTE SOFTWARE, MESMO SE AVISADO DA POSSIBILIDADE DE TAL DANÇA.</t>
  </si>
  <si>
    <t>Distância</t>
  </si>
  <si>
    <t>Método de cálculo de distância</t>
  </si>
  <si>
    <t>Limite de distância</t>
  </si>
  <si>
    <t>Distância viajada</t>
  </si>
  <si>
    <t>Distâncias povoadas.</t>
  </si>
  <si>
    <t>Distâncias povoadas. Algumas distâncias estão faltando devido a um erro de conexão.</t>
  </si>
  <si>
    <t>Configuração da planilha de distâncias concluída.</t>
  </si>
  <si>
    <t>Os veículos retornam ao (s) depósito (s)?</t>
  </si>
  <si>
    <t>Não visite</t>
  </si>
  <si>
    <t>Tempo de condução</t>
  </si>
  <si>
    <t>Limite de tempo de condução</t>
  </si>
  <si>
    <t>Duração</t>
  </si>
  <si>
    <t>Método de cálculo de duração</t>
  </si>
  <si>
    <t>Multiplicador de duração</t>
  </si>
  <si>
    <t>Distâncias euclidianas</t>
  </si>
  <si>
    <t>Solucionador externo (vrp_spreadsheet_solver.dll) não encontrado. Você deseja continuar com o solucionador interno?</t>
  </si>
  <si>
    <t>O solucionador externo retornou uma solução. Quer substituir a solução atual pela melhor solução encontrada?</t>
  </si>
  <si>
    <t>O mais rápido</t>
  </si>
  <si>
    <t>Mais rápido - Tráfego em tempo real</t>
  </si>
  <si>
    <t>Custo fixo por viagem</t>
  </si>
  <si>
    <t>Se ativado, os locais de entrega devem ser visitados antes dos locais de coleta</t>
  </si>
  <si>
    <t>Lat / Lon preenchido. Verifique o mapa na planilha de Locais para erros de geocodificação.</t>
  </si>
  <si>
    <t>ID de localização</t>
  </si>
  <si>
    <t>IDs de localização</t>
  </si>
  <si>
    <t>Rótulos de localização</t>
  </si>
  <si>
    <t>Nome do local</t>
  </si>
  <si>
    <t>Nome da localização</t>
  </si>
  <si>
    <t>Nomes de localização</t>
  </si>
  <si>
    <t>Configuração da planilha de locais concluída.</t>
  </si>
  <si>
    <t>Pode ser visitado</t>
  </si>
  <si>
    <t>Deve ser visitado</t>
  </si>
  <si>
    <t>Deve ser visitado?</t>
  </si>
  <si>
    <t>Lucro líquido:</t>
  </si>
  <si>
    <t>تم استخدامه لمواقع متعددة. يرجى تصحيح الخطأ والمحاولة مرة أخرى.</t>
  </si>
  <si>
    <t xml:space="preserve"> ثواني) والكتابة فوق بيانات الإحداثيات الموجودة. بالنقر فوق الزر "نعم" أدناه ، فإنك تؤكد قبولك لشروط خدمة خرائط Bing. هل تريد الاستمرار؟</t>
  </si>
  <si>
    <t xml:space="preserve"> ثواني) ، والكتابة فوق بيانات الإحداثيات الموجودة ، ومحو بيانات المسافة الموجودة. بالنقر فوق الزر "نعم" أدناه ، فإنك تؤكد قبولك لشروط خدمة خرائط Bing. هل تريد الاستمرار؟</t>
  </si>
  <si>
    <t>(مبلغ الاستلام ؛ مبلغ التسليم)</t>
  </si>
  <si>
    <t>(بدء النافذة الزمنية ، نهاية النافذة الزمنية)</t>
  </si>
  <si>
    <t>0. اختياري - إعادة تعيين المصنف</t>
  </si>
  <si>
    <t>1.1 إعداد ورقة عمل المواقع</t>
  </si>
  <si>
    <t>1.2 اختياري - تعبئة خطوط الطول / العرض باستخدام العناوين</t>
  </si>
  <si>
    <t>1.3 اختياري - فرز المواقع أبجديًا</t>
  </si>
  <si>
    <t>2.1 إعداد ورقة عمل المسافات</t>
  </si>
  <si>
    <t>2.2 اختياري - ورقة عمل تعبئة المسافات</t>
  </si>
  <si>
    <t>3. إعداد ورقة عمل المركبات</t>
  </si>
  <si>
    <t>3.1.التوافق مع المركبات</t>
  </si>
  <si>
    <t>3 - المركبات</t>
  </si>
  <si>
    <t>4. إعداد ورقة عمل الحل</t>
  </si>
  <si>
    <t>5. اختياري - إعداد ورقة عمل التصور</t>
  </si>
  <si>
    <t>5. اختياري - التصور</t>
  </si>
  <si>
    <t>6.1 إشراك برنامج حل جداول بيانات VRP</t>
  </si>
  <si>
    <t>6.2 اختياري - فحص الجدوى</t>
  </si>
  <si>
    <t>6.3 اختياري - إشراك محلل خارجي</t>
  </si>
  <si>
    <t>6- سولفر</t>
  </si>
  <si>
    <t>مطلوب مفتاح خرائط Bing صالح لكي يتم تحديد Lat / Lon. يمكنك الحصول على مفتاح مجاني على https://www.bingmapsportal.com/</t>
  </si>
  <si>
    <t>مطلوب مفتاح خرائط Bing صالح لتحديد المسافات. يمكنك الحصول على مفتاح مجاني على https://www.bingmapsportal.com/</t>
  </si>
  <si>
    <t>مطلوب مفتاح خرائط Bing صالح. يمكنك الحصول على مفتاح مجاني على https://www.bingmapsportal.com/</t>
  </si>
  <si>
    <t>عنوان</t>
  </si>
  <si>
    <t>خطأ في العنوان</t>
  </si>
  <si>
    <t>يجب إدخال جميع الإحداثيات للمسافات المراد ملؤها.</t>
  </si>
  <si>
    <t>يجب إدخال جميع الإحداثيات حتى يتم إنشاء ورقة عمل التصور.</t>
  </si>
  <si>
    <t>يجب أن تكون جميع المركبات متوافقة مع جميع المواقع عندما يكون هناك نوع واحد من المركبات.</t>
  </si>
  <si>
    <t>وقت الوصول</t>
  </si>
  <si>
    <t>متوسط ​​سرعة السيارة</t>
  </si>
  <si>
    <t>عودة؟</t>
  </si>
  <si>
    <t>خرائط بنج</t>
  </si>
  <si>
    <t>مسافات القيادة في خرائط Bing (كم)</t>
  </si>
  <si>
    <t>مسافات القيادة في خرائط Bing (أميال)</t>
  </si>
  <si>
    <t>فترات القيادة في خرائط Bing</t>
  </si>
  <si>
    <t>نوع مسار خرائط Bing</t>
  </si>
  <si>
    <t>مسافات طيران الطيور (كم)</t>
  </si>
  <si>
    <t>مسافات طيران الطيور (أميال)</t>
  </si>
  <si>
    <t>فارغ</t>
  </si>
  <si>
    <t>سعة</t>
  </si>
  <si>
    <t>متوافق</t>
  </si>
  <si>
    <t>التكلفة لكل وحدة مسافة</t>
  </si>
  <si>
    <t>لاقط تراكمي</t>
  </si>
  <si>
    <t>الزبون</t>
  </si>
  <si>
    <t>مبلغ التسليم</t>
  </si>
  <si>
    <t>وقت المغادرة</t>
  </si>
  <si>
    <t>مستودع</t>
  </si>
  <si>
    <t>معرف الوجهة</t>
  </si>
  <si>
    <t>تم الكشف عن أسباب عدم الجدوى</t>
  </si>
  <si>
    <t>إخلاء المسؤولية: يتم توفير هذا البرنامج "كما هو" ويتم إخلاء أي ضمانات صريحة أو ضمنية ، بما في ذلك ، على سبيل المثال لا الحصر ، الضمانات الضمنية الخاصة بقابلية التسويق والملاءمة لغرض معين. لن يكون المطور الأصلي بأي حال من الأحوال مسؤولاً عن أي أضرار مباشرة أو غير مباشرة أو عرضية أو خاصة أو نموذجية أو تبعية (بما في ذلك ، على سبيل المثال لا الحصر ، شراء سلع أو خدمات بديلة ؛ خسارة الاستخدام أو البيانات ؛ الانقطاع) مهما كان السبب وفي أي نظرية للمسؤولية ، سواء كان ذلك في العقد أو المسؤولية الصارمة أو الضرر (بما في ذلك الإهمال أو غير ذلك) الذي ينشأ بأي طريقة من طريقة استخدام هذا البرنامج ، حتى في حالة تقديم المشورة.</t>
  </si>
  <si>
    <t>مسافة</t>
  </si>
  <si>
    <t>طريقة حساب المسافة</t>
  </si>
  <si>
    <t>حد المسافة</t>
  </si>
  <si>
    <t>المسافة المقطوعة</t>
  </si>
  <si>
    <t>مسافات مأهولة.</t>
  </si>
  <si>
    <t>مسافات مأهولة. بعض المسافات مفقودة بسبب خطأ في الاتصال.</t>
  </si>
  <si>
    <t>اكتمل إعداد ورقة عمل المسافات.</t>
  </si>
  <si>
    <t>هل تعود المركبات إلى مستودعاتها؟</t>
  </si>
  <si>
    <t>لا تزور</t>
  </si>
  <si>
    <t>وقت القيادة</t>
  </si>
  <si>
    <t>حد وقت القيادة</t>
  </si>
  <si>
    <t>المدة الزمنية</t>
  </si>
  <si>
    <t>طريقة حساب المدة</t>
  </si>
  <si>
    <t>مضاعف المدة</t>
  </si>
  <si>
    <t>مسافات اقليدية</t>
  </si>
  <si>
    <t>الملف الخارجي (vrp_spreadsheet_solver.dll) غير موجود. هل تريد الاستمرار في الحل الداخلي؟</t>
  </si>
  <si>
    <t>عاد المحلل الخارجي حلاً. هل تريد استبدال الحل الحالي بأفضل الحلول الموجودة؟</t>
  </si>
  <si>
    <t>أسرع</t>
  </si>
  <si>
    <t>الأسرع - حركة المرور في الوقت الفعلي</t>
  </si>
  <si>
    <t>التكلفة الثابتة لكل رحلة</t>
  </si>
  <si>
    <t>من عند</t>
  </si>
  <si>
    <t>الصعب</t>
  </si>
  <si>
    <t>في حالة التفعيل ، يجب زيارة مواقع التسليم قبل مواقع الاستلام</t>
  </si>
  <si>
    <t>خطوط الطول والخط بالسكان. يرجى التحقق من الخريطة في ورقة عمل المواقع بحثًا عن أخطاء الترميز الجغرافي.</t>
  </si>
  <si>
    <t>خط العرض (ذ)</t>
  </si>
  <si>
    <t>حمل</t>
  </si>
  <si>
    <t>معرف الموقع</t>
  </si>
  <si>
    <t>معرفات الموقع</t>
  </si>
  <si>
    <t>تسميات الموقع</t>
  </si>
  <si>
    <t>اسم الموقع</t>
  </si>
  <si>
    <t>أسماء المواقع</t>
  </si>
  <si>
    <t>اكتمل إعداد ورقة عمل المواقع.</t>
  </si>
  <si>
    <t>خط الطول (x)</t>
  </si>
  <si>
    <t>الإدخال اليدوي</t>
  </si>
  <si>
    <t>يمكن زيارتها</t>
  </si>
  <si>
    <t>طريقة:</t>
  </si>
  <si>
    <t>يجب زيارتها</t>
  </si>
  <si>
    <t>يجب زيارتها؟</t>
  </si>
  <si>
    <t>صافي الربح:</t>
  </si>
  <si>
    <t>Bazı konumlar arasında sürüş rotası bulunamadı. Lütfen adresleri ve koordinatları kontrol edin.</t>
  </si>
  <si>
    <t>Müşteri sayısı</t>
  </si>
  <si>
    <t>Depo sayısı</t>
  </si>
  <si>
    <t>Araç tiplerinin sayısı</t>
  </si>
  <si>
    <t>Araç sayısı</t>
  </si>
  <si>
    <t>Bir veya daha fazla konum, herhangi bir yoldan çok uzakta. Lütfen adresleri ve koordinatları kontrol edin.</t>
  </si>
  <si>
    <t>Açık kaynak, Dr. Güneş Erdoğan tarafından geliştirilmiştir (G.Erdogan@bath.ac.uk)</t>
  </si>
  <si>
    <t>İsteğe bağlı - Bing Haritalar Anahtarı</t>
  </si>
  <si>
    <t>Teslim alma miktarı</t>
  </si>
  <si>
    <t>Lütfen negatif olmayan bir tam sayı değeri girin</t>
  </si>
  <si>
    <t>Lütfen 10 saniyeden büyük veya 10 saniyeye eşit bir değer girin.</t>
  </si>
  <si>
    <t>Lütfen 1 ile 20 arasında bir tam sayı girin</t>
  </si>
  <si>
    <t>Lütfen 5 ile 200 arasında bir tam sayı girin</t>
  </si>
  <si>
    <t>Arayüzü değiştirmek için lütfen kılavuza bakın.</t>
  </si>
  <si>
    <t>Toplanan kar</t>
  </si>
  <si>
    <t>Uygulanabilirlik nedenleri tespit edildi.</t>
  </si>
  <si>
    <t>Öneri: "En Hızlı" seçeneğini kullanın</t>
  </si>
  <si>
    <t>Öneri: Adresler için "posta kodu, ülke" biçimini kullanın</t>
  </si>
  <si>
    <t>Doğrusal (Manhattan) mesafeler</t>
  </si>
  <si>
    <t>İşletme Fakültesi, Bath Üniversitesi, 2020.</t>
  </si>
  <si>
    <t>Geri bildirim gönderin / soru sorun</t>
  </si>
  <si>
    <t>Servis zamanı</t>
  </si>
  <si>
    <t>Mesafeler çalışma sayfası ayarlama, konum üzerinde çalışma</t>
  </si>
  <si>
    <t>Çözüm çalışma sayfası oluşturma, araç üzerinde çalışma</t>
  </si>
  <si>
    <t>En kısa</t>
  </si>
  <si>
    <t>Durum çubuğunda ilerleme gösterilsin mi?</t>
  </si>
  <si>
    <t>Başlangıç ​​konumu</t>
  </si>
  <si>
    <t>Saymayı durdur</t>
  </si>
  <si>
    <t>Durur:</t>
  </si>
  <si>
    <t>Eksiltici teslimat</t>
  </si>
  <si>
    <t>Çözücünün en son sürümü şu adresten indirilebilir: http://people.bath.ac.uk/ge277/vrp-spreadsheet-solver/</t>
  </si>
  <si>
    <t>| Enlem | ile koordinatlar var &gt; 90 veya | boylam | &gt; 180. Boş bir arka planla devam ediliyor.</t>
  </si>
  <si>
    <t>Çözüm çalışma sayfasının oluşturulabilmesi için en az bir kullanılabilir araç olması gerekir.</t>
  </si>
  <si>
    <t>Bu, tüm mevcut sorun verilerini silecektir. Devam etmek istiyor musun?</t>
  </si>
  <si>
    <t>Bu, mevcut mesafe, çözüm ve görselleştirme verilerini silecektir. Devam etmek istiyor musun?</t>
  </si>
  <si>
    <t>Bu, mevcut mesafe verilerinin üzerine yazacak ve biraz zaman alacaktır (tahmini</t>
  </si>
  <si>
    <t>Bu, mevcut mesafe verilerinin üzerine yazacaktır. Devam etmek istiyor musun?</t>
  </si>
  <si>
    <t>Bu, mevcut konum verilerinin üzerine yazacak ve mesafe ile çözüm verilerini silecektir. Devam etmek istiyor musun?</t>
  </si>
  <si>
    <t>Bu, mevcut araç uyumluluk verilerinin üzerine yazacaktır. Devam etmek istiyor musun?</t>
  </si>
  <si>
    <t>Bu, mevcut araç verilerinin üzerine yazacak ve çözüm ve görselleştirme verilerini silecektir. Devam etmek istiyor musun?</t>
  </si>
  <si>
    <t>Bu, mevcut görselleştirme verilerinin üzerine yazacaktır. Devam etmek istiyor musun?</t>
  </si>
  <si>
    <t>Zaman aralığı sonu</t>
  </si>
  <si>
    <t>Zaman aralığı başlangıcı</t>
  </si>
  <si>
    <t>Zaman penceresi türü</t>
  </si>
  <si>
    <t>Araç uyumluluğu çalışma sayfası kurulumu tamamlandı.</t>
  </si>
  <si>
    <t>Araç tipi</t>
  </si>
  <si>
    <t>Araç:</t>
  </si>
  <si>
    <t>Araç çalışma sayfası kurulumu tamamlandı.</t>
  </si>
  <si>
    <t>Görselleştirme arka planı</t>
  </si>
  <si>
    <t>VRP Çözücü</t>
  </si>
  <si>
    <t>VRP Çözücü Konsolu</t>
  </si>
  <si>
    <t>VRP Elektronik Tablo Çözücü</t>
  </si>
  <si>
    <t>Sıcak başlangıç ​​mı?</t>
  </si>
  <si>
    <t>Uyarı! Siz onları yeniden ayarlayana kadar mevcut çalışma sayfalarının geri kalanına yansıtılmayacak olan mesafe verilerini değiştiriyorsunuz.</t>
  </si>
  <si>
    <t>Uyarı! Filo boyutunu değiştiriyorsunuz, bu da siz onları yeniden kurana kadar mevcut çalışma sayfalarının geri kalanına yansıtılmayacak.</t>
  </si>
  <si>
    <t>Uyarı! Mevcut çözümü olanaksız veya yetersiz hale getirebilecek konum verilerini değiştiriyorsunuz ve siz onları yeniden kurana kadar mevcut çalışma sayfalarının geri kalanına yansıtılmayacaksınız.</t>
  </si>
  <si>
    <t>Uyarı! Yeniden kurana kadar mevcut araçlara, çözümlere veya görselleştirme çalışma sayfalarına yansıtılmayacak araç türlerinin sayısını değiştiriyorsunuz.</t>
  </si>
  <si>
    <t>Uyarı! Çözüme yönelik kısıtlamalarla ilgili parametreleri değiştiriyorsunuz ve bu, siz onu yeniden kurana kadar mevcut çözüm çalışma sayfasına yansıtılmayacak. Mevcut çözüm uygulanamaz hale gelmiş olabilir.</t>
  </si>
  <si>
    <t>Uyarı! Siz yeniden ayarlayana kadar görselleştirme çalışma sayfasına yansıtılmayacak olan görselleştirme çalışma sayfasıyla ilgili parametreleri değiştiriyorsunuz.</t>
  </si>
  <si>
    <t>Uyarı! Tekrar ayarlayana kadar mevcut çalışma sayfalarına yansıtılmayacak olan problem boyutu parametrelerini değiştiriyorsunuz.</t>
  </si>
  <si>
    <t>Uyarı! Araç verilerini değiştiriyorsunuz ve bunlar siz onları yeniden ayarlayana kadar mevcut çalışma sayfalarının geri kalanına yansıtılmayacak.</t>
  </si>
  <si>
    <t>Uyarı: Veriler, son çözücü çalıştırması / fizibilite kontrolünden bu yana değişti.</t>
  </si>
  <si>
    <t>İş başlangıç ​​zamanı</t>
  </si>
  <si>
    <t>Çalışma zamanı</t>
  </si>
  <si>
    <t>Çalışma süresi sınırı</t>
  </si>
  <si>
    <t>Çalışma Sayfası 1. Koordinatların belirlenebilmesi için konumların mevcut olması gerekir.</t>
  </si>
  <si>
    <t>Çalışma Sayfası 1. Sıralanacak konumlar için konumlar mevcut olmalıdır.</t>
  </si>
  <si>
    <t>Çalışma Sayfaları 1. Mesafe çalışma sayfasının oluşturulabilmesi için konumların mevcut olması gerekir.</t>
  </si>
  <si>
    <t>Zwischen einigen Standorten konnte keine Fahrroute gefunden werden. Bitte überprüfen Sie die Adressen und die Koordinaten.</t>
  </si>
  <si>
    <t>Anzahl der Kunden</t>
  </si>
  <si>
    <t>Anzahl der Depots</t>
  </si>
  <si>
    <t>Anzahl der Fahrzeugtypen</t>
  </si>
  <si>
    <t>Zahl der Fahrzeuge</t>
  </si>
  <si>
    <t>Ein oder mehrere Standorte sind zu weit von Straßen entfernt. Bitte überprüfen Sie die Adressen und die Koordinaten.</t>
  </si>
  <si>
    <t>Open Source, entwickelt von Dr. Gunes Erdogan (G.Erdogan@bath.ac.uk)</t>
  </si>
  <si>
    <t>Abholbetrag</t>
  </si>
  <si>
    <t>Bitte geben Sie einen nichtnegativen ganzzahligen Wert ein</t>
  </si>
  <si>
    <t>Bitte geben Sie eine Ganzzahl von 1 bis 20 ein</t>
  </si>
  <si>
    <t>Bitte geben Sie eine Ganzzahl von 5 bis 200 ein</t>
  </si>
  <si>
    <t>Weitere Informationen zum Ändern der Schnittstelle finden Sie im Handbuch.</t>
  </si>
  <si>
    <t>Entfernungen bevölkern,</t>
  </si>
  <si>
    <t>Lat / Lon bevölkern,</t>
  </si>
  <si>
    <t>Gewinn gesammelt</t>
  </si>
  <si>
    <t>Gründe für die Unmöglichkeit festgestellt.</t>
  </si>
  <si>
    <t>Empfehlung: Verwenden Sie "Schnellste"</t>
  </si>
  <si>
    <t>Empfehlung: Verwenden Sie für Adressen das Format "Postleitzahl, Land"</t>
  </si>
  <si>
    <t>Geradlinige (Manhattan) Entfernungen</t>
  </si>
  <si>
    <t>Rückgabedepot</t>
  </si>
  <si>
    <t>Abgerundete euklidische Abstände</t>
  </si>
  <si>
    <t>School of Management, Universität Bath, 2020.</t>
  </si>
  <si>
    <t>Feedback senden / Frage stellen</t>
  </si>
  <si>
    <t>Servicezeit</t>
  </si>
  <si>
    <t>Arbeitsblatt für Entfernungen einrichten und vor Ort arbeiten</t>
  </si>
  <si>
    <t>Lösungsarbeitsblatt einrichten, am Fahrzeug arbeiten</t>
  </si>
  <si>
    <t>Kürzeste</t>
  </si>
  <si>
    <t>Fortschritt in der Statusleiste anzeigen?</t>
  </si>
  <si>
    <t>Depot starten</t>
  </si>
  <si>
    <t>Startort</t>
  </si>
  <si>
    <t>Stoppt die Zählung</t>
  </si>
  <si>
    <t>Stopps:</t>
  </si>
  <si>
    <t>Subtraktive Lieferung</t>
  </si>
  <si>
    <t>Die neueste Version des Solvers kann unter folgender Adresse heruntergeladen werden: http://people.bath.ac.uk/ge277/vrp-spreadsheet-solver/</t>
  </si>
  <si>
    <t>Es gibt Koordinaten mit | Breitengrad | &gt; 90 oder | Länge | &gt; 180. Fahren Sie mit einem leeren Hintergrund fort.</t>
  </si>
  <si>
    <t>Für die Erstellung des Lösungsarbeitsblatts muss mindestens ein Fahrzeug verfügbar sein.</t>
  </si>
  <si>
    <t>Dadurch werden alle vorhandenen Problemdaten gelöscht. Wollen Sie fortfahren?</t>
  </si>
  <si>
    <t>Dadurch werden vorhandene Entfernungs-, Lösungs- und Visualisierungsdaten gelöscht. Wollen Sie fortfahren?</t>
  </si>
  <si>
    <t>Dies überschreibt vorhandene Entfernungsdaten und dauert einige Zeit (geschätzt)</t>
  </si>
  <si>
    <t>Dadurch werden vorhandene Entfernungsdaten überschrieben. Wollen Sie fortfahren?</t>
  </si>
  <si>
    <t>Dadurch werden vorhandene Standortdaten überschrieben und Entfernungs- und Lösungsdaten gelöscht. Wollen Sie fortfahren?</t>
  </si>
  <si>
    <t>Dadurch werden vorhandene Fahrzeugkompatibilitätsdaten überschrieben. Wollen Sie fortfahren?</t>
  </si>
  <si>
    <t>Dadurch werden vorhandene Fahrzeugdaten überschrieben und Lösungs- und Visualisierungsdaten gelöscht. Wollen Sie fortfahren?</t>
  </si>
  <si>
    <t>Dadurch werden vorhandene Visualisierungsdaten überschrieben. Wollen Sie fortfahren?</t>
  </si>
  <si>
    <t>Zeitfenster endet</t>
  </si>
  <si>
    <t>Start des Zeitfensters</t>
  </si>
  <si>
    <t>Zeitfenstertyp</t>
  </si>
  <si>
    <t>Zu</t>
  </si>
  <si>
    <t>Einrichtung des Arbeitsblatts für die Fahrzeugkompatibilität abgeschlossen.</t>
  </si>
  <si>
    <t>Fahrzeugtyp</t>
  </si>
  <si>
    <t>Fahrzeug:</t>
  </si>
  <si>
    <t>Einrichtung des Arbeitsblatts für Fahrzeuge abgeschlossen.</t>
  </si>
  <si>
    <t>Visualisierungshintergrund</t>
  </si>
  <si>
    <t>VRP-Löser</t>
  </si>
  <si>
    <t>VRP Spreadsheet Solver durchgeführt</t>
  </si>
  <si>
    <t>Warmstart?</t>
  </si>
  <si>
    <t>Warnung! Sie ändern die Entfernungsberechnungsparameter, die sich erst dann auf die vorhandenen Entfernungen und -dauern auswirken, wenn Sie sie erneut füllen.</t>
  </si>
  <si>
    <t>Warnung! Sie ändern die Entfernungsdaten, die erst dann in den übrigen vorhandenen Arbeitsblättern angezeigt werden, wenn Sie sie erneut einrichten.</t>
  </si>
  <si>
    <t>Warnung! Sie ändern die Flottengröße, die erst dann in den übrigen vorhandenen Arbeitsblättern angezeigt wird, wenn Sie sie erneut einrichten.</t>
  </si>
  <si>
    <t>Warnung! Sie ändern die Standortdaten, wodurch die aktuelle Lösung möglicherweise nicht realisierbar oder suboptimal wird. Sie werden erst dann in den übrigen vorhandenen Arbeitsblättern angezeigt, wenn Sie sie erneut einrichten.</t>
  </si>
  <si>
    <t>Warnung! Sie ändern die Anzahl der Fahrzeugtypen, die nicht in den vorhandenen Arbeitsblättern für Fahrzeuge, Lösungen oder Visualisierungen berücksichtigt werden, bis Sie sie erneut einrichten.</t>
  </si>
  <si>
    <t>Warnung! Sie ändern die Parameter bezüglich der Einschränkungen für die Lösung, die erst dann im vorhandenen Lösungsarbeitsblatt angezeigt werden, wenn Sie es erneut einrichten. Die aktuelle Lösung ist möglicherweise nicht mehr realisierbar.</t>
  </si>
  <si>
    <t>Warnung! Sie ändern die Parameter für das Visualisierungsarbeitsblatt, die erst dann im Visualisierungsarbeitsblatt angezeigt werden, wenn Sie es erneut einrichten.</t>
  </si>
  <si>
    <t>Warnung! Sie ändern die Fahrzeugdaten, die erst dann in den übrigen vorhandenen Arbeitsblättern angezeigt werden, wenn Sie sie erneut einrichten.</t>
  </si>
  <si>
    <t>Warnung: Entfernungen für die unten aufgeführten Paare wurden nicht ausgefüllt.</t>
  </si>
  <si>
    <t>Warnung: Die Daten haben sich seit dem letzten Solverlauf / der letzten Machbarkeitsprüfung geändert.</t>
  </si>
  <si>
    <t>Arbeitsbeginnzeit</t>
  </si>
  <si>
    <t>Arbeitszeit</t>
  </si>
  <si>
    <t>Arbeitszeitlimit</t>
  </si>
  <si>
    <t>Arbeitsblatt 1. Es müssen Positionen vorhanden sein, damit die Koordinaten bestimmt werden können.</t>
  </si>
  <si>
    <t>Arbeitsblatt 1. Standorte müssen vorhanden sein, damit Standorte sortiert werden können.</t>
  </si>
  <si>
    <t>Arbeitsblätter 1. Für das zu erstellende Entfernungsarbeitsblatt müssen Standorte vorhanden sein.</t>
  </si>
  <si>
    <t>No se pudo encontrar ninguna ruta de conducción entre algunas de las ubicaciones. Compruebe las direcciones y las coordenadas.</t>
  </si>
  <si>
    <t>Numero de clientes</t>
  </si>
  <si>
    <t>Número de depósitos</t>
  </si>
  <si>
    <t>Número de tipos de vehículos</t>
  </si>
  <si>
    <t>Numero de vehiculos</t>
  </si>
  <si>
    <t>Una o más ubicaciones están demasiado lejos de las carreteras. Compruebe las direcciones y las coordenadas.</t>
  </si>
  <si>
    <t>Código abierto, desarrollado por el Dr. Gunes Erdogan (G.Erdogan@bath.ac.uk)</t>
  </si>
  <si>
    <t>Opcional: clave de Bing Maps</t>
  </si>
  <si>
    <t>Importe de recogida</t>
  </si>
  <si>
    <t>Ingrese un valor entero no negativo</t>
  </si>
  <si>
    <t>Ingrese un número entero del 1 al 20</t>
  </si>
  <si>
    <t>Ingrese un número entero de 5 a 200</t>
  </si>
  <si>
    <t>Consulte el manual para modificar la interfaz.</t>
  </si>
  <si>
    <t>Poblando distancias,</t>
  </si>
  <si>
    <t>Poblando Lat / Lon,</t>
  </si>
  <si>
    <t>Beneficio recaudado</t>
  </si>
  <si>
    <t>Razones de inviabilidad detectadas.</t>
  </si>
  <si>
    <t>Recomendación: use 'más rápido'</t>
  </si>
  <si>
    <t>Recomendación: utilice el formato 'código postal, país' para las direcciones</t>
  </si>
  <si>
    <t>Distancias rectilíneas (Manhattan)</t>
  </si>
  <si>
    <t>Depósito de devolución</t>
  </si>
  <si>
    <t>Distancias euclidianas redondeadas</t>
  </si>
  <si>
    <t>Escuela de Administración, Universidad de Bath, 2020.</t>
  </si>
  <si>
    <t>Enviar comentarios / hacer una pregunta</t>
  </si>
  <si>
    <t>Tiempo de servicio</t>
  </si>
  <si>
    <t>Configuración de la hoja de cálculo de distancias, trabajando en el lugar</t>
  </si>
  <si>
    <t>Configuración de la hoja de trabajo de la solución, trabajando en el vehículo</t>
  </si>
  <si>
    <t>Más corto</t>
  </si>
  <si>
    <t>¿Mostrar progreso en la barra de estado?</t>
  </si>
  <si>
    <t>Depósito inicial</t>
  </si>
  <si>
    <t>Lugar de inicio</t>
  </si>
  <si>
    <t>Detener la cuenta</t>
  </si>
  <si>
    <t>Paradas:</t>
  </si>
  <si>
    <t>Entrega sustractiva</t>
  </si>
  <si>
    <t>La última versión del solucionador se puede descargar en: http://people.bath.ac.uk/ge277/vrp-spreadsheet-solver/</t>
  </si>
  <si>
    <t>Hay coordenadas con | latitud | &gt; 90 o | longitud | &gt; 180. Proceder con un fondo en blanco.</t>
  </si>
  <si>
    <t>Debe haber al menos un vehículo disponible para que se cree la hoja de trabajo de la solución.</t>
  </si>
  <si>
    <t>Esto eliminará los datos existentes de distancia, solución y visualización. ¿Quieres continuar?</t>
  </si>
  <si>
    <t>Esto sobrescribirá los datos de distancia existentes y llevará algún tiempo (estimado</t>
  </si>
  <si>
    <t>Esto sobrescribirá los datos de distancia existentes. ¿Quieres continuar?</t>
  </si>
  <si>
    <t>Esto sobrescribirá los datos de ubicación existentes y borrará los datos de distancia y solución. ¿Quieres continuar?</t>
  </si>
  <si>
    <t>Esto sobrescribirá los datos de compatibilidad de vehículos existentes. ¿Quieres continuar?</t>
  </si>
  <si>
    <t>Esto sobrescribirá los datos existentes del vehículo y borrará los datos de visualización y solución. ¿Quieres continuar?</t>
  </si>
  <si>
    <t>Fin de la ventana de tiempo</t>
  </si>
  <si>
    <t>Inicio de la ventana de tiempo</t>
  </si>
  <si>
    <t>Tipo de ventana de tiempo</t>
  </si>
  <si>
    <t>A</t>
  </si>
  <si>
    <t>Se completó la configuración de la hoja de trabajo de compatibilidad del vehículo.</t>
  </si>
  <si>
    <t>Tipo de vehiculo</t>
  </si>
  <si>
    <t>Vehículo:</t>
  </si>
  <si>
    <t>Se completó la configuración de la hoja de trabajo de vehículos.</t>
  </si>
  <si>
    <t>Fondo de visualización</t>
  </si>
  <si>
    <t>Solucionador de VRP</t>
  </si>
  <si>
    <t>Consola VRP Solver</t>
  </si>
  <si>
    <t>Solucionador de hojas de cálculo VRP realizado</t>
  </si>
  <si>
    <t>¿Arranque en caliente?</t>
  </si>
  <si>
    <t>¡Advertencia! Está cambiando los parámetros de cálculo de distancia, que no se reflejarán en las distancias y duraciones existentes hasta que los vuelva a completar.</t>
  </si>
  <si>
    <t>¡Advertencia! Está cambiando los datos de distancia, que no se reflejarán en el resto de las hojas de trabajo existentes hasta que las configure nuevamente.</t>
  </si>
  <si>
    <t>¡Advertencia! Está cambiando el tamaño de la flota, que no se reflejará en el resto de las hojas de trabajo existentes hasta que las configure nuevamente.</t>
  </si>
  <si>
    <t>¡Advertencia! Está cambiando los datos de ubicación, lo que puede hacer que la solución actual sea inviable o subóptima, y ​​no se reflejará en el resto de las hojas de trabajo existentes hasta que las configure nuevamente.</t>
  </si>
  <si>
    <t>¡Advertencia! Está cambiando el número de tipos de vehículos, que no se reflejarán en los vehículos existentes, la solución o las hojas de trabajo de visualización hasta que los configure nuevamente.</t>
  </si>
  <si>
    <t>¡Advertencia! Está cambiando los parámetros relacionados con las restricciones de la solución, que no se reflejarán en la hoja de trabajo de la solución existente hasta que la configure de nuevo. La solución actual puede haberse vuelto inviable.</t>
  </si>
  <si>
    <t>¡Advertencia! Está cambiando los parámetros relacionados con la hoja de trabajo de visualización, que no se reflejarán en la hoja de trabajo de visualización hasta que la configure nuevamente.</t>
  </si>
  <si>
    <t>¡Advertencia! Está cambiando los parámetros de tamaño del problema, que no se reflejarán en las hojas de trabajo existentes hasta que las configure nuevamente.</t>
  </si>
  <si>
    <t>¡Advertencia! Está cambiando los datos del vehículo, que no se reflejarán en el resto de las hojas de trabajo existentes hasta que las configure nuevamente.</t>
  </si>
  <si>
    <t>Advertencia: No se han completado las distancias para los pares siguientes.</t>
  </si>
  <si>
    <t>Advertencia: Los datos han cambiado desde la última ejecución / verificación de viabilidad del solucionador.</t>
  </si>
  <si>
    <t>Hora de inicio del trabajo</t>
  </si>
  <si>
    <t>Tiempo de trabajo</t>
  </si>
  <si>
    <t>Límite de tiempo de trabajo</t>
  </si>
  <si>
    <t>Hoja de trabajo 1. Deben existir ubicaciones para que se determinen las coordenadas.</t>
  </si>
  <si>
    <t>Hoja de trabajo 1. Las ubicaciones deben existir para que las ubicaciones se clasifiquen.</t>
  </si>
  <si>
    <t>Hojas de trabajo 1. Deben existir ubicaciones para que se cree la hoja de trabajo de distancia.</t>
  </si>
  <si>
    <t>Aucun itinéraire routier n'a pu être trouvé entre certains emplacements. Veuillez vérifier les adresses et les coordonnées.</t>
  </si>
  <si>
    <t>Nombre de clients</t>
  </si>
  <si>
    <t>Nombre de dépôts</t>
  </si>
  <si>
    <t>Nombre de types de véhicules</t>
  </si>
  <si>
    <t>Nombre de véhicules</t>
  </si>
  <si>
    <t>Un ou plusieurs emplacements sont trop éloignés des routes. Veuillez vérifier les adresses et les coordonnées.</t>
  </si>
  <si>
    <t>Open source, développé par le Dr Gunes Erdogan (G.Erdogan@bath.ac.uk)</t>
  </si>
  <si>
    <t>Facultatif - Clé Bing Maps</t>
  </si>
  <si>
    <t>Montant du ramassage</t>
  </si>
  <si>
    <t>Veuillez saisir une valeur entière non négative</t>
  </si>
  <si>
    <t>Veuillez saisir un entier de 1 à 20</t>
  </si>
  <si>
    <t>Veuillez saisir un entier de 5 à 200</t>
  </si>
  <si>
    <t>Remplir les distances,</t>
  </si>
  <si>
    <t>Remplir Lat / Lon,</t>
  </si>
  <si>
    <t>Bénéfice collecté</t>
  </si>
  <si>
    <t>Raisons d'infaisabilité détectées.</t>
  </si>
  <si>
    <t>Recommandation: utilisez 'Fastest'</t>
  </si>
  <si>
    <t>Recommandation: utilisez le format «code postal, pays» pour les adresses</t>
  </si>
  <si>
    <t>Distances rectilignes (Manhattan)</t>
  </si>
  <si>
    <t>Dépôt de retour</t>
  </si>
  <si>
    <t>Distances euclidiennes arrondies</t>
  </si>
  <si>
    <t>École de gestion, Université de Bath, 2020.</t>
  </si>
  <si>
    <t>Envoyer des commentaires / poser une question</t>
  </si>
  <si>
    <t>Temps de service</t>
  </si>
  <si>
    <t>Configuration de la feuille de calcul des distances, travail sur site</t>
  </si>
  <si>
    <t>Configuration de la feuille de calcul de la solution, travail sur le véhicule</t>
  </si>
  <si>
    <t>Le plus court</t>
  </si>
  <si>
    <t>Afficher la progression sur la barre d'état?</t>
  </si>
  <si>
    <t>Dépôt de départ</t>
  </si>
  <si>
    <t>Lieu de départ</t>
  </si>
  <si>
    <t>Arrêter le compte</t>
  </si>
  <si>
    <t>Arrêts:</t>
  </si>
  <si>
    <t>Livraison soustractive</t>
  </si>
  <si>
    <t>La dernière version du solveur peut être téléchargée à l'adresse: http://people.bath.ac.uk/ge277/vrp-spreadsheet-solver/</t>
  </si>
  <si>
    <t>Il y a des coordonnées avec | latitude | &gt; 90 ou | longitude | &gt; 180. Continuer avec un arrière-plan vierge.</t>
  </si>
  <si>
    <t>Il doit y avoir au moins un véhicule disponible pour que la feuille de calcul de la solution soit créée.</t>
  </si>
  <si>
    <t>Cela supprimera les données de distance, de solution et de visualisation existantes. Voulez-vous continuer?</t>
  </si>
  <si>
    <t>Cela écrasera les données de distance existantes et prendra un certain temps (estimation</t>
  </si>
  <si>
    <t>Cela écrasera les données de distance existantes. Voulez-vous continuer?</t>
  </si>
  <si>
    <t>Cela écrasera les données de localisation existantes et effacera les données de distance et de solution. Voulez-vous continuer?</t>
  </si>
  <si>
    <t>Cela écrasera les données de compatibilité des véhicules existantes. Voulez-vous continuer?</t>
  </si>
  <si>
    <t>Cela écrasera les données existantes du véhicule et effacera les données de solution et de visualisation. Voulez-vous continuer?</t>
  </si>
  <si>
    <t>Fin de la fenêtre de temps</t>
  </si>
  <si>
    <t>Début de la fenêtre horaire</t>
  </si>
  <si>
    <t>Type de fenêtre de temps</t>
  </si>
  <si>
    <t>À</t>
  </si>
  <si>
    <t>Configuration de la feuille de calcul de compatibilité des véhicules terminée.</t>
  </si>
  <si>
    <t>Type de véhicule</t>
  </si>
  <si>
    <t>Véhicule:</t>
  </si>
  <si>
    <t>Configuration de la feuille de calcul des véhicules terminée.</t>
  </si>
  <si>
    <t>Contexte de visualisation</t>
  </si>
  <si>
    <t>Solveur VRP</t>
  </si>
  <si>
    <t>Console du solveur VRP</t>
  </si>
  <si>
    <t>Solveur de feuille de calcul VRP effectué</t>
  </si>
  <si>
    <t>Démarrage à chaud?</t>
  </si>
  <si>
    <t>Attention</t>
  </si>
  <si>
    <t>Attention! Vous modifiez les paramètres de calcul de distance, qui ne seront pas reflétés sur les distances et durées existantes tant que vous ne les remplissez pas à nouveau.</t>
  </si>
  <si>
    <t>Attention! Vous modifiez les données de distance, qui ne seront pas reflétées sur le reste des feuilles de calcul existantes tant que vous ne les aurez pas reconfigurées.</t>
  </si>
  <si>
    <t>Attention! Vous modifiez la taille du parc, qui ne sera pas reflétée sur le reste des feuilles de calcul existantes jusqu'à ce que vous les configuriez à nouveau.</t>
  </si>
  <si>
    <t>Attention! Vous modifiez les données d'emplacement, ce qui peut rendre la solution actuelle irréalisable ou sous-optimale, et ne sera pas reflétée sur le reste des feuilles de calcul existantes jusqu'à ce que vous les configuriez à nouveau.</t>
  </si>
  <si>
    <t>Attention! Vous modifiez le nombre de types de véhicules, qui ne sera pas reflété sur les feuilles de calcul des véhicules existants, de la solution ou de la visualisation tant que vous ne les aurez pas configurés à nouveau.</t>
  </si>
  <si>
    <t>Attention! Vous modifiez les paramètres concernant les contraintes de la solution, qui ne seront pas reflétées dans la feuille de calcul de la solution existante tant que vous ne l'aurez pas configurée à nouveau. La solution actuelle est peut-être devenue irréalisable.</t>
  </si>
  <si>
    <t>Attention! Vous modifiez les paramètres concernant la feuille de calcul de visualisation, qui ne seront pas reflétés sur la feuille de calcul de visualisation tant que vous ne l'aurez pas configurée à nouveau.</t>
  </si>
  <si>
    <t>Attention! Vous modifiez les paramètres de taille du problème, qui ne seront pas reflétés sur les feuilles de calcul existantes tant que vous ne les aurez pas configurés à nouveau.</t>
  </si>
  <si>
    <t>Attention! Vous modifiez les données du véhicule, qui ne seront pas reflétées sur le reste des feuilles de calcul existantes jusqu'à ce que vous les configuriez à nouveau.</t>
  </si>
  <si>
    <t>Attention: les distances pour les paires ci-dessous n'ont pas été renseignées.</t>
  </si>
  <si>
    <t>Avertissement: les données ont changé depuis la dernière exécution / vérification de faisabilité du solveur.</t>
  </si>
  <si>
    <t>Heure de début du travail</t>
  </si>
  <si>
    <t>Temps de travail</t>
  </si>
  <si>
    <t>Limite du temps de travail</t>
  </si>
  <si>
    <t>Feuille de travail 1. Des emplacements doivent exister pour que les coordonnées soient déterminées.</t>
  </si>
  <si>
    <t>Feuille de travail 1. Des emplacements doivent exister pour que les emplacements soient triés.</t>
  </si>
  <si>
    <t>Feuilles de calcul 1. Des emplacements doivent exister pour que la feuille de calcul de distance soit créée.</t>
  </si>
  <si>
    <t>Non è stato possibile trovare alcun percorso in auto tra alcune località. Si prega di controllare gli indirizzi e le coordinate.</t>
  </si>
  <si>
    <t>Numero di clienti</t>
  </si>
  <si>
    <t>Numero di depositi</t>
  </si>
  <si>
    <t>Numero di tipi di veicoli</t>
  </si>
  <si>
    <t>Numero di veicoli</t>
  </si>
  <si>
    <t>Una o più località sono troppo lontane dalle strade. Si prega di controllare gli indirizzi e le coordinate.</t>
  </si>
  <si>
    <t>Open source, sviluppato dal Dr Gunes Erdogan (G.Erdogan@bath.ac.uk)</t>
  </si>
  <si>
    <t>Facoltativo: chiave Bing Maps</t>
  </si>
  <si>
    <t>Importo del ritiro</t>
  </si>
  <si>
    <t>Inserisci un valore intero non negativo</t>
  </si>
  <si>
    <t>Inserisci un numero intero compreso tra 1 e 20</t>
  </si>
  <si>
    <t>Inserisci un numero intero compreso tra 5 e 200</t>
  </si>
  <si>
    <t>Distanze di popolazione,</t>
  </si>
  <si>
    <t>Popolazione Lat / Lon,</t>
  </si>
  <si>
    <t>Utile raccolto</t>
  </si>
  <si>
    <t>Motivi dell'infattibilità rilevati.</t>
  </si>
  <si>
    <t>Consiglio: usa "Fastest"</t>
  </si>
  <si>
    <t>Raccomandazione: utilizza il formato "codice postale, paese" per gli indirizzi</t>
  </si>
  <si>
    <t>Distanze rettilinee (Manhattan)</t>
  </si>
  <si>
    <t>Deposito di ritorno</t>
  </si>
  <si>
    <t>Distanze euclidee arrotondate</t>
  </si>
  <si>
    <t>School of Management, Università di Bath, 2020.</t>
  </si>
  <si>
    <t>Invia feedback / fai una domanda</t>
  </si>
  <si>
    <t>Tempo di servizio</t>
  </si>
  <si>
    <t>Impostazione del foglio di lavoro delle distanze, lavoro sulla posizione</t>
  </si>
  <si>
    <t>Impostazione del foglio di lavoro della soluzione, lavorando sul veicolo</t>
  </si>
  <si>
    <t>Il più breve</t>
  </si>
  <si>
    <t>Mostrare i progressi sulla barra di stato?</t>
  </si>
  <si>
    <t>Deposito di partenza</t>
  </si>
  <si>
    <t>Luogo di partenza</t>
  </si>
  <si>
    <t>Smetti di contare</t>
  </si>
  <si>
    <t>Fermate:</t>
  </si>
  <si>
    <t>Consegna sottrattiva</t>
  </si>
  <si>
    <t>L'ultima versione del solutore può essere scaricata all'indirizzo: http://people.bath.ac.uk/ge277/vrp-spreadsheet-solver/</t>
  </si>
  <si>
    <t>Ci sono coordinate con | latitudine | &gt; 90 o | longitudine | &gt; 180. Procedendo con uno sfondo bianco.</t>
  </si>
  <si>
    <t>Per poter creare il foglio di lavoro della soluzione deve essere disponibile almeno un veicolo.</t>
  </si>
  <si>
    <t>Ciò eliminerà i dati esistenti di distanza, soluzione e visualizzazione. Vuoi continuare?</t>
  </si>
  <si>
    <t>Questo sovrascriverà i dati sulla distanza esistenti e richiederà del tempo (stimato</t>
  </si>
  <si>
    <t>Questo sovrascriverà i dati di distanza esistenti. Vuoi continuare?</t>
  </si>
  <si>
    <t>Ciò sovrascriverà i dati di posizione esistenti e cancellerà i dati sulla distanza e sulla soluzione. Vuoi continuare?</t>
  </si>
  <si>
    <t>Questo sovrascriverà i dati di compatibilità del veicolo esistenti. Vuoi continuare?</t>
  </si>
  <si>
    <t>Ciò sovrascriverà i dati del veicolo esistenti e cancellerà i dati della soluzione e della visualizzazione. Vuoi continuare?</t>
  </si>
  <si>
    <t>Fine della finestra temporale</t>
  </si>
  <si>
    <t>Inizio della finestra temporale</t>
  </si>
  <si>
    <t>Tipo di finestra temporale</t>
  </si>
  <si>
    <t>Per</t>
  </si>
  <si>
    <t>Configurazione del foglio di lavoro per la compatibilità del veicolo completata.</t>
  </si>
  <si>
    <t>Tipo di veicolo</t>
  </si>
  <si>
    <t>Veicolo:</t>
  </si>
  <si>
    <t>Configurazione del foglio di lavoro dei veicoli completata.</t>
  </si>
  <si>
    <t>Sfondo di visualizzazione</t>
  </si>
  <si>
    <t>Risolutore VRP</t>
  </si>
  <si>
    <t>Console risolutore VRP</t>
  </si>
  <si>
    <t>Risolutore di fogli di calcolo VRP eseguito</t>
  </si>
  <si>
    <t>Inizio caldo?</t>
  </si>
  <si>
    <t>Avvertimento! Stai modificando i parametri di calcolo della distanza, che non si rifletteranno sulle distanze e sulle durate esistenti finché non li popolerai di nuovo.</t>
  </si>
  <si>
    <t>Avvertimento! Stai modificando i dati sulla distanza, che non si rifletteranno sul resto dei fogli di lavoro esistenti finché non li imposterai di nuovo.</t>
  </si>
  <si>
    <t>Avvertimento! Stai modificando le dimensioni della flotta, che non si rifletterà sul resto dei fogli di lavoro esistenti fino a quando non li configurerai di nuovo.</t>
  </si>
  <si>
    <t>Avvertimento! Stai modificando i dati sulla posizione, il che potrebbe rendere la soluzione corrente non fattibile o non ottimale e non si rifletterà sul resto dei fogli di lavoro esistenti finché non li configurerai di nuovo.</t>
  </si>
  <si>
    <t>Avvertimento! Stai modificando il numero di tipi di veicolo, che non si rifletterà sui veicoli esistenti, sulla soluzione o sui fogli di lavoro di visualizzazione fino a quando non li configurerai di nuovo.</t>
  </si>
  <si>
    <t>Avvertimento! Stai modificando i parametri relativi ai vincoli per la soluzione, che non si rifletteranno sul foglio di lavoro della soluzione esistente finché non lo imposterai di nuovo. L'attuale soluzione potrebbe essere diventata irrealizzabile.</t>
  </si>
  <si>
    <t>Avvertimento! Stai modificando i parametri relativi al foglio di lavoro della visualizzazione, che non si rifletteranno sul foglio di lavoro della visualizzazione finché non lo imposterai di nuovo.</t>
  </si>
  <si>
    <t>Avvertimento! Stai modificando i dati del veicolo, che non si rifletteranno sul resto dei fogli di lavoro esistenti fino a quando non li configurerai di nuovo.</t>
  </si>
  <si>
    <t>Avvertenza: le distanze per le coppie seguenti non sono state popolate.</t>
  </si>
  <si>
    <t>Avvertenza: i dati sono cambiati dall'ultima esecuzione / verifica di fattibilità del risolutore.</t>
  </si>
  <si>
    <t>Ora di inizio del lavoro</t>
  </si>
  <si>
    <t>Orario di lavoro</t>
  </si>
  <si>
    <t>Limite di tempo di lavoro</t>
  </si>
  <si>
    <t>Foglio di lavoro 1. Devono esistere posizioni per determinare le coordinate.</t>
  </si>
  <si>
    <t>Foglio di lavoro 1. Le posizioni devono esistere per poter ordinare le posizioni.</t>
  </si>
  <si>
    <t>Fogli di lavoro 1. Per creare il foglio di lavoro della distanza devono esistere posizioni.</t>
  </si>
  <si>
    <t>Nenhuma rota de condução foi encontrada entre alguns dos locais. Verifique os endereços e as coordenadas.</t>
  </si>
  <si>
    <t>Número de clientes</t>
  </si>
  <si>
    <t>Número de tipos de veículos</t>
  </si>
  <si>
    <t>Número de veículos</t>
  </si>
  <si>
    <t>Um ou mais locais estão muito longe de qualquer estrada. Verifique os endereços e as coordenadas.</t>
  </si>
  <si>
    <t>Código aberto, desenvolvido pelo Dr. Gunes Erdogan (G.Erdogan@bath.ac.uk)</t>
  </si>
  <si>
    <t>Opcional - Chave do Bing Maps</t>
  </si>
  <si>
    <t>Valor de retirada</t>
  </si>
  <si>
    <t>Insira um valor inteiro não negativo</t>
  </si>
  <si>
    <t>Insira um número inteiro de 1 a 20</t>
  </si>
  <si>
    <t>Insira um número inteiro de 5 a 200</t>
  </si>
  <si>
    <t>Preenchendo distâncias,</t>
  </si>
  <si>
    <t>Preenchendo Lat / Lon,</t>
  </si>
  <si>
    <t>Lucro coletado</t>
  </si>
  <si>
    <t>Razões de inviabilidade detectadas.</t>
  </si>
  <si>
    <t>Recomendação: use 'mais rápido'</t>
  </si>
  <si>
    <t>Recomendação: use o formato de 'código postal, país' para endereços</t>
  </si>
  <si>
    <t>Distâncias retilíneas (Manhattan)</t>
  </si>
  <si>
    <t>Depósito de devolução</t>
  </si>
  <si>
    <t>Distâncias euclidianas arredondadas</t>
  </si>
  <si>
    <t>Envie feedback / faça uma pergunta</t>
  </si>
  <si>
    <t>Tempo de serviço</t>
  </si>
  <si>
    <t>Planilha de configuração de distâncias, trabalhando no local</t>
  </si>
  <si>
    <t>Configurando planilha de solução, trabalhando no veículo</t>
  </si>
  <si>
    <t>Mais curto</t>
  </si>
  <si>
    <t>Mostrar progresso na barra de status?</t>
  </si>
  <si>
    <t>Localização inicial</t>
  </si>
  <si>
    <t>Parar a contagem</t>
  </si>
  <si>
    <t>Pára:</t>
  </si>
  <si>
    <t>Entrega subtrativa</t>
  </si>
  <si>
    <t>A versão mais recente do solver pode ser baixada em: http://people.bath.ac.uk/ge277/vrp-spreadsheet-solver/</t>
  </si>
  <si>
    <t>Existem coordenadas com | latitude | &gt; 90 ou | longitude | &gt; 180. Continuando com um fundo em branco.</t>
  </si>
  <si>
    <t>Deve haver pelo menos um veículo disponível para a planilha de solução a ser criada.</t>
  </si>
  <si>
    <t>Isso excluirá os dados existentes de distância, solução e visualização. Você quer continuar?</t>
  </si>
  <si>
    <t>Isso substituirá os dados de distância existentes e levará algum tempo (estimativa</t>
  </si>
  <si>
    <t>Isso substituirá os dados de distância existentes. Você quer continuar?</t>
  </si>
  <si>
    <t>Isso substituirá os dados de localização existentes e apagará os dados de distância e solução. Você quer continuar?</t>
  </si>
  <si>
    <t>Isso substituirá os dados de compatibilidade do veículo existentes. Você quer continuar?</t>
  </si>
  <si>
    <t>Isso sobrescreverá os dados existentes do veículo e apagará os dados de solução e visualização. Você quer continuar?</t>
  </si>
  <si>
    <t>Fim da janela de tempo</t>
  </si>
  <si>
    <t>Início da janela de tempo</t>
  </si>
  <si>
    <t>Tipo de janela de tempo</t>
  </si>
  <si>
    <t>Para</t>
  </si>
  <si>
    <t>Configuração da planilha de compatibilidade do veículo concluída.</t>
  </si>
  <si>
    <t>Tipo de Veículo</t>
  </si>
  <si>
    <t>Veículo:</t>
  </si>
  <si>
    <t>Configuração da planilha de veículos concluída.</t>
  </si>
  <si>
    <t>Fundo de visualização</t>
  </si>
  <si>
    <t>VRP Spreadsheet Solver executado</t>
  </si>
  <si>
    <t>Começo quente?</t>
  </si>
  <si>
    <t>Atenção! Você está alterando os parâmetros de cálculo de distância, que não serão refletidos nas distâncias e durações existentes até que você os preencha novamente.</t>
  </si>
  <si>
    <t>Atenção! Você está alterando os dados de distância, que não serão refletidos no restante das planilhas existentes até que você as configure novamente.</t>
  </si>
  <si>
    <t>Atenção! Você está alterando o tamanho da frota, o que não será refletido no restante das planilhas existentes até que você as configure novamente.</t>
  </si>
  <si>
    <t>Atenção! Você está alterando os dados de localização, o que pode tornar a solução atual inviável ou subótima e não será refletida no restante das planilhas existentes até que você as configure novamente.</t>
  </si>
  <si>
    <t>Atenção! Você está alterando o número de tipos de veículos, o que não será refletido nos veículos, soluções ou planilhas de visualização existentes até que você os configure novamente.</t>
  </si>
  <si>
    <t>Atenção! Você está alterando os parâmetros relativos às restrições para a solução, que não serão refletidas na planilha de solução existente até que você a configure novamente. A solução atual pode ter se tornado inviável.</t>
  </si>
  <si>
    <t>Atenção! Você está alterando os parâmetros relativos à planilha de visualização, que não serão refletidos na planilha de visualização até que você a configure novamente.</t>
  </si>
  <si>
    <t>Atenção! Você está alterando os dados do veículo, que não serão refletidos no restante das planilhas existentes até que você as configure novamente.</t>
  </si>
  <si>
    <t>Aviso: as distâncias para os pares abaixo não foram preenchidas.</t>
  </si>
  <si>
    <t>Aviso: os dados foram alterados desde a última execução do solucionador / verificação de viabilidade.</t>
  </si>
  <si>
    <t>Horário de início do trabalho</t>
  </si>
  <si>
    <t>Expediente</t>
  </si>
  <si>
    <t>Limite de tempo de trabalho</t>
  </si>
  <si>
    <t>Planilha 1. Devem existir locais para que as coordenadas sejam determinadas.</t>
  </si>
  <si>
    <t>Planilha 1. Devem existir locais para que os locais sejam classificados.</t>
  </si>
  <si>
    <t>Planilhas 1. Devem existir locais para que a planilha de distância seja criada.</t>
  </si>
  <si>
    <t>تعذر العثور على مسار قيادة بين بعض المواقع. يرجى التحقق من العناوين والإحداثيات.</t>
  </si>
  <si>
    <t>عدد الزبائن</t>
  </si>
  <si>
    <t>عدد المستودعات</t>
  </si>
  <si>
    <t>عدد أنواع المركبات</t>
  </si>
  <si>
    <t>عدد المركبات</t>
  </si>
  <si>
    <t>موقع واحد أو أكثر بعيد جدًا عن أية طرق. يرجى التحقق من العناوين والإحداثيات.</t>
  </si>
  <si>
    <t>المصدر المفتوح ، من تطوير الدكتور غونيس أردوغان (G.Erdogan@bath.ac.uk)</t>
  </si>
  <si>
    <t>اختياري - مفتاح خرائط Bing</t>
  </si>
  <si>
    <t>مبلغ الاستلام</t>
  </si>
  <si>
    <t>الرجاء إدخال قيمة عدد صحيح غير سالب</t>
  </si>
  <si>
    <t>الرجاء إدخال عدد صحيح من 1 إلى 20</t>
  </si>
  <si>
    <t>الرجاء إدخال عدد صحيح من 5 إلى 200</t>
  </si>
  <si>
    <t>مسافات بالسكان ،</t>
  </si>
  <si>
    <t>السكان لات / لون ،</t>
  </si>
  <si>
    <t>تم جمع الأرباح</t>
  </si>
  <si>
    <t>تم الكشف عن أسباب عدم الجدوى.</t>
  </si>
  <si>
    <t>توصية: استخدم "الأسرع"</t>
  </si>
  <si>
    <t>توصية: استخدم تنسيق "الرمز البريدي ، البلد" للعناوين</t>
  </si>
  <si>
    <t>مسافات مستقيمة (مانهاتن)</t>
  </si>
  <si>
    <t>مستودع العودة</t>
  </si>
  <si>
    <t>مسافات إقليدية مستديرة</t>
  </si>
  <si>
    <t>كلية الإدارة ، جامعة باث ، 2020.</t>
  </si>
  <si>
    <t>إرسال ملاحظات / طرح سؤال</t>
  </si>
  <si>
    <t>وقت الخدمة</t>
  </si>
  <si>
    <t>إعداد ورقة عمل المسافات والعمل على الموقع</t>
  </si>
  <si>
    <t>إعداد ورقة عمل الحل ، والعمل على السيارة</t>
  </si>
  <si>
    <t>أقصر</t>
  </si>
  <si>
    <t>إظهار التقدم على شريط الحالة؟</t>
  </si>
  <si>
    <t>بدء المستودع</t>
  </si>
  <si>
    <t>موقع البدء</t>
  </si>
  <si>
    <t>وقف العد</t>
  </si>
  <si>
    <t>توقف:</t>
  </si>
  <si>
    <t>تسليم مطروح</t>
  </si>
  <si>
    <t>يمكن تنزيل أحدث إصدار من برنامج الحل على</t>
  </si>
  <si>
    <t>يمكن تنزيل أحدث إصدار من برنامج الحلول من: http://people.bath.ac.uk/ge277/vrp-spreadsheet-solver/</t>
  </si>
  <si>
    <t>هناك إحداثيات مع | خط العرض | &gt; 90 أو | خط الطول | &gt; 180. المتابعة بخلفية فارغة.</t>
  </si>
  <si>
    <t>يجب أن تكون هناك مركبة واحدة متاحة على الأقل حتى يتم إنشاء ورقة عمل الحل.</t>
  </si>
  <si>
    <t>سيؤدي هذا إلى حذف بيانات المسافة والحلول والتصور الموجودة. هل تريد الاستمرار؟</t>
  </si>
  <si>
    <t>سيؤدي هذا إلى استبدال بيانات المسافة الحالية ، وسيستغرق بعض الوقت (تقديري</t>
  </si>
  <si>
    <t>سيؤدي هذا إلى الكتابة فوق بيانات المسافة الموجودة. هل تريد الاستمرار؟</t>
  </si>
  <si>
    <t>سيؤدي هذا إلى الكتابة فوق بيانات الموقع الحالية ، ومحو بيانات المسافة والحلول. هل تريد الاستمرار؟</t>
  </si>
  <si>
    <t>سيؤدي هذا إلى الكتابة فوق بيانات توافق السيارة الحالية. هل تريد الاستمرار؟</t>
  </si>
  <si>
    <t>سيؤدي هذا إلى الكتابة فوق بيانات السيارة الموجودة ، ومحو بيانات الحل والتصور. هل تريد الاستمرار؟</t>
  </si>
  <si>
    <t>نهاية النافذة الزمنية</t>
  </si>
  <si>
    <t>تبدأ النافذة الزمنية</t>
  </si>
  <si>
    <t>نوع النافذة الزمنية</t>
  </si>
  <si>
    <t>إلى</t>
  </si>
  <si>
    <t>اكتمل إعداد ورقة عمل توافق السيارة.</t>
  </si>
  <si>
    <t>نوع السيارة</t>
  </si>
  <si>
    <t>مركبة:</t>
  </si>
  <si>
    <t>اكتمل إعداد ورقة عمل المركبات.</t>
  </si>
  <si>
    <t>خلفية التصور</t>
  </si>
  <si>
    <t>وحدة تحكم VRP Solver</t>
  </si>
  <si>
    <t>تم تنفيذ برنامج VRP Spreadsheet Solver</t>
  </si>
  <si>
    <t>بداية دافئة؟</t>
  </si>
  <si>
    <t>تحذير! أنت تقوم بتغيير معلمات حساب المسافة ، والتي لن تنعكس على المسافات والمدد الحالية حتى تقوم بتعبئتها مرة أخرى.</t>
  </si>
  <si>
    <t>تحذير! أنت تقوم بتغيير بيانات المسافة ، والتي لن تنعكس على باقي أوراق العمل الموجودة حتى تقوم بإعدادها مرة أخرى.</t>
  </si>
  <si>
    <t>تحذير! أنت تقوم بتغيير حجم الأسطول ، والذي لن ينعكس على بقية أوراق العمل الحالية حتى تقوم بإعدادها مرة أخرى.</t>
  </si>
  <si>
    <t>تحذير! أنت تقوم بتغيير بيانات الموقع ، مما قد يجعل الحل الحالي غير عملي أو دون المستوى الأمثل ، ولن ينعكس على بقية أوراق العمل الموجودة حتى تقوم بإعدادها مرة أخرى.</t>
  </si>
  <si>
    <t>تحذير! أنت تقوم بتغيير عدد أنواع المركبات ، والتي لن تنعكس على أوراق عمل المركبات أو الحلول أو التصورات الموجودة حتى تقوم بإعدادها مرة أخرى.</t>
  </si>
  <si>
    <t>تحذير! أنت تقوم بتغيير المعلمات المتعلقة بقيود الحل ، والتي لن تنعكس على ورقة عمل الحل الحالية حتى تقوم بإعداده مرة أخرى. ربما أصبح الحل الحالي غير مجدٍ.</t>
  </si>
  <si>
    <t>تحذير! أنت تقوم بتغيير المعلمات المتعلقة بورقة عمل التصور ، والتي لن تنعكس على ورقة عمل التصور حتى تقوم بإعدادها مرة أخرى.</t>
  </si>
  <si>
    <t>تحذير! أنت تقوم بتغيير بيانات السيارة ، والتي لن تنعكس على بقية أوراق العمل الحالية حتى تقوم بإعدادها مرة أخرى.</t>
  </si>
  <si>
    <t>تحذير: لم يتم ملء المسافات الخاصة بالأزواج أدناه.</t>
  </si>
  <si>
    <t>تحذير: تم تغيير البيانات منذ آخر اختبار تشغيل / جدوى للحل.</t>
  </si>
  <si>
    <t>وقت بدء العمل</t>
  </si>
  <si>
    <t>وقت العمل</t>
  </si>
  <si>
    <t>حد وقت العمل</t>
  </si>
  <si>
    <t>ورقة العمل 1 يجب أن تكون المواقع موجودة حتى يتم تحديد الإحداثيات.</t>
  </si>
  <si>
    <t>ورقة العمل 1 يجب أن تكون المواقع موجودة حتى يتم فرز المواقع.</t>
  </si>
  <si>
    <t>أوراق العمل 1. يجب أن تكون المواقع موجودة حتى يتم إنشاء ورقة عمل المسافة.</t>
  </si>
  <si>
    <t>نعم - يمكن القيام بذلك عدة مرات</t>
  </si>
  <si>
    <t>نعم - مرة واحدة فقط في النهاية</t>
  </si>
  <si>
    <t>يمكنك الحصول على مفتاح تجريبي مجاني على https://www.bingmapsportal.com/</t>
  </si>
  <si>
    <t>مفتاح خرائط Bing غير صالح أو انتهت صلاحيته. الإحداثيات المتبقية لن يتم ملؤها.</t>
  </si>
  <si>
    <t>مفتاح خرائط Bing غير صالح أو انتهت صلاحيته. لن يتم ملؤها المسافات المتبقية.</t>
  </si>
  <si>
    <t>أوراق العمل 1- المواقع 2- المسافات 3- المركبات 4- يجب أن يكون الحل موجودًا حتى يعمل الحل الخارجي.</t>
  </si>
  <si>
    <t>أوراق العمل 1. المواقع ، 2.المسافات ، 3. المركبات ، 4. يجب أن يكون الحل موجودًا لفحص عدم الجدوى.</t>
  </si>
  <si>
    <t>أوراق العمل 1. المواقع ، 2.المسافات ، 3. المركبات ، و 4. يجب أن يكون الحل موجودًا لإنشاء ورقة عمل التصور.</t>
  </si>
  <si>
    <t>أوراق العمل 1. المواقع ، 2.المسافات ، 3. المركبات ، و 4. يجب أن يكون الحل موجودًا لكي يعمل برنامج VRP Spreadsheet Solver.</t>
  </si>
  <si>
    <t>أوراق العمل 1. المواقع ، 2.المسافات ، 3. يجب أن تكون المركبات موجودة حتى يتم إنشاء ورقة عمل الحل.</t>
  </si>
  <si>
    <t>أوراق العمل 1. المواقع ، 2.المسافات ، 3. المركبات يجب أن تكون موجودة حتى يتم إنشاء ورقة عمل توافق السيارة.</t>
  </si>
  <si>
    <t>أوراق العمل VRP Solver Console و 1.Locations و 2. يجب أن توجد مسافات للمسافات المراد حسابها.</t>
  </si>
  <si>
    <t>Planilhas 1.Locais, 2.Distâncias, 3.Veículos e 4.A solução deve existir para que o solucionador externo funcione.</t>
  </si>
  <si>
    <t>Planilhas 1.Locais, 2.Distâncias, 3.Veículos e 4.Solução deve existir para a verificação de inviabilidade.</t>
  </si>
  <si>
    <t>Planilhas 1.Locais, 2.Distâncias, 3.Veículos e 4.Solução deve existir para que a planilha de visualização seja criada.</t>
  </si>
  <si>
    <t>Planilhas 1.Locais, 2.Distâncias, 3.Veículos e 4.Solução deve existir para que o VRP Spreadsheet Solver funcione.</t>
  </si>
  <si>
    <t>Planilhas 1.Locais, 2.Distâncias e 3.Veículos devem existir para que a planilha de solução seja criada.</t>
  </si>
  <si>
    <t>Planilhas 1.Locais, 2.Distâncias e 3.Veículos devem existir para que a planilha de compatibilidade do veículo seja criada.</t>
  </si>
  <si>
    <t>Planilhas VRP Solver Console, 1.Locations e 2.Distances devem existir para que as distâncias sejam calculadas.</t>
  </si>
  <si>
    <t>sim</t>
  </si>
  <si>
    <t>Sim - pode fazer isso várias vezes</t>
  </si>
  <si>
    <t>Sim - apenas uma vez no final</t>
  </si>
  <si>
    <t>Você pode obter uma chave de teste gratuita em https://www.bingmapsportal.com/</t>
  </si>
  <si>
    <t>Sua chave do Bing Maps não é válida ou expirou. As coordenadas restantes não serão preenchidas.</t>
  </si>
  <si>
    <t>Sua chave do Bing Maps não é válida ou expirou. As distâncias restantes não serão preenchidas.</t>
  </si>
  <si>
    <t>Fogli di lavoro 1.Locations, 2.Distances, 3.Vehicles e 4.La soluzione deve esistere affinché il risolutore esterno funzioni.</t>
  </si>
  <si>
    <t>Fogli di lavoro 1.Locations, 2.Distances, 3.Vehicles, and 4.La soluzione deve esistere per il controllo di fattibilità.</t>
  </si>
  <si>
    <t>Fogli di lavoro 1.Locations, 2.Distances, 3.Vehicles, and 4.Solution deve esistere per poter creare il foglio di lavoro di visualizzazione.</t>
  </si>
  <si>
    <t>Fogli di lavoro 1.Locations, 2.Distances, 3.Vehicles e 4.Solution deve esistere affinché VRP Spreadsheet Solver funzioni.</t>
  </si>
  <si>
    <t>Fogli di lavoro 1.Locazioni, 2.Distanze e 3.Per poter creare il foglio di lavoro della soluzione devono esistere veicoli.</t>
  </si>
  <si>
    <t>Fogli di lavoro 1.Locazioni, 2.Distanze e 3.I veicoli devono esistere per creare il foglio di lavoro sulla compatibilità del veicolo.</t>
  </si>
  <si>
    <t>Fogli di lavoro VRP Solver Console, 1.Locations e 2.Distances devono esistere per il calcolo delle distanze.</t>
  </si>
  <si>
    <t>sì</t>
  </si>
  <si>
    <t>Sì, può farlo più volte</t>
  </si>
  <si>
    <t>Sì, solo una volta alla fine</t>
  </si>
  <si>
    <t>Puoi ottenere una chiave di prova gratuita su https://www.bingmapsportal.com/</t>
  </si>
  <si>
    <t>La tua chiave Bing Maps non è valida o è scaduta. Le coordinate rimanenti non verranno popolate.</t>
  </si>
  <si>
    <t>La tua chiave Bing Maps non è valida o è scaduta. Le distanze rimanenti non verranno popolate.</t>
  </si>
  <si>
    <t>Les feuilles de calcul 1.Locations, 2.Distances, 3.Vehicles et 4.Solution doivent exister pour que le solveur externe fonctionne.</t>
  </si>
  <si>
    <t>Les feuilles de travail 1.Locations, 2.Distances, 3.Véhicules et 4.Solution doivent exister pour le contrôle d'infaisabilité.</t>
  </si>
  <si>
    <t>Les feuilles de calcul 1.Locations, 2.Distances, 3.Vehicles et 4.Solution doivent exister pour que la feuille de calcul de visualisation soit créée.</t>
  </si>
  <si>
    <t>Les feuilles de calcul 1.Locations, 2.Distances, 3.Vehicles et 4.Solution doivent exister pour que VRP Spreadsheet Solver fonctionne.</t>
  </si>
  <si>
    <t>Les feuilles de calcul 1.Locations, 2.Distances et 3.Vehicles doivent exister pour que la feuille de calcul de solution soit créée.</t>
  </si>
  <si>
    <t>Les feuilles de calcul 1.Localisations, 2.Distances et 3.Véhicules doivent exister pour que la feuille de calcul de compatibilité des véhicules soit créée.</t>
  </si>
  <si>
    <t>Les feuilles de calcul VRP Solver Console, 1.Locations et 2.Distances doivent exister pour que les distances soient calculées.</t>
  </si>
  <si>
    <t>Oui - peut le faire plusieurs fois</t>
  </si>
  <si>
    <t>Oui - une seule fois à la fin</t>
  </si>
  <si>
    <t>Vous pouvez obtenir une clé d'essai gratuite sur https://www.bingmapsportal.com/</t>
  </si>
  <si>
    <t>Votre clé Bing Maps n'est pas valide ou a expiré. Les coordonnées restantes ne seront pas renseignées.</t>
  </si>
  <si>
    <t>Votre clé Bing Maps n'est pas valide ou a expiré. Les distances restantes ne seront pas renseignées.</t>
  </si>
  <si>
    <t>Hojas de trabajo 1. Ubicaciones, 2.Distancias, 3.Vehículos y 4.La solución debe existir para que funcione el solucionador externo.</t>
  </si>
  <si>
    <t>Hojas de trabajo 1. Ubicaciones, 2.Distancias, 3.Vehículos y 4.La solución debe existir para la Verificación de inviabilidad.</t>
  </si>
  <si>
    <t>Hojas de trabajo 1. Ubicaciones, 2.Distancias, 3.Vehículos y 4.La solución debe existir para que se cree la hoja de trabajo de visualización.</t>
  </si>
  <si>
    <t>Hojas de trabajo 1. Ubicaciones, 2.Distancias, 3.Vehículos y 4.La solución debe existir para que VRP Spreadsheet Solver funcione.</t>
  </si>
  <si>
    <t>Las hojas de trabajo 1.Ubicaciones, 2.Distancias y 3.Vehículos deben existir para que se cree la hoja de trabajo de la solución.</t>
  </si>
  <si>
    <t>Las hojas de trabajo 1.Ubicaciones, 2.Distancias y 3.Vehículos deben existir para que se cree la hoja de trabajo de compatibilidad del vehículo.</t>
  </si>
  <si>
    <t>Las hojas de trabajo VRP Solver Console, 1.Locations y 2.Distances deben existir para que se calculen las distancias.</t>
  </si>
  <si>
    <t>si</t>
  </si>
  <si>
    <t>Sí, puede hacerlo varias veces</t>
  </si>
  <si>
    <t>Sí, solo una vez al final</t>
  </si>
  <si>
    <t>Puede obtener una clave de prueba gratuita en https://www.bingmapsportal.com/</t>
  </si>
  <si>
    <t>Su clave de Bing Maps no es válida o ha caducado. Las coordenadas restantes no se completarán.</t>
  </si>
  <si>
    <t>Su clave de Bing Maps no es válida o ha caducado. Las distancias restantes no se completarán.</t>
  </si>
  <si>
    <t>Arbeitsblätter 1.Standorte, 2. Abstände, 3.Fahrzeuge und 4.Lösung müssen vorhanden sein, damit der externe Löser funktioniert.</t>
  </si>
  <si>
    <t>Arbeitsblätter 1. Standorte, 2. Entfernungen, 3. Fahrzeuge und 4. Lösung müssen für die Unmöglichkeitsprüfung vorhanden sein.</t>
  </si>
  <si>
    <t>Arbeitsblätter 1.Standorte, 2. Abstände, 3.Fahrzeuge und 4.Lösung müssen vorhanden sein, damit das Visualisierungsarbeitsblatt erstellt werden kann.</t>
  </si>
  <si>
    <t>Arbeitsblätter 1.Standorte, 2. Abstände, 3.Fahrzeuge und 4.Lösung müssen vorhanden sein, damit VRP Spreadsheet Solver funktioniert.</t>
  </si>
  <si>
    <t>Arbeitsblätter 1. Standorte, 2. Abstände und 3. Fahrzeuge müssen vorhanden sein, damit das Lösungsarbeitsblatt erstellt werden kann.</t>
  </si>
  <si>
    <t>Arbeitsblätter 1. Standorte, 2. Entfernungen und 3. Fahrzeuge müssen vorhanden sein, damit das Arbeitsblatt zur Fahrzeugkompatibilität erstellt werden kann.</t>
  </si>
  <si>
    <t>Arbeitsblätter VRP Solver Console, 1.Locations und 2.Distances müssen vorhanden sein, damit Entfernungen berechnet werden können.</t>
  </si>
  <si>
    <t>Ja - kann dies mehrmals tun</t>
  </si>
  <si>
    <t>Ja - nur einmal am Ende</t>
  </si>
  <si>
    <t>Sie erhalten einen kostenlosen Testschlüssel unter https://www.bingmapsportal.com/</t>
  </si>
  <si>
    <t>Ihr Bing Maps-Schlüssel ist ungültig oder abgelaufen. Verbleibende Koordinaten werden nicht ausgefüllt.</t>
  </si>
  <si>
    <t>Ihr Bing Maps-Schlüssel ist ungültig oder abgelaufen. Verbleibende Entfernungen werden nicht ausgefüllt.</t>
  </si>
  <si>
    <t>Çalışma sayfaları 1. Konumlar, 2. Mesafeler, 3. Araçlar ve 4. Çözüm, harici çözücünün çalışması için mevcut olmalıdır.</t>
  </si>
  <si>
    <t>Çalışma Sayfaları 1. Konumlar, 2. Mesafeler, 3. Araçlar ve 4. Çözüm Olasılık Kontrolü için mevcut olmalıdır.</t>
  </si>
  <si>
    <t>Çalışma Sayfaları 1. Konumlar, 2. Mesafeler, 3. Araçlar ve 4. Çözüm, görselleştirme çalışma sayfasının oluşturulabilmesi için mevcut olmalıdır.</t>
  </si>
  <si>
    <t>Çalışma Sayfaları 1. Konumlar, 2. Mesafeler, 3. Araçlar ve 4. Çözüm, VRP Elektronik Tablo Çözücünün çalışması için mevcut olmalıdır.</t>
  </si>
  <si>
    <t>Çalışma Sayfaları 1. Konumlar, 2. Mesafeler ve 3. Araçlar, çözüm çalışma sayfasının oluşturulabilmesi için mevcut olmalıdır.</t>
  </si>
  <si>
    <t>Çalışma Sayfaları VRP Çözücü Konsolu, 1. Konumlar ve 2. Mesafelerin hesaplanabilmesi için mevcut olması gerekir.</t>
  </si>
  <si>
    <t>Evet - bunu birden çok kez yapabilir</t>
  </si>
  <si>
    <t>Bing Maps anahtarınız geçerli değil veya süresi dolmuş. Kalan koordinatlar doldurulmayacaktır.</t>
  </si>
  <si>
    <t>Bing Maps anahtarınız geçerli değil veya süresi dolmuş. Kalan mesafeler doldurulmayacaktır.</t>
  </si>
  <si>
    <t>https://www.bingmapsportal.com/ adresinden ücretsiz deneme anahtarı edinebilirsiniz.</t>
  </si>
  <si>
    <t>Evet - yalnızca sonda bir kez</t>
  </si>
  <si>
    <t>1.3 İsteğe bağlı - Konumları alfabetik olarak sıralayın</t>
  </si>
  <si>
    <t>4. Çözüm Çalışma Sayfası Kurulumu</t>
  </si>
  <si>
    <t>Tespit edilen olursuzluk nedenleri</t>
  </si>
  <si>
    <t>Mesafeler hesaplanıyor,</t>
  </si>
  <si>
    <t>1.2 İsteğe bağlı - Adresleri kullanarak Enlem / Boylam bulun</t>
  </si>
  <si>
    <t>2.2 İsteğe Bağlı - Mesafeleri hesapla</t>
  </si>
  <si>
    <t>Mesafelerin hesaplanması için tüm koordinatlar girilmelidir.</t>
  </si>
  <si>
    <t>Enlem / Boylam bulundu. Coğrafi kodlama hataları için lütfen Konumlar çalışma sayfasındaki haritayı kontrol edin.</t>
  </si>
  <si>
    <t>Enlem / Boylam bulunuyor,</t>
  </si>
  <si>
    <t>Uyarı! Tekrar hesaplanana kadar mevcut mesafelere ve sürelere yansıtılmayacak olan mesafe hesaplama parametrelerini değiştiriyorsunuz.</t>
  </si>
  <si>
    <t xml:space="preserve">VRP Excel Çözücü </t>
  </si>
  <si>
    <t>Uyarı: Aşağıdaki çiftler için mesafeler hesaplanamadı.</t>
  </si>
  <si>
    <t>Başlangıç deposu</t>
  </si>
  <si>
    <t>Dönüş deposu</t>
  </si>
  <si>
    <t>This will overwrite existing visualization data. By clicking the Yes button below, you confirm that you accept Bing Maps Terms of Service. Do you want to continue?</t>
  </si>
  <si>
    <t xml:space="preserve">Populating the distances using Bing Maps GIS service will overwrite existing distance data and take some time (estimated </t>
  </si>
  <si>
    <t xml:space="preserve"> seconds). By clicking the Yes button below, you confirm that you accept Bing Maps Terms of Service. Do you want to continue?</t>
  </si>
  <si>
    <t>2.2. Mesafeleri Hesaplayın</t>
  </si>
  <si>
    <t>1.2. Adresleri kullanarak Enlem / Boylam bulun</t>
  </si>
  <si>
    <t>Yuvarlanmış Öklid mesafeleri</t>
  </si>
  <si>
    <t>Soft</t>
  </si>
  <si>
    <t>Sert</t>
  </si>
  <si>
    <t>Önce Dağıt Sonra Topla?</t>
  </si>
  <si>
    <t>Bing Haritalar sürüş mesafeleri (km)</t>
  </si>
  <si>
    <t>Bing Haritalar</t>
  </si>
  <si>
    <t>Çalışma Sayfaları 1. Konumlar, 2. Mesafeler ve 3. Araçlar'ın, araç uyumluluk çalışma sayfasının oluşturulması için mevcut olması gerekir.</t>
  </si>
  <si>
    <t>Warning: Last infeasibility check found problems with the solution.</t>
  </si>
  <si>
    <t>More can be found under the detected reasons of infeasibility in the solution worksheet.</t>
  </si>
  <si>
    <t xml:space="preserve">Locations must be contiguous in routes. Violation at: </t>
  </si>
  <si>
    <t xml:space="preserve">There may be at most one return to the starting location. Violation at: </t>
  </si>
  <si>
    <t xml:space="preserve">Every vehicle must return to its return depot. Violation at: </t>
  </si>
  <si>
    <t>The solution has format problems:</t>
  </si>
  <si>
    <t>The capacity of the given fleet is not enough to transport the mandatory supply.</t>
  </si>
  <si>
    <t>There is not enough supply for pickup items to satisfy the demand for pickup items.</t>
  </si>
  <si>
    <t>The capacity of the given fleet is not enough to transport the mandatory demand.</t>
  </si>
  <si>
    <t xml:space="preserve">The supply of location </t>
  </si>
  <si>
    <t xml:space="preserve"> is too large to fit into any vehicle.</t>
  </si>
  <si>
    <t xml:space="preserve">The demand of location </t>
  </si>
  <si>
    <t xml:space="preserve">The service time of location </t>
  </si>
  <si>
    <t xml:space="preserve"> is shorter than its time window.</t>
  </si>
  <si>
    <t xml:space="preserve">The time window start time of location </t>
  </si>
  <si>
    <t xml:space="preserve"> is invalid.</t>
  </si>
  <si>
    <t xml:space="preserve">The time window end time of location </t>
  </si>
  <si>
    <t xml:space="preserve">Location </t>
  </si>
  <si>
    <t xml:space="preserve"> cannot be visited with the given driving time limit.</t>
  </si>
  <si>
    <t xml:space="preserve"> cannot be visited with the given distance limit.</t>
  </si>
  <si>
    <t xml:space="preserve"> must have been visited once (current number of visits: </t>
  </si>
  <si>
    <t xml:space="preserve"> must not be visited.</t>
  </si>
  <si>
    <t xml:space="preserve"> exceeds the working time limit.</t>
  </si>
  <si>
    <t xml:space="preserve"> exceeds the driving time limit.</t>
  </si>
  <si>
    <t xml:space="preserve"> exceeds the distance limit.</t>
  </si>
  <si>
    <t xml:space="preserve"> returns to the starting location past its time window.</t>
  </si>
  <si>
    <t xml:space="preserve">The visit time of location </t>
  </si>
  <si>
    <t xml:space="preserve"> is past its time window.</t>
  </si>
  <si>
    <t xml:space="preserve">Vehicle </t>
  </si>
  <si>
    <t xml:space="preserve"> has a negative pickup amount at stop </t>
  </si>
  <si>
    <t xml:space="preserve"> exceeds its capacity at stop </t>
  </si>
  <si>
    <t xml:space="preserve"> is visiting the incompatible location </t>
  </si>
  <si>
    <t xml:space="preserve">The load of vehicle </t>
  </si>
  <si>
    <t xml:space="preserve"> is not compatible with any vehicle type. </t>
  </si>
  <si>
    <t xml:space="preserve"> is asking for both pickup and delivery, which conflicts with the backhauls option.</t>
  </si>
  <si>
    <t xml:space="preserve"> cannot be served with the given working time limit.</t>
  </si>
  <si>
    <t>The solution is feasible.</t>
  </si>
  <si>
    <t>The solution is infeasible.</t>
  </si>
  <si>
    <t xml:space="preserve">This will take </t>
  </si>
  <si>
    <t xml:space="preserve"> seconds. Do you want to continue?</t>
  </si>
  <si>
    <t>Warning: Last solution returned by the solver does not satisfy all constraints.</t>
  </si>
  <si>
    <t>Nereye</t>
  </si>
  <si>
    <t>Bu, mevcut görselleştirme verilerinin üzerine yazacaktır. Aşağıdaki Evet düğmesini tıklayarak, Bing Haritalar Hizmet Şartları'nı kabul ettiğinizi onaylarsınız. Devam etmek istiyor musun?</t>
  </si>
  <si>
    <t>Bing Maps GIS hizmetini kullanarak mesafeleri doldurmak, mevcut mesafe verilerinin üzerine yazacak ve biraz zaman alacaktır (tahmini</t>
  </si>
  <si>
    <t xml:space="preserve"> saniye). Aşağıdaki Evet düğmesini tıklayarak, Bing Haritalar Hizmet Şartları'nı kabul ettiğinizi onaylarsınız. Devam etmek istiyor musun?</t>
  </si>
  <si>
    <t>Yumuşak</t>
  </si>
  <si>
    <t>Çözüm çalışma sayfasındaki tespit edilen yetersizlik nedenleri altında daha fazlası bulunabilir.</t>
  </si>
  <si>
    <t>Rotalarda konumlar bitişik olmalıdır. İhlal:</t>
  </si>
  <si>
    <t>Başlangıç ​​konumuna en fazla bir dönüş olabilir. İhlal:</t>
  </si>
  <si>
    <t>Her araç, iade deposuna geri dönmelidir. İhlal:</t>
  </si>
  <si>
    <t>Çözümün format sorunları var:</t>
  </si>
  <si>
    <t>Verilen filonun kapasitesi, zorunlu tedariki taşımak için yeterli değil.</t>
  </si>
  <si>
    <t>Teslim alma kalemlerine yönelik talebi karşılayacak kadar yeterli tedarik yok.</t>
  </si>
  <si>
    <t>Verilen filonun kapasitesi, zorunlu talebi taşımak için yeterli değil.</t>
  </si>
  <si>
    <t>Yer temini</t>
  </si>
  <si>
    <t xml:space="preserve"> herhangi bir araca sığamayacak kadar büyük.</t>
  </si>
  <si>
    <t>Yer talebi</t>
  </si>
  <si>
    <t>Konumun hizmet süresi</t>
  </si>
  <si>
    <t xml:space="preserve"> zaman penceresinden daha kısadır.</t>
  </si>
  <si>
    <t>Konumun zaman penceresi başlangıç ​​zamanı</t>
  </si>
  <si>
    <t xml:space="preserve"> geçersizdir.</t>
  </si>
  <si>
    <t>Konumun zaman aralığı bitiş zamanı</t>
  </si>
  <si>
    <t xml:space="preserve"> verilen sürüş süresi sınırı ile ziyaret edilemez.</t>
  </si>
  <si>
    <t xml:space="preserve"> verilen mesafe sınırı ile ziyaret edilemez.</t>
  </si>
  <si>
    <t xml:space="preserve"> bir kez ziyaret edilmiş olmalıdır (mevcut ziyaret sayısı:</t>
  </si>
  <si>
    <t xml:space="preserve"> ziyaret edilmemelidir.</t>
  </si>
  <si>
    <t xml:space="preserve"> çalışma süresi sınırını aşıyor.</t>
  </si>
  <si>
    <t xml:space="preserve"> sürüş süresi sınırını aşıyor.</t>
  </si>
  <si>
    <t xml:space="preserve"> mesafe sınırını aşıyor.</t>
  </si>
  <si>
    <t xml:space="preserve"> zaman penceresinin ötesinde başlangıç ​​konumuna geri döner.</t>
  </si>
  <si>
    <t>Konumun ziyaret süresi</t>
  </si>
  <si>
    <t xml:space="preserve"> zaman penceresini geçti.</t>
  </si>
  <si>
    <t>Araç</t>
  </si>
  <si>
    <t xml:space="preserve"> durma anında kapasitesini aşıyor</t>
  </si>
  <si>
    <t xml:space="preserve"> uyumsuz yeri ziyaret ediyor</t>
  </si>
  <si>
    <t>Aracın yükü</t>
  </si>
  <si>
    <t xml:space="preserve"> herhangi bir araç tipiyle uyumlu değildir.</t>
  </si>
  <si>
    <t xml:space="preserve"> hem teslim alma hem de teslimat talep ediyor, bu da ana taşıyıcı seçeneğiyle çelişiyor.</t>
  </si>
  <si>
    <t xml:space="preserve"> verilen çalışma süresi sınırı ile servis yapılamaz.</t>
  </si>
  <si>
    <t>Çözüm uygulanabilir.</t>
  </si>
  <si>
    <t>Çözüm mümkün değil.</t>
  </si>
  <si>
    <t>Uyarı: Son fizibilite kontrolü, çözümle ilgili sorunlar buldu.</t>
  </si>
  <si>
    <t>Uyarı: Çözücü tarafından döndürülen son çözüm tüm kısıtlamaları karşılamıyor.</t>
  </si>
  <si>
    <t>Dadurch werden vorhandene Visualisierungsdaten überschrieben. Durch Klicken auf die Schaltfläche Ja unten bestätigen Sie, dass Sie die Nutzungsbedingungen von Bing Maps akzeptieren. Wollen Sie fortfahren?</t>
  </si>
  <si>
    <t>Das Auffüllen der Entfernungen mit dem Bing Maps GIS-Dienst überschreibt vorhandene Entfernungsdaten und dauert einige Zeit (geschätzt)</t>
  </si>
  <si>
    <t xml:space="preserve"> Sekunden). Durch Klicken auf die Schaltfläche Ja unten bestätigen Sie, dass Sie die Nutzungsbedingungen von Bing Maps akzeptieren. Wollen Sie fortfahren?</t>
  </si>
  <si>
    <t>Sanft</t>
  </si>
  <si>
    <t>Weitere Informationen finden Sie unter den erkannten Gründen der Unmöglichkeit im Arbeitsblatt der Lösung.</t>
  </si>
  <si>
    <t>Standorte müssen in Routen zusammenhängend sein. Verletzung bei:</t>
  </si>
  <si>
    <t>Es kann höchstens eine Rückkehr zum Startort geben. Verletzung bei:</t>
  </si>
  <si>
    <t>Jedes Fahrzeug muss zu seinem Rückgabedepot zurückkehren. Verletzung bei:</t>
  </si>
  <si>
    <t>Die Lösung hat Formatprobleme:</t>
  </si>
  <si>
    <t>Die Kapazität der jeweiligen Flotte reicht nicht aus, um die obligatorische Versorgung zu transportieren.</t>
  </si>
  <si>
    <t>Es gibt nicht genügend Angebot für Abholartikel, um die Nachfrage nach Abholartikeln zu befriedigen.</t>
  </si>
  <si>
    <t>Die Kapazität der jeweiligen Flotte reicht nicht aus, um den obligatorischen Bedarf zu decken.</t>
  </si>
  <si>
    <t>Die Lieferung von Standort</t>
  </si>
  <si>
    <t xml:space="preserve"> ist zu groß, um in ein Fahrzeug zu passen.</t>
  </si>
  <si>
    <t>Die Nachfrage nach Standort</t>
  </si>
  <si>
    <t>Die Servicezeit des Standorts</t>
  </si>
  <si>
    <t xml:space="preserve"> ist kürzer als sein Zeitfenster.</t>
  </si>
  <si>
    <t>Die Zeitfenster-Startzeit des Standorts</t>
  </si>
  <si>
    <t xml:space="preserve"> ist ungültig.</t>
  </si>
  <si>
    <t>Die Zeitfenster-Endzeit des Standorts</t>
  </si>
  <si>
    <t>Ort</t>
  </si>
  <si>
    <t xml:space="preserve"> kann nicht mit der angegebenen Fahrzeit besucht werden.</t>
  </si>
  <si>
    <t xml:space="preserve"> kann mit dem angegebenen Entfernungslimit nicht besucht werden.</t>
  </si>
  <si>
    <t xml:space="preserve"> muss einmal besucht worden sein (aktuelle Anzahl der Besuche:</t>
  </si>
  <si>
    <t xml:space="preserve"> darf nicht besucht werden.</t>
  </si>
  <si>
    <t xml:space="preserve"> überschreitet das Arbeitszeitlimit.</t>
  </si>
  <si>
    <t xml:space="preserve"> überschreitet das Fahrzeitlimit.</t>
  </si>
  <si>
    <t xml:space="preserve"> überschreitet die Entfernungsgrenze.</t>
  </si>
  <si>
    <t xml:space="preserve"> kehrt nach seinem Zeitfenster zum Startort zurück.</t>
  </si>
  <si>
    <t>Die Besuchszeit des Ortes</t>
  </si>
  <si>
    <t xml:space="preserve"> ist hinter seinem Zeitfenster.</t>
  </si>
  <si>
    <t>Fahrzeug</t>
  </si>
  <si>
    <t xml:space="preserve"> hat einen negativen Abholbetrag am Stopp</t>
  </si>
  <si>
    <t xml:space="preserve"> überschreitet seine Kapazität beim Anhalten</t>
  </si>
  <si>
    <t xml:space="preserve"> besucht den inkompatiblen Ort</t>
  </si>
  <si>
    <t>Die Ladung des Fahrzeugs</t>
  </si>
  <si>
    <t xml:space="preserve"> ist mit keinem Fahrzeugtyp kompatibel.</t>
  </si>
  <si>
    <t xml:space="preserve"> bittet sowohl um Abholung als auch um Lieferung, was im Widerspruch zur Backhauls-Option steht.</t>
  </si>
  <si>
    <t xml:space="preserve"> kann nicht mit der angegebenen Arbeitszeit bedient werden.</t>
  </si>
  <si>
    <t>Die Lösung ist machbar.</t>
  </si>
  <si>
    <t>Die Lösung ist nicht realisierbar.</t>
  </si>
  <si>
    <t>Warnung: Bei der letzten Unmöglichkeitsprüfung wurden Probleme mit der Lösung festgestellt.</t>
  </si>
  <si>
    <t>Dies wird dauern</t>
  </si>
  <si>
    <t xml:space="preserve"> Sekunden. Wollen Sie fortfahren?</t>
  </si>
  <si>
    <t>Warnung: Die letzte vom Solver zurückgegebene Lösung erfüllt nicht alle Einschränkungen.</t>
  </si>
  <si>
    <t>Esto sobrescribirá los datos de visualización existentes. Al hacer clic en el botón Sí a continuación, confirma que acepta los Términos de servicio de Bing Maps. ¿Quieres continuar?</t>
  </si>
  <si>
    <t>Completar las distancias con el servicio GIS de Bing Maps sobrescribirá los datos de distancia existentes y llevará algún tiempo (estimado</t>
  </si>
  <si>
    <t xml:space="preserve"> segundos). Al hacer clic en el botón Sí a continuación, confirma que acepta los Términos de servicio de Bing Maps. ¿Quieres continuar?</t>
  </si>
  <si>
    <t>Suave</t>
  </si>
  <si>
    <t>Se pueden encontrar más en las razones detectadas de inviabilidad en la hoja de trabajo de la solución.</t>
  </si>
  <si>
    <t>Las ubicaciones deben ser contiguas en las rutas. Violación en:</t>
  </si>
  <si>
    <t>Puede haber como máximo un regreso al lugar de inicio. Violación en:</t>
  </si>
  <si>
    <t>Todo vehículo debe regresar a su depósito de devolución. Violación en:</t>
  </si>
  <si>
    <t>La solución tiene problemas de formato:</t>
  </si>
  <si>
    <t>La capacidad de la flota dada no es suficiente para transportar el suministro obligatorio.</t>
  </si>
  <si>
    <t>No hay suficiente suministro de artículos para recoger para satisfacer la demanda de artículos para recoger.</t>
  </si>
  <si>
    <t>La capacidad de la flota dada no es suficiente para transportar la demanda obligatoria.</t>
  </si>
  <si>
    <t>La oferta de ubicación</t>
  </si>
  <si>
    <t xml:space="preserve"> es demasiado grande para caber en cualquier vehículo.</t>
  </si>
  <si>
    <t>La demanda de ubicación</t>
  </si>
  <si>
    <t>El tiempo de servicio de la ubicación.</t>
  </si>
  <si>
    <t xml:space="preserve"> es más corto que su ventana de tiempo.</t>
  </si>
  <si>
    <t>La hora de inicio de la ventana de tiempo de la ubicación</t>
  </si>
  <si>
    <t xml:space="preserve"> no es válido.</t>
  </si>
  <si>
    <t>La hora de finalización de la ventana de tiempo de la ubicación</t>
  </si>
  <si>
    <t>Ubicación</t>
  </si>
  <si>
    <t xml:space="preserve"> no se puede visitar con el límite de tiempo de conducción dado.</t>
  </si>
  <si>
    <t xml:space="preserve"> no se puede visitar con el límite de distancia dado.</t>
  </si>
  <si>
    <t xml:space="preserve"> debe haber sido visitado una vez (número actual de visitas:</t>
  </si>
  <si>
    <t xml:space="preserve"> no debe ser visitado.</t>
  </si>
  <si>
    <t xml:space="preserve"> excede el límite de tiempo de trabajo.</t>
  </si>
  <si>
    <t xml:space="preserve"> excede el límite de tiempo de conducción.</t>
  </si>
  <si>
    <t xml:space="preserve"> excede el límite de distancia.</t>
  </si>
  <si>
    <t xml:space="preserve"> vuelve a la ubicación inicial pasada su ventana de tiempo.</t>
  </si>
  <si>
    <t>La hora de la visita de la ubicación</t>
  </si>
  <si>
    <t xml:space="preserve"> ha pasado su ventana de tiempo.</t>
  </si>
  <si>
    <t>Vehículo</t>
  </si>
  <si>
    <t xml:space="preserve"> tiene una cantidad de recogida negativa en la parada</t>
  </si>
  <si>
    <t xml:space="preserve"> excede su capacidad en parada</t>
  </si>
  <si>
    <t xml:space="preserve"> está visitando la ubicación incompatible</t>
  </si>
  <si>
    <t>La carga del vehículo</t>
  </si>
  <si>
    <t xml:space="preserve"> no es compatible con ningún tipo de vehículo.</t>
  </si>
  <si>
    <t xml:space="preserve"> solicita tanto la recogida como la entrega, lo que entra en conflicto con la opción de backhauls.</t>
  </si>
  <si>
    <t xml:space="preserve"> no se puede servir con el límite de tiempo de trabajo dado.</t>
  </si>
  <si>
    <t>La solución es factible.</t>
  </si>
  <si>
    <t>La solución es inviable.</t>
  </si>
  <si>
    <t>Advertencia: la última comprobación de inviabilidad encontró problemas con la solución.</t>
  </si>
  <si>
    <t>Esto tomará</t>
  </si>
  <si>
    <t xml:space="preserve"> segundos. ¿Quieres continuar?</t>
  </si>
  <si>
    <t>Advertencia: la última solución devuelta por el solucionador no satisface todas las restricciones.</t>
  </si>
  <si>
    <t>Cela écrasera les données de visualisation existantes. En cliquant sur le bouton Oui ci-dessous, vous confirmez que vous acceptez les conditions d'utilisation de Bing Maps. Voulez-vous continuer?</t>
  </si>
  <si>
    <t>Le remplissage des distances à l'aide du service SIG Bing Maps écrasera les données de distance existantes et prendra un certain temps (estimation</t>
  </si>
  <si>
    <t xml:space="preserve"> secondes). En cliquant sur le bouton Oui ci-dessous, vous confirmez que vous acceptez les conditions d'utilisation de Bing Maps. Voulez-vous continuer?</t>
  </si>
  <si>
    <t>Doux</t>
  </si>
  <si>
    <t>Plus d'informations peuvent être trouvées sous les raisons détectées d'infaisabilité dans la feuille de calcul de la solution.</t>
  </si>
  <si>
    <t>Les emplacements doivent être contigus dans les itinéraires. Violation à:</t>
  </si>
  <si>
    <t>Il peut y avoir au plus un retour au point de départ. Violation à:</t>
  </si>
  <si>
    <t>Chaque véhicule doit retourner à son dépôt de retour. Violation à:</t>
  </si>
  <si>
    <t>La solution a des problèmes de format:</t>
  </si>
  <si>
    <t>La capacité de la flotte donnée n'est pas suffisante pour transporter l'approvisionnement obligatoire.</t>
  </si>
  <si>
    <t>L'offre d'articles à ramasser n'est pas suffisante pour satisfaire la demande d'articles à ramasser.</t>
  </si>
  <si>
    <t>La capacité de la flotte donnée n'est pas suffisante pour transporter la demande obligatoire.</t>
  </si>
  <si>
    <t>L'offre de localisation</t>
  </si>
  <si>
    <t xml:space="preserve"> est trop grand pour s'adapter à un véhicule.</t>
  </si>
  <si>
    <t>La demande de localisation</t>
  </si>
  <si>
    <t>Le temps de service de l'emplacement</t>
  </si>
  <si>
    <t xml:space="preserve"> est plus courte que sa fenêtre de temps.</t>
  </si>
  <si>
    <t>L'heure de début de la fenêtre horaire de l'emplacement</t>
  </si>
  <si>
    <t xml:space="preserve"> est invalide.</t>
  </si>
  <si>
    <t>L'heure de fin de la fenêtre de temps de l'emplacement</t>
  </si>
  <si>
    <t>Emplacement</t>
  </si>
  <si>
    <t xml:space="preserve"> ne peut pas être visité avec le temps de conduite donné.</t>
  </si>
  <si>
    <t xml:space="preserve"> ne peut pas être visité avec la limite de distance donnée.</t>
  </si>
  <si>
    <t xml:space="preserve"> doit avoir été visité une fois (nombre actuel de visites:</t>
  </si>
  <si>
    <t xml:space="preserve"> ne doit pas être visité.</t>
  </si>
  <si>
    <t xml:space="preserve"> dépasse la limite du temps de travail.</t>
  </si>
  <si>
    <t xml:space="preserve"> dépasse la limite de temps de conduite.</t>
  </si>
  <si>
    <t xml:space="preserve"> dépasse la limite de distance.</t>
  </si>
  <si>
    <t xml:space="preserve"> revient à l'emplacement de départ après sa fenêtre de temps.</t>
  </si>
  <si>
    <t>L'heure de la visite du lieu</t>
  </si>
  <si>
    <t xml:space="preserve"> a dépassé sa fenêtre de temps.</t>
  </si>
  <si>
    <t>Véhicule</t>
  </si>
  <si>
    <t xml:space="preserve"> a un montant de retrait négatif à l'arrêt</t>
  </si>
  <si>
    <t xml:space="preserve"> dépasse sa capacité à l'arrêt</t>
  </si>
  <si>
    <t xml:space="preserve"> visite l'emplacement incompatible</t>
  </si>
  <si>
    <t>La charge du véhicule</t>
  </si>
  <si>
    <t xml:space="preserve"> n'est compatible avec aucun type de véhicule.</t>
  </si>
  <si>
    <t xml:space="preserve"> demande à la fois le ramassage et la livraison, ce qui entre en conflit avec l'option de retour.</t>
  </si>
  <si>
    <t xml:space="preserve"> ne peut pas être servi avec la limite de temps de travail indiquée.</t>
  </si>
  <si>
    <t>La solution est faisable.</t>
  </si>
  <si>
    <t>La solution est irréalisable.</t>
  </si>
  <si>
    <t>Avertissement: le dernier contrôle d'infaisabilité a détecté des problèmes avec la solution.</t>
  </si>
  <si>
    <t>Cela prendra</t>
  </si>
  <si>
    <t xml:space="preserve"> secondes. Voulez-vous continuer?</t>
  </si>
  <si>
    <t>Attention: la dernière solution retournée par le solveur ne satisfait pas toutes les contraintes.</t>
  </si>
  <si>
    <t>Questo sovrascriverà i dati di visualizzazione esistenti. Facendo clic sul pulsante Sì di seguito, confermi di accettare i Termini di servizio di Bing Maps. Vuoi continuare?</t>
  </si>
  <si>
    <t>Il popolamento delle distanze utilizzando il servizio Bing Maps GIS sovrascriverà i dati di distanza esistenti e richiederà del tempo (stimato</t>
  </si>
  <si>
    <t xml:space="preserve"> secondi). Facendo clic sul pulsante Sì di seguito, confermi di accettare i Termini di servizio di Bing Maps. Vuoi continuare?</t>
  </si>
  <si>
    <t>Morbido</t>
  </si>
  <si>
    <t>Ulteriori informazioni possono essere trovate sotto i motivi di non fattibilità rilevati nel foglio di lavoro della soluzione.</t>
  </si>
  <si>
    <t>Le posizioni devono essere contigue nei percorsi. Violazione a:</t>
  </si>
  <si>
    <t>Può esserci al massimo un ritorno al luogo di partenza. Violazione a:</t>
  </si>
  <si>
    <t>Ogni veicolo deve tornare al proprio deposito di restituzione. Violazione a:</t>
  </si>
  <si>
    <t>La soluzione presenta problemi di formato:</t>
  </si>
  <si>
    <t>La capacità della flotta data non è sufficiente per trasportare la fornitura obbligatoria.</t>
  </si>
  <si>
    <t>L'offerta di articoli da prelevare non è sufficiente per soddisfare la domanda di articoli da prelevare.</t>
  </si>
  <si>
    <t>La capacità della flotta data non è sufficiente per trasportare la domanda obbligatoria.</t>
  </si>
  <si>
    <t>La fornitura di location</t>
  </si>
  <si>
    <t xml:space="preserve"> è troppo grande per entrare in qualsiasi veicolo.</t>
  </si>
  <si>
    <t>La domanda di posizione</t>
  </si>
  <si>
    <t>Il tempo di servizio del luogo</t>
  </si>
  <si>
    <t xml:space="preserve"> è più breve della sua finestra temporale.</t>
  </si>
  <si>
    <t>L'ora di inizio della finestra temporale del luogo</t>
  </si>
  <si>
    <t xml:space="preserve"> è invalido.</t>
  </si>
  <si>
    <t>L'ora di fine della finestra temporale del luogo</t>
  </si>
  <si>
    <t>Posizione</t>
  </si>
  <si>
    <t xml:space="preserve"> non può essere visitato con il limite di tempo di guida indicato.</t>
  </si>
  <si>
    <t xml:space="preserve"> non può essere visitato con il limite di distanza indicato.</t>
  </si>
  <si>
    <t xml:space="preserve"> deve essere stato visitato una volta (numero attuale di visite:</t>
  </si>
  <si>
    <t xml:space="preserve"> non deve essere visitato.</t>
  </si>
  <si>
    <t xml:space="preserve"> supera il limite di tempo di lavoro.</t>
  </si>
  <si>
    <t xml:space="preserve"> supera il limite di tempo di guida.</t>
  </si>
  <si>
    <t xml:space="preserve"> supera il limite di distanza.</t>
  </si>
  <si>
    <t xml:space="preserve"> ritorna alla posizione di partenza oltre la sua finestra temporale.</t>
  </si>
  <si>
    <t>Il tempo di visita del luogo</t>
  </si>
  <si>
    <t xml:space="preserve"> ha superato la sua finestra temporale.</t>
  </si>
  <si>
    <t>Veicolo</t>
  </si>
  <si>
    <t xml:space="preserve"> ha un importo di prelievo negativo allo stop</t>
  </si>
  <si>
    <t xml:space="preserve"> supera la sua capacità all'arresto</t>
  </si>
  <si>
    <t xml:space="preserve"> sta visitando la posizione incompatibile</t>
  </si>
  <si>
    <t>Il carico del veicolo</t>
  </si>
  <si>
    <t xml:space="preserve"> non è compatibile con nessun tipo di veicolo.</t>
  </si>
  <si>
    <t xml:space="preserve"> chiede sia il ritiro che la consegna, il che è in conflitto con l'opzione di backhauls.</t>
  </si>
  <si>
    <t xml:space="preserve"> non può essere servito con il limite di tempo di lavoro specificato.</t>
  </si>
  <si>
    <t>La soluzione è fattibile.</t>
  </si>
  <si>
    <t>La soluzione è irrealizzabile.</t>
  </si>
  <si>
    <t>Attenzione: l'ultimo controllo di non fattibilità ha rilevato problemi con la soluzione.</t>
  </si>
  <si>
    <t>Questo richiederà</t>
  </si>
  <si>
    <t xml:space="preserve"> secondi. Vuoi continuare?</t>
  </si>
  <si>
    <t>Avvertenza: l'ultima soluzione restituita dal risolutore non soddisfa tutti i vincoli.</t>
  </si>
  <si>
    <t>Isso substituirá os dados de visualização existentes. Ao clicar no botão Sim abaixo, você confirma que aceita os Termos de Serviço do Bing Maps. Você quer continuar?</t>
  </si>
  <si>
    <t>Preencher as distâncias usando o serviço Bing Maps GIS substituirá os dados de distância existentes e levará algum tempo (estimativa</t>
  </si>
  <si>
    <t xml:space="preserve"> segundos). Ao clicar no botão Sim abaixo, você confirma que aceita os Termos de Serviço do Bing Maps. Você quer continuar?</t>
  </si>
  <si>
    <t>Mais informações podem ser encontradas nos motivos de inviabilidade detectados na planilha de soluções.</t>
  </si>
  <si>
    <t>Os locais devem ser contíguos nas rotas. Violação em:</t>
  </si>
  <si>
    <t>Pode haver no máximo um retorno ao local de partida. Violação em:</t>
  </si>
  <si>
    <t>Cada veículo deve retornar ao seu depósito de retorno. Violação em:</t>
  </si>
  <si>
    <t>A solução tem problemas de formato:</t>
  </si>
  <si>
    <t>A capacidade da frota fornecida não é suficiente para transportar o abastecimento obrigatório.</t>
  </si>
  <si>
    <t>Não há suprimento suficiente para itens de coleta para satisfazer a demanda por itens de coleta.</t>
  </si>
  <si>
    <t>A capacidade da frota fornecida não é suficiente para escoar a demanda obrigatória.</t>
  </si>
  <si>
    <t>A oferta de localização</t>
  </si>
  <si>
    <t xml:space="preserve"> é muito grande para caber em qualquer veículo.</t>
  </si>
  <si>
    <t>A demanda de localização</t>
  </si>
  <si>
    <t>O tempo de serviço da localização</t>
  </si>
  <si>
    <t xml:space="preserve"> é mais curto do que sua janela de tempo.</t>
  </si>
  <si>
    <t>A janela de tempo, hora de início do local</t>
  </si>
  <si>
    <t xml:space="preserve"> é inválido.</t>
  </si>
  <si>
    <t>O horário de término da janela de tempo do local</t>
  </si>
  <si>
    <t>Localização</t>
  </si>
  <si>
    <t xml:space="preserve"> não pode ser visitado com o limite de tempo de condução fornecido.</t>
  </si>
  <si>
    <t xml:space="preserve"> não pode ser visitado com o limite de distância fornecido.</t>
  </si>
  <si>
    <t xml:space="preserve"> deve ter sido visitado uma vez (número atual de visitas:</t>
  </si>
  <si>
    <t xml:space="preserve"> não deve ser visitado.</t>
  </si>
  <si>
    <t xml:space="preserve"> excede o limite de tempo de trabalho.</t>
  </si>
  <si>
    <t xml:space="preserve"> excede o limite de tempo de condução.</t>
  </si>
  <si>
    <t xml:space="preserve"> excede o limite de distância.</t>
  </si>
  <si>
    <t xml:space="preserve"> retorna ao local de partida após sua janela de tempo.</t>
  </si>
  <si>
    <t>A hora da visita do local</t>
  </si>
  <si>
    <t xml:space="preserve"> já passou da janela de tempo.</t>
  </si>
  <si>
    <t>Veículo</t>
  </si>
  <si>
    <t xml:space="preserve"> tem um valor de retirada negativo na parada</t>
  </si>
  <si>
    <t xml:space="preserve"> excede sua capacidade na parada</t>
  </si>
  <si>
    <t xml:space="preserve"> está visitando o local incompatível</t>
  </si>
  <si>
    <t>A carga do veículo</t>
  </si>
  <si>
    <t xml:space="preserve"> não é compatível com nenhum tipo de veículo.</t>
  </si>
  <si>
    <t xml:space="preserve"> está pedindo coleta e entrega, o que conflita com a opção de backhauls.</t>
  </si>
  <si>
    <t xml:space="preserve"> não pode ser servido com o limite de tempo de trabalho fornecido.</t>
  </si>
  <si>
    <t>A solução é viável.</t>
  </si>
  <si>
    <t>A solução é inviável.</t>
  </si>
  <si>
    <t>Aviso: A última verificação de inviabilidade encontrou problemas com a solução.</t>
  </si>
  <si>
    <t>Isso vai demorar</t>
  </si>
  <si>
    <t xml:space="preserve"> segundos. Você quer continuar?</t>
  </si>
  <si>
    <t>Aviso: a última solução retornada pelo solucionador não atende a todas as restrições.</t>
  </si>
  <si>
    <t>سيؤدي هذا إلى الكتابة فوق بيانات التصور الموجودة. بالنقر فوق الزر "نعم" أدناه ، فإنك تؤكد قبولك لشروط خدمة خرائط Bing. هل تريد الاستمرار؟</t>
  </si>
  <si>
    <t>سيؤدي ملء المسافات باستخدام خدمة Bing Maps GIS إلى الكتابة فوق بيانات المسافة الحالية وسيستغرق بعض الوقت (تقديري</t>
  </si>
  <si>
    <t xml:space="preserve"> ثواني). بالنقر فوق الزر "نعم" أدناه ، فإنك تؤكد قبولك لشروط خدمة خرائط Bing. هل تريد الاستمرار؟</t>
  </si>
  <si>
    <t>ناعم</t>
  </si>
  <si>
    <t>يمكن العثور على المزيد ضمن الأسباب المكتشفة لعدم الجدوى في ورقة عمل الحل.</t>
  </si>
  <si>
    <t>يجب أن تكون المواقع متجاورة في المسارات. الانتهاك في:</t>
  </si>
  <si>
    <t>قد يكون هناك عودة واحدة على الأكثر إلى موقع البداية. الانتهاك في:</t>
  </si>
  <si>
    <t>يجب أن تعود كل مركبة إلى مستودع العودة الخاص بها. الانتهاك في:</t>
  </si>
  <si>
    <t>الحل به مشاكل في التنسيق:</t>
  </si>
  <si>
    <t>سعة الأسطول المحدد ليست كافية لنقل الإمداد الإلزامي.</t>
  </si>
  <si>
    <t>لا يوجد عرض كافٍ لعناصر الاستلام لتلبية الطلب على عناصر الالتقاط.</t>
  </si>
  <si>
    <t>سعة الأسطول المعين ليست كافية لنقل الطلب الإلزامي.</t>
  </si>
  <si>
    <t>توريد الموقع</t>
  </si>
  <si>
    <t xml:space="preserve"> كبير جدًا بحيث لا يتناسب مع أي مركبة.</t>
  </si>
  <si>
    <t>طلب الموقع</t>
  </si>
  <si>
    <t>وقت خدمة الموقع</t>
  </si>
  <si>
    <t xml:space="preserve"> أقصر من النافذة الزمنية.</t>
  </si>
  <si>
    <t>وقت بدء النافذة الزمنية للموقع</t>
  </si>
  <si>
    <t xml:space="preserve"> غير صالح.</t>
  </si>
  <si>
    <t>وقت انتهاء النافذة الزمنية للموقع</t>
  </si>
  <si>
    <t>موقعك</t>
  </si>
  <si>
    <t xml:space="preserve"> لا يمكن زيارته مع الوقت المحدد للقيادة.</t>
  </si>
  <si>
    <t xml:space="preserve"> لا يمكن زيارته مع حد المسافة المحدد.</t>
  </si>
  <si>
    <t xml:space="preserve"> يجب أن يكون قد تمت زيارته مرة واحدة (عدد الزيارات الحالي:</t>
  </si>
  <si>
    <t xml:space="preserve"> لا يجب زيارته.</t>
  </si>
  <si>
    <t xml:space="preserve"> يتجاوز الحد الزمني للعمل.</t>
  </si>
  <si>
    <t xml:space="preserve"> يتجاوز وقت القيادة.</t>
  </si>
  <si>
    <t xml:space="preserve"> يتجاوز حد المسافة.</t>
  </si>
  <si>
    <t xml:space="preserve"> يعود إلى موقع البداية بعد نافذة الوقت.</t>
  </si>
  <si>
    <t>وقت الزيارة للموقع</t>
  </si>
  <si>
    <t xml:space="preserve"> تجاوز نافذة الوقت.</t>
  </si>
  <si>
    <t>مركبة</t>
  </si>
  <si>
    <t xml:space="preserve"> لديه مبلغ التقاط سلبي عند التوقف</t>
  </si>
  <si>
    <t xml:space="preserve"> يتجاوز قدرتها عند التوقف</t>
  </si>
  <si>
    <t xml:space="preserve"> يقوم بزيارة الموقع غير المتوافق</t>
  </si>
  <si>
    <t>حمولة السيارة</t>
  </si>
  <si>
    <t xml:space="preserve"> غير متوافق مع أي نوع من المركبات.</t>
  </si>
  <si>
    <t xml:space="preserve"> يطلب كل من الاستلام والتسليم ، وهو ما يتعارض مع خيار التوصيل.</t>
  </si>
  <si>
    <t xml:space="preserve"> لا يمكن تقديمه مع حد وقت العمل المحدد.</t>
  </si>
  <si>
    <t>الحل ممكن.</t>
  </si>
  <si>
    <t>الحل غير ممكن.</t>
  </si>
  <si>
    <t>تحذير: كشف اختبار عدم الجدوى الأخير عن مشاكل في الحل.</t>
  </si>
  <si>
    <t>هذا سوف يستغرق</t>
  </si>
  <si>
    <t xml:space="preserve"> ثواني. هل تريد الاستمرار؟</t>
  </si>
  <si>
    <t>تحذير: الحل الأخير الذي تم إرجاعه بواسطة المحلل لا يفي بجميع القيود.</t>
  </si>
  <si>
    <t xml:space="preserve">Konum </t>
  </si>
  <si>
    <t>Sürüş süresi</t>
  </si>
  <si>
    <t>Incompatible</t>
  </si>
  <si>
    <t>غير متوافق</t>
  </si>
  <si>
    <t>Incompatível</t>
  </si>
  <si>
    <t>Incompatibile</t>
  </si>
  <si>
    <t>Unvereinbar</t>
  </si>
  <si>
    <t>Uyumsuz</t>
  </si>
  <si>
    <t xml:space="preserve"> complete.</t>
  </si>
  <si>
    <t>By clicking the Yes button below, you confirm that you accept Bing Maps Terms of Service. Do you want to continue?</t>
  </si>
  <si>
    <t>Mesafeler hesaplandı.</t>
  </si>
  <si>
    <t>Mesafeler hesaplandı. Bir bağlantı hatası nedeniyle bazı mesafeler eksik.</t>
  </si>
  <si>
    <t>Constructive phase...</t>
  </si>
  <si>
    <t>LNS algorithm running...</t>
  </si>
  <si>
    <t xml:space="preserve">Starting LNS iteration </t>
  </si>
  <si>
    <t xml:space="preserve">. Best total net profit so far: </t>
  </si>
  <si>
    <t xml:space="preserve"> out of </t>
  </si>
  <si>
    <t>Aşağıdaki Evet düğmesini tıklayarak, Bing Haritalar Hizmet Şartları'nı kabul ettiğinizi onaylarsınız. Devam etmek istiyor musun?</t>
  </si>
  <si>
    <t>Yapıcı aşama ...</t>
  </si>
  <si>
    <t>LNS algoritması çalışıyor ...</t>
  </si>
  <si>
    <t>LNS yinelemesini başlatma</t>
  </si>
  <si>
    <t>. Şimdiye kadarki en iyi toplam net kar:</t>
  </si>
  <si>
    <t xml:space="preserve">  dışında</t>
  </si>
  <si>
    <t>Komplett.</t>
  </si>
  <si>
    <t>Durch Klicken auf die Schaltfläche Ja unten bestätigen Sie, dass Sie die Nutzungsbedingungen von Bing Maps akzeptieren. Wollen Sie fortfahren?</t>
  </si>
  <si>
    <t>Konstruktive Phase ...</t>
  </si>
  <si>
    <t>LNS-Algorithmus läuft ...</t>
  </si>
  <si>
    <t>Starten der LNS-Iteration</t>
  </si>
  <si>
    <t>. Bester Gesamtnettogewinn bisher:</t>
  </si>
  <si>
    <t xml:space="preserve">  aus</t>
  </si>
  <si>
    <t>completar.</t>
  </si>
  <si>
    <t>Al hacer clic en el botón Sí a continuación, confirma que acepta los Términos de servicio de Bing Maps. ¿Quieres continuar?</t>
  </si>
  <si>
    <t>Fase constructiva ...</t>
  </si>
  <si>
    <t>Algoritmo LNS en ejecución ...</t>
  </si>
  <si>
    <t>Inicio de la iteración LNS</t>
  </si>
  <si>
    <t>. Mejor beneficio neto total hasta ahora:</t>
  </si>
  <si>
    <t xml:space="preserve">  fuera de</t>
  </si>
  <si>
    <t>Achevée.</t>
  </si>
  <si>
    <t>En cliquant sur le bouton Oui ci-dessous, vous confirmez que vous acceptez les conditions d'utilisation de Bing Maps. Voulez-vous continuer?</t>
  </si>
  <si>
    <t>Phase constructive ...</t>
  </si>
  <si>
    <t>Algorithme LNS en cours d'exécution ...</t>
  </si>
  <si>
    <t>Démarrage de l'itération LNS</t>
  </si>
  <si>
    <t>. Meilleur bénéfice net total à ce jour:</t>
  </si>
  <si>
    <t xml:space="preserve">  hors de</t>
  </si>
  <si>
    <t>completare.</t>
  </si>
  <si>
    <t>Facendo clic sul pulsante Sì di seguito, confermi di accettare i Termini di servizio di Bing Maps. Vuoi continuare?</t>
  </si>
  <si>
    <t>Fase costruttiva ...</t>
  </si>
  <si>
    <t>Algoritmo LNS in esecuzione ...</t>
  </si>
  <si>
    <t>Avvio dell'iterazione LNS</t>
  </si>
  <si>
    <t>. Miglior profitto netto totale finora:</t>
  </si>
  <si>
    <t xml:space="preserve">  fuori da</t>
  </si>
  <si>
    <t>completo.</t>
  </si>
  <si>
    <t>Ao clicar no botão Sim abaixo, você confirma que aceita os Termos de Serviço do Bing Maps. Você quer continuar?</t>
  </si>
  <si>
    <t>Fase construtiva ...</t>
  </si>
  <si>
    <t>Algoritmo LNS em execução ...</t>
  </si>
  <si>
    <t>Iniciando a iteração LNS</t>
  </si>
  <si>
    <t>. Melhor lucro líquido total até agora:</t>
  </si>
  <si>
    <t xml:space="preserve">  fora de</t>
  </si>
  <si>
    <t>اكتمال.</t>
  </si>
  <si>
    <t>بالنقر فوق الزر "نعم" أدناه ، فإنك تؤكد قبولك لشروط خدمة خرائط Bing. هل تريد الاستمرار؟</t>
  </si>
  <si>
    <t>المرحلة البناءة ...</t>
  </si>
  <si>
    <t>تشغيل خوارزمية LNS ...</t>
  </si>
  <si>
    <t>بدء تكرار LNS</t>
  </si>
  <si>
    <t>. أفضل إجمالي صافي ربح حتى الآن:</t>
  </si>
  <si>
    <t xml:space="preserve">  بعيدا عن المكان</t>
  </si>
  <si>
    <t xml:space="preserve">The best found solution after </t>
  </si>
  <si>
    <t xml:space="preserve"> LNS iterations does not satisfy all constraints. Do you want to overwrite the current solution with the best found solution?</t>
  </si>
  <si>
    <t>أفضل حل وجد بعد</t>
  </si>
  <si>
    <t xml:space="preserve">  تكرارات LNS لا تفي بجميع القيود. هل تريد استبدال الحل الحالي بأفضل الحلول الموجودة؟</t>
  </si>
  <si>
    <t>A melhor solução encontrada após</t>
  </si>
  <si>
    <t xml:space="preserve">  As iterações LNS não satisfazem todas as restrições. Quer substituir a solução atual pela melhor solução encontrada?</t>
  </si>
  <si>
    <t>La migliore soluzione trovata dopo</t>
  </si>
  <si>
    <t xml:space="preserve">  Le iterazioni LNS non soddisfano tutti i vincoli. Vuoi sovrascrivere la soluzione corrente con la migliore soluzione trovata?</t>
  </si>
  <si>
    <t>La meilleure solution trouvée après</t>
  </si>
  <si>
    <t xml:space="preserve">  Les itérations LNS ne satisfont pas toutes les contraintes. Voulez-vous remplacer la solution actuelle par la meilleure solution trouvée?</t>
  </si>
  <si>
    <t>La mejor solución encontrada después</t>
  </si>
  <si>
    <t xml:space="preserve">  Las iteraciones de LNS no satisfacen todas las restricciones. ¿Quiere sobrescribir la solución actual con la mejor solución encontrada?</t>
  </si>
  <si>
    <t>Die am besten gefundene Lösung nach</t>
  </si>
  <si>
    <t xml:space="preserve">  LNS-Iterationen erfüllen nicht alle Einschränkungen. Möchten Sie die aktuelle Lösung mit der am besten gefundenen Lösung überschreiben?</t>
  </si>
  <si>
    <r>
      <rPr>
        <sz val="11"/>
        <color rgb="FFFFFFFF"/>
        <rFont val="Calibri"/>
        <family val="2"/>
        <scheme val="minor"/>
      </rPr>
      <t>B</t>
    </r>
    <r>
      <rPr>
        <sz val="11"/>
        <color indexed="9"/>
        <rFont val="Calibri"/>
        <family val="2"/>
        <scheme val="minor"/>
      </rPr>
      <t>ulunan en iyi çözüm</t>
    </r>
  </si>
  <si>
    <t xml:space="preserve"> tüm kısıtlamaları karşılamıyor. Bulunan en iyi çözümü mevcut çözümün üzerine yazmak ister misiniz?</t>
  </si>
  <si>
    <t xml:space="preserve"> tamamlandı.</t>
  </si>
  <si>
    <t>El ile veri girişi</t>
  </si>
  <si>
    <t xml:space="preserve"> durakta teslim alma miktari negatif</t>
  </si>
  <si>
    <t>(Teslim alma miktarı; Teslimat miktarı)</t>
  </si>
  <si>
    <t xml:space="preserve">Recommendation: At least </t>
  </si>
  <si>
    <t xml:space="preserve"> seconds</t>
  </si>
  <si>
    <t>Öneri: En azından</t>
  </si>
  <si>
    <t xml:space="preserve">  saniye</t>
  </si>
  <si>
    <t>Empfehlung: Zumindest</t>
  </si>
  <si>
    <t xml:space="preserve">  Sekunden</t>
  </si>
  <si>
    <t>Recomendación: al menos</t>
  </si>
  <si>
    <t xml:space="preserve">  segundos</t>
  </si>
  <si>
    <t>Recommandation: au moins</t>
  </si>
  <si>
    <t xml:space="preserve">  secondes</t>
  </si>
  <si>
    <t>Raccomandazione: almeno</t>
  </si>
  <si>
    <t xml:space="preserve">  secondi</t>
  </si>
  <si>
    <t>Recomendação: pelo menos</t>
  </si>
  <si>
    <t>التوصية: على الأقل</t>
  </si>
  <si>
    <t xml:space="preserve">  ثواني</t>
  </si>
  <si>
    <t>Special thanks to:</t>
  </si>
  <si>
    <t>Bahasa Indonesia</t>
  </si>
  <si>
    <t>اردو</t>
  </si>
  <si>
    <t>বাংলা</t>
  </si>
  <si>
    <t>Kiswahili</t>
  </si>
  <si>
    <t>Özel teşekkürler:</t>
  </si>
  <si>
    <t>Besonderer Dank an:</t>
  </si>
  <si>
    <t>Agradecimientos especiales a:</t>
  </si>
  <si>
    <t>Remerciement spécial à:</t>
  </si>
  <si>
    <t>Ringraziamenti speciali a:</t>
  </si>
  <si>
    <t>Agradecimentos especiais para:</t>
  </si>
  <si>
    <t>شكر خاص ل:</t>
  </si>
  <si>
    <t>0. Atur ulang</t>
  </si>
  <si>
    <t>0. Atur ulang buku kerja</t>
  </si>
  <si>
    <t>1. Lokasi</t>
  </si>
  <si>
    <t>1.1. Atur Lembar Kerja Lokasi</t>
  </si>
  <si>
    <t>1.2. Isi Lintang / Bujur menggunakan alamat</t>
  </si>
  <si>
    <t>1.3. Urutkan lokasi menurut abjad</t>
  </si>
  <si>
    <t>2. Jarak</t>
  </si>
  <si>
    <t>2.1. Pengaturan Jarak Lembar Kerja</t>
  </si>
  <si>
    <t>2.2. Mengisi Lembar Kerja Jarak</t>
  </si>
  <si>
    <t>3. Kendaraan</t>
  </si>
  <si>
    <t>3.1. Siapkan Lembar Kerja Kendaraan</t>
  </si>
  <si>
    <t>3.2. Siapkan Lembar Kerja Kompatibilitas Kendaraan</t>
  </si>
  <si>
    <t>4. Solusi</t>
  </si>
  <si>
    <t>4.1. Siapkan Lembar Kerja Solusi</t>
  </si>
  <si>
    <t>5. Visualisasi</t>
  </si>
  <si>
    <t>5.1. Siapkan Lembar Kerja Visualisasi</t>
  </si>
  <si>
    <t>6. Pemecah</t>
  </si>
  <si>
    <t>6.1. Libatkan VRP Spreadsheet Solver</t>
  </si>
  <si>
    <t>6.2. Pemeriksaan Kelayakan</t>
  </si>
  <si>
    <t>6.3. Libatkan pemecah eksternal</t>
  </si>
  <si>
    <t>Kirim masukan atau ajukan pertanyaan</t>
  </si>
  <si>
    <t>Tonton video tutorialnya di YouTube</t>
  </si>
  <si>
    <t>Tentang</t>
  </si>
  <si>
    <t>وی آر پی اسپریڈشیٹ حل کرنے والا</t>
  </si>
  <si>
    <t>0. ری سیٹ کریں</t>
  </si>
  <si>
    <t>0. ورک بک کو دوبارہ ترتیب دیں</t>
  </si>
  <si>
    <t>1. مقامات</t>
  </si>
  <si>
    <t>1.1۔ مقامات کی ورک شیٹ سیٹ اپ کریں</t>
  </si>
  <si>
    <t>1.2۔ پتے استعمال کرکے لیٹ / لون آباد کریں</t>
  </si>
  <si>
    <t>1.3۔ حروف تہجی کے لحاظ سے مقامات کی ترتیب دیں</t>
  </si>
  <si>
    <t>2. فاصلے</t>
  </si>
  <si>
    <t>2.1۔ فاصلوں کی ورک شیٹ سیٹ اپ کریں</t>
  </si>
  <si>
    <t>2.2۔ فاصلوں کی ورک شیٹ آباد کریں</t>
  </si>
  <si>
    <t>3. گاڑیاں</t>
  </si>
  <si>
    <t>3.1۔ گاڑیوں کی ورک شیٹ سیٹ اپ کریں</t>
  </si>
  <si>
    <t>3.2۔ گاڑی کی مطابقت کی ورک شیٹ سیٹ اپ کریں</t>
  </si>
  <si>
    <t>4. حل</t>
  </si>
  <si>
    <t>4.1۔ حل ورکشیٹ سیٹ اپ کریں</t>
  </si>
  <si>
    <t>5. تصور</t>
  </si>
  <si>
    <t>5.1۔ ویژوئلائزیشن ورک شیٹ سیٹ اپ کریں</t>
  </si>
  <si>
    <t>6. حل کرنے والا</t>
  </si>
  <si>
    <t>6.1۔ وی آر پی اسپریڈشیٹ سولور کو مشغول کریں</t>
  </si>
  <si>
    <t>6.2۔ فزیبلٹی چیک</t>
  </si>
  <si>
    <t>6.3۔ بیرونی محلول کو مشغول کریں</t>
  </si>
  <si>
    <t>آراء بھیجیں یا کوئی سوال پوچھیں</t>
  </si>
  <si>
    <t>ٹیوٹوریل ویڈیو یوٹیوب پر دیکھیں</t>
  </si>
  <si>
    <t>کے بارے میں</t>
  </si>
  <si>
    <t>ভিআরপি স্প্রেডশিট সলভার</t>
  </si>
  <si>
    <t>0. পুনরায় সেট করুন</t>
  </si>
  <si>
    <t>0. ওয়ার্কবুকটি রিসেট করুন</t>
  </si>
  <si>
    <t>1. অবস্থান</t>
  </si>
  <si>
    <t>1.1। অবস্থানগুলির কার্যপত্রক সেটআপ করুন</t>
  </si>
  <si>
    <t>১.২ ঠিকানা ব্যবহার করে ল্যাট / লনকে জনসংখ্যা দিন</t>
  </si>
  <si>
    <t>1.3। বর্ণমালা অনুসারে অবস্থানগুলি বাছাই করুন</t>
  </si>
  <si>
    <t>2. দূরত্ব</t>
  </si>
  <si>
    <t>2.1। দূরত্বের কার্যপত্রক সেটআপ করুন</t>
  </si>
  <si>
    <t>2.2। দূরত্বের কার্যপত্রকটি পপুলেট করুন</t>
  </si>
  <si>
    <t>3. যানবাহন</t>
  </si>
  <si>
    <t>৩.১০। যানবাহনের কার্যপত্রক সেটআপ করুন</t>
  </si>
  <si>
    <t>3.2। যানবাহনের সামঞ্জস্যতা কার্যপত্রক সেটআপ করুন</t>
  </si>
  <si>
    <t>4. সমাধান</t>
  </si>
  <si>
    <t>4.1। সমাধান কার্যপত্রক সেটআপ করুন</t>
  </si>
  <si>
    <t>৫. ভিজ্যুয়ালাইজেশন</t>
  </si>
  <si>
    <t>5.1। ভিজ্যুয়ালাইজেশন ওয়ার্কশিট সেটআপ করুন</t>
  </si>
  <si>
    <t>6. সমাধানকারী</t>
  </si>
  <si>
    <t>.1.১০। ভিআরপি স্প্রেডশিট সলভার জড়িত</t>
  </si>
  <si>
    <t>6.2। সম্ভাব্যতা যাচাই করুন</t>
  </si>
  <si>
    <t>6.3। বাহ্যিক দ্রাবক জড়িত</t>
  </si>
  <si>
    <t>তথ্য</t>
  </si>
  <si>
    <t>প্রতিক্রিয়া পাঠান বা একটি প্রশ্ন জিজ্ঞাসা করুন</t>
  </si>
  <si>
    <t>টিউটোরিয়াল ভিডিওটি ইউটিউবে দেখুন</t>
  </si>
  <si>
    <t>সম্পর্কিত</t>
  </si>
  <si>
    <t>Solver Lahajedwali ya VRP</t>
  </si>
  <si>
    <t>0. Weka upya</t>
  </si>
  <si>
    <t>0. Rudisha kitabu cha kazi</t>
  </si>
  <si>
    <t>1. Maeneo</t>
  </si>
  <si>
    <t>1.1. Sanidi Karatasi ya Maeneo ya Maeneo</t>
  </si>
  <si>
    <t>1.2. Jaza watu Lat / Lon ukitumia anwani</t>
  </si>
  <si>
    <t>1.3. Panga maeneo kwa herufi</t>
  </si>
  <si>
    <t>2. Umbali</t>
  </si>
  <si>
    <t>2.1. Karatasi ya Kuweka Masafa ya Kusanidi</t>
  </si>
  <si>
    <t>2.2. Karatasi ya Kazi ya Masafa ya Watu</t>
  </si>
  <si>
    <t>3. Magari</t>
  </si>
  <si>
    <t>3.1. Sanidi Karatasi ya Kazi ya Magari</t>
  </si>
  <si>
    <t>3.2. Sanidi Karatasi ya Utangamano wa Magari</t>
  </si>
  <si>
    <t>4. Suluhisho</t>
  </si>
  <si>
    <t>4.1. Sanidi Karatasi ya Kazi ya Suluhisho</t>
  </si>
  <si>
    <t>5. Taswira</t>
  </si>
  <si>
    <t>5.1. Sanidi Karatasi ya Kuona</t>
  </si>
  <si>
    <t>6.1. Shiriki Solver Lahajedwali ya VRP</t>
  </si>
  <si>
    <t>6.2. Upembuzi yakinifu</t>
  </si>
  <si>
    <t>6.3. Shirikisha suluhisho la nje</t>
  </si>
  <si>
    <t>Maelezo</t>
  </si>
  <si>
    <t>Tuma maoni au uliza swali</t>
  </si>
  <si>
    <t>Tazama video ya mafunzo kwenye YouTube</t>
  </si>
  <si>
    <t>Kuhusu</t>
  </si>
  <si>
    <t xml:space="preserve"> haiwezi kutembelewa na kikomo cha umbali uliopewa.</t>
  </si>
  <si>
    <t xml:space="preserve"> haiwezi kutembelewa na kikomo cha wakati wa kuendesha.</t>
  </si>
  <si>
    <t xml:space="preserve"> kamili.</t>
  </si>
  <si>
    <t xml:space="preserve"> inazidi uwezo wake wa kusimama</t>
  </si>
  <si>
    <t xml:space="preserve"> huzidi kikomo cha umbali.</t>
  </si>
  <si>
    <t xml:space="preserve"> huzidi kikomo cha muda wa kuendesha.</t>
  </si>
  <si>
    <t xml:space="preserve"> inazidi kikomo cha muda wa kufanya kazi.</t>
  </si>
  <si>
    <t xml:space="preserve"> ina kiasi kidogo cha kuchukua wakati wa kuacha</t>
  </si>
  <si>
    <t xml:space="preserve"> imetumika kwa maeneo mengi. Tafadhali sahihisha hitilafu na ujaribu tena.</t>
  </si>
  <si>
    <t xml:space="preserve"> inauliza upigaji picha na utoaji, ambayo inakinzana na chaguo la kurudi nyuma.</t>
  </si>
  <si>
    <t xml:space="preserve"> ni batili.</t>
  </si>
  <si>
    <t xml:space="preserve"> haiendani na aina yoyote ya gari.</t>
  </si>
  <si>
    <t xml:space="preserve"> imepita wakati wa saa yake.</t>
  </si>
  <si>
    <t xml:space="preserve"> ni fupi kuliko dirisha la wakati.</t>
  </si>
  <si>
    <t xml:space="preserve"> ni kubwa mno kuweza kutoshea kwenye gari lolote.</t>
  </si>
  <si>
    <t xml:space="preserve"> inatembelea eneo ambalo haliendani</t>
  </si>
  <si>
    <t xml:space="preserve"> Utaftaji wa LNS na kupata suluhisho na faida halisi ya</t>
  </si>
  <si>
    <t xml:space="preserve"> Utaratibu wa LNS hauridhishi vizuizi vyote. Je! Unataka kuweka suluhisho la sasa na suluhisho bora zaidi?</t>
  </si>
  <si>
    <t xml:space="preserve"> lazima ilizuru mara moja (idadi ya sasa ya ziara:</t>
  </si>
  <si>
    <t xml:space="preserve"> haipaswi kutembelewa.</t>
  </si>
  <si>
    <t xml:space="preserve"> nje ya</t>
  </si>
  <si>
    <t xml:space="preserve"> inarudi mahali pa kuanzia zamani ya dirisha la wakati.</t>
  </si>
  <si>
    <t xml:space="preserve"> sekunde</t>
  </si>
  <si>
    <t xml:space="preserve"> sekunde) na andika data zilizopo za uratibu. Kwa kubofya kitufe cha Ndio hapa chini, unathibitisha kwamba unakubali Sheria na Masharti ya Ramani za Bing. Je! Unataka kuendelea?</t>
  </si>
  <si>
    <t xml:space="preserve"> sekunde), na andika data ya suluhisho iliyopo. Je! Unataka kuendelea?</t>
  </si>
  <si>
    <t xml:space="preserve"> sekunde), andika data ya suluhisho iliyopo, na ufute data ya taswira. Je! Unataka kuendelea?</t>
  </si>
  <si>
    <t xml:space="preserve"> sekunde), weka juu data iliyopo ya uratibu, na ufute data ya umbali iliyopo. Kwa kubofya kitufe cha Ndio hapa chini, unathibitisha kwamba unakubali Sheria na Masharti ya Ramani za Bing. Je! Unataka kuendelea?</t>
  </si>
  <si>
    <t xml:space="preserve"> sekunde). Kwa kubofya kitufe cha Ndio hapa chini, unathibitisha kwamba unakubali Sheria na Masharti ya Ramani za Bing. Je! Unataka kuendelea?</t>
  </si>
  <si>
    <t xml:space="preserve"> sekunde). Je! Unataka kuendelea?</t>
  </si>
  <si>
    <t xml:space="preserve"> sekunde. Je! Unataka kuendelea?</t>
  </si>
  <si>
    <t>(Kiasi cha kuchukua, kiasi cha utoaji)</t>
  </si>
  <si>
    <t>(Kuanza kwa dirisha la saa; Mwisho wa dirisha la saa)</t>
  </si>
  <si>
    <t>. Faida kamili ya jumla hadi sasa:</t>
  </si>
  <si>
    <t>. Je! Unataka kuweka suluhisho la sasa na suluhisho bora zaidi?</t>
  </si>
  <si>
    <t>0. Hiari - Rudisha kitabu cha kazi</t>
  </si>
  <si>
    <t>Kiolesura cha 0.</t>
  </si>
  <si>
    <t>Karatasi ya Kazi ya Kuweka Maeneo ya 1.1</t>
  </si>
  <si>
    <t>1.2 Hiari - Jaza watu Lat / Lon kwa kutumia anwani</t>
  </si>
  <si>
    <t>1.3 Hiari - Panga maeneo kwa herufi</t>
  </si>
  <si>
    <t>1. Mahali</t>
  </si>
  <si>
    <t>2.1 Karatasi ya Kuweka Masafa</t>
  </si>
  <si>
    <t>2.2 Hiari - Karatasi ya Kazi ya Masafa ya Watu</t>
  </si>
  <si>
    <t>3. Kuweka Karatasi ya Kazi ya Magari</t>
  </si>
  <si>
    <t>3.1.Utangamano wa Gari</t>
  </si>
  <si>
    <t>4. Karatasi ya Kusanidi Suluhisho</t>
  </si>
  <si>
    <t>4. Azimio</t>
  </si>
  <si>
    <t>5. Hiari - Sanidi Karatasi ya Maonyesho</t>
  </si>
  <si>
    <t>5. Chaguo - Taswira</t>
  </si>
  <si>
    <t>5. Uonekano</t>
  </si>
  <si>
    <t>6.1 Shiriki Kitatuzi cha Lahajedwali ya VRP</t>
  </si>
  <si>
    <t>6.2 Hiari - Angalia upembuzi yakinifu</t>
  </si>
  <si>
    <t>6.3 Hiari - Shirikisha suluhisho la nje</t>
  </si>
  <si>
    <t>6. Suluhisho</t>
  </si>
  <si>
    <t>Ufunguo halali wa Ramani za Bing unahitajika ili Lat / Lon iamuliwe. Unaweza kupata kitufe cha bure kwa https://www.bingmapsportal.com/</t>
  </si>
  <si>
    <t>Ufunguo halali wa Ramani za Bing unahitajika kwa umbali kuamuliwa. Unaweza kupata kitufe cha bure kwa https://www.bingmapsportal.com/</t>
  </si>
  <si>
    <t>Ufunguo halali wa Ramani za Bing unahitajika. Unaweza kupata kitufe cha bure kwa https://www.bingmapsportal.com/</t>
  </si>
  <si>
    <t>Anwani</t>
  </si>
  <si>
    <t>Hitilafu ya anwani</t>
  </si>
  <si>
    <t>Kuratibu zote lazima ziwe pembejeo kwa umbali kuwa na watu.</t>
  </si>
  <si>
    <t>Kuratibu zote lazima ziwe pembejeo kwa laha ya kazi ya Uibuaji.</t>
  </si>
  <si>
    <t>Magari yote lazima yaendane na maeneo yote wakati kuna aina moja ya gari.</t>
  </si>
  <si>
    <t>Wakati wa kuwasili</t>
  </si>
  <si>
    <t>Wastani wa kasi ya gari</t>
  </si>
  <si>
    <t>Kurudishwa nyuma?</t>
  </si>
  <si>
    <t>Ramani za Bing</t>
  </si>
  <si>
    <t>Ramani za Bing zinazoendesha umbali (km)</t>
  </si>
  <si>
    <t>Ramani za Bing zinazoendesha umbali (maili)</t>
  </si>
  <si>
    <t>Ramani za Bing zinaendesha muda</t>
  </si>
  <si>
    <t>Aina ya njia ya Ramani za Bing</t>
  </si>
  <si>
    <t>Umbali wa ndege wa ndege (km)</t>
  </si>
  <si>
    <t>Umbali wa ndege wa ndege (maili)</t>
  </si>
  <si>
    <t>Tupu</t>
  </si>
  <si>
    <t>Kwa kubofya kitufe cha Ndio hapa chini, unathibitisha kwamba unakubali Sheria na Masharti ya Ramani za Bing. Je! Unataka kuendelea?</t>
  </si>
  <si>
    <t>Uwezo</t>
  </si>
  <si>
    <t>Sambamba</t>
  </si>
  <si>
    <t>Awamu ya ujenzi ...</t>
  </si>
  <si>
    <t>Gharama kwa umbali wa kitengo</t>
  </si>
  <si>
    <t>Kikomo cha muda wa CPU (sekunde)</t>
  </si>
  <si>
    <t>Kuchukua nyongeza</t>
  </si>
  <si>
    <t>Mteja</t>
  </si>
  <si>
    <t>Kiasi cha utoaji</t>
  </si>
  <si>
    <t>Wakati wa kuondoka</t>
  </si>
  <si>
    <t>Bohari</t>
  </si>
  <si>
    <t>Kitambulisho cha kwenda</t>
  </si>
  <si>
    <t>Sababu zilizogunduliwa za kutofaulu</t>
  </si>
  <si>
    <t>KANUSHO: SOFUTI HII INATOLEWA 'KAMA ILIYO' NA MAONYESHO YOYOTE AU VIDOKEZO VYA IMANI, PAMOJA NA, LAKINI SI VIKOMO, VIDOKEZO VYA UWEZO WA UWEZO NA UFAHAMU KWA KUSUDI FULANI VIMETANGANYWA. KWA VYOMBO VYOTE MAENDELEO YA ASILI YATAKUWA NA UWAJIBIKA KWA DIRECT, INDIRECT, INCIDENTAL, SPECIAL, EXEMPLARY, AU MADHARA YA KIASI (KUJUMUISHA, LAKINI SIYO NA KIWALIZO, KUTENGENEZA BIDHAA ZA BUDALA AU HUDUMA, DUA ZA DOLA; KUINGILIWA) HATA HIVYO IMESABABISHWA NA KWA nadharia yoyote ya Uwajibikaji, iwe kwa Mkataba, UWAjibikaji wa Mkazo, AU TORT (PAMOJA NA UZEMBE AU VINGINEVYO) INAYOTOKEA KWA NJIA YOYOTE KWA MATUMIZI YA RASIMA HII, HATA IKIWA INASHAHIDIWA NA UWEZO.</t>
  </si>
  <si>
    <t>Umbali</t>
  </si>
  <si>
    <t>Njia ya hesabu ya umbali</t>
  </si>
  <si>
    <t>Kikomo cha umbali</t>
  </si>
  <si>
    <t>Umbali umesafiri</t>
  </si>
  <si>
    <t>Umbali ulijaa.</t>
  </si>
  <si>
    <t>Umbali ulijaa. Umbali fulani haupo kwa sababu ya hitilafu ya unganisho.</t>
  </si>
  <si>
    <t>Usanidi wa karatasi ya umbali umekamilika.</t>
  </si>
  <si>
    <t>Je! Magari yanarudi katika bohari yao?</t>
  </si>
  <si>
    <t>Je! Unataka kuendelea?</t>
  </si>
  <si>
    <t>Usitembelee</t>
  </si>
  <si>
    <t>Wakati wa kuendesha gari</t>
  </si>
  <si>
    <t>Kikomo cha muda wa kuendesha gari</t>
  </si>
  <si>
    <t>Muda</t>
  </si>
  <si>
    <t>Njia ya hesabu ya muda</t>
  </si>
  <si>
    <t>Mzidishaji wa muda</t>
  </si>
  <si>
    <t>Umbali wa Euclidian</t>
  </si>
  <si>
    <t>Kila gari lazima irudi kwenye bohari yake ya kurudi. Ukiukaji saa:</t>
  </si>
  <si>
    <t>Solver ya nje (vrp_spreadsheet_solver.dll) haipatikani. Je! Unataka kuendelea na suluhisho la ndani?</t>
  </si>
  <si>
    <t>প্রদত্ত কাজের সময়সীমা দিয়ে পরিবেশন করা যাবে না।</t>
  </si>
  <si>
    <t xml:space="preserve"> প্রদত্ত দুরত্ব সীমা দিয়ে পরিদর্শন করা যাবে না।</t>
  </si>
  <si>
    <t xml:space="preserve"> প্রদত্ত ড্রাইভিংয়ের সময়সীমা সহ পরিদর্শন করা যাবে না।</t>
  </si>
  <si>
    <t xml:space="preserve"> সম্পূর্ণ</t>
  </si>
  <si>
    <t xml:space="preserve"> স্টপ এ তার ক্ষমতা অতিক্রম করে</t>
  </si>
  <si>
    <t xml:space="preserve"> দূরত্বের সীমা অতিক্রম করে।</t>
  </si>
  <si>
    <t xml:space="preserve"> ড্রাইভিং সময় সীমা অতিক্রম করে।</t>
  </si>
  <si>
    <t xml:space="preserve"> কাজের সময়সীমা অতিক্রম করে।</t>
  </si>
  <si>
    <t xml:space="preserve"> স্টপ এ নেতিবাচক পিকআপ পরিমাণ আছে</t>
  </si>
  <si>
    <t xml:space="preserve"> একাধিক অবস্থানের জন্য ব্যবহার করা হয়েছে। ত্রুটিটি সংশোধন করে আবার চেষ্টা করুন।</t>
  </si>
  <si>
    <t xml:space="preserve"> পিকআপ এবং বিতরণ উভয়ই জিজ্ঞাসা করছে, যা ব্যাকহাল বিকল্পের সাথে দ্বন্দ্ব করে।</t>
  </si>
  <si>
    <t xml:space="preserve"> অবৈধ.</t>
  </si>
  <si>
    <t xml:space="preserve"> কোনও গাড়ির ধরণের সাথে সামঞ্জস্যপূর্ণ নয়।</t>
  </si>
  <si>
    <t xml:space="preserve"> তার সময় উইন্ডো অতীত।</t>
  </si>
  <si>
    <t xml:space="preserve"> এটির সময় উইন্ডোর চেয়ে ছোট।</t>
  </si>
  <si>
    <t xml:space="preserve"> কোনও যানবাহনে ফিট করার জন্য এটি অনেক বড়।</t>
  </si>
  <si>
    <t xml:space="preserve"> বেমানান অবস্থান পরিদর্শন করা হয়</t>
  </si>
  <si>
    <t xml:space="preserve"> LNS পুনরাবৃত্তি এবং এর নিট লাভের সাথে একটি সমাধান খুঁজে পেয়েছে</t>
  </si>
  <si>
    <t xml:space="preserve"> LNS পুনরাবৃত্তি সমস্ত সীমাবদ্ধতা পূরণ করে না। আপনি কি সলিউড পাওয়া সলিউশন সহ বর্তমান সলিউশনটি ওভাররাইট করতে চান?</t>
  </si>
  <si>
    <t xml:space="preserve"> অবশ্যই একবার পরিদর্শন করা হয়েছে (ভিজিটের বর্তমান সংখ্যা:</t>
  </si>
  <si>
    <t xml:space="preserve"> অবশ্যই পরিদর্শন করা হবে না।</t>
  </si>
  <si>
    <t xml:space="preserve"> এর বাইরে</t>
  </si>
  <si>
    <t xml:space="preserve"> সময় উইন্ডো পেরিয়ে প্রারম্ভিক অবস্থানে ফিরে আসে।</t>
  </si>
  <si>
    <t xml:space="preserve"> সেকেন্ড</t>
  </si>
  <si>
    <t xml:space="preserve"> সেকেন্ড) এবং বিদ্যমান স্থানাঙ্ক ডেটা ওভাররাইট করুন। নীচের হ্যাঁ বোতামটি ক্লিক করে, আপনি নিশ্চিত হয়েছিলেন যে আপনি বিং মানচিত্র পরিষেবার শর্তাদি স্বীকার করেছেন। আপনি কি অবিরত করতে চান?</t>
  </si>
  <si>
    <t xml:space="preserve"> সেকেন্ড), এবং বিদ্যমান সমাধানের ডেটা ওভাররাইট করে। আপনি কি অবিরত করতে চান?</t>
  </si>
  <si>
    <t xml:space="preserve"> সেকেন্ড), বিদ্যমান সমাধানের ডেটা ওভাররাইট করুন এবং ভিজ্যুয়ালাইজেশন ডেটা মুছুন। আপনি কি অবিরত করতে চান?</t>
  </si>
  <si>
    <t xml:space="preserve"> সেকেন্ড), বিদ্যমান স্থানাঙ্কের ডেটা ওভাররাইট করুন এবং বিদ্যমান দূরত্বের ডেটা মুছুন। নীচের হ্যাঁ বোতামটি ক্লিক করে, আপনি নিশ্চিত হয়েছিলেন যে আপনি বিং মানচিত্র পরিষেবার শর্তাদি স্বীকার করেছেন। আপনি কি অবিরত করতে চান?</t>
  </si>
  <si>
    <t xml:space="preserve"> সেকেন্ড)। নীচের হ্যাঁ বোতামটি ক্লিক করে, আপনি নিশ্চিত হয়েছিলেন যে আপনি বিং মানচিত্রের পরিষেবার শর্তাদি স্বীকার করেছেন। আপনি কি অবিরত করতে চান?</t>
  </si>
  <si>
    <t xml:space="preserve"> সেকেন্ড)। আপনি কি অবিরত করতে চান?</t>
  </si>
  <si>
    <t xml:space="preserve"> সেকেন্ড আপনি কি অবিরত করতে চান?</t>
  </si>
  <si>
    <t>(পিকআপ পরিমাণ; বিতরণের পরিমাণ)</t>
  </si>
  <si>
    <t>(সময় উইন্ডো শুরু; সময় উইন্ডো শেষ)</t>
  </si>
  <si>
    <t>। এখন পর্যন্ত সেরা মোট নিট লাভ:</t>
  </si>
  <si>
    <t>। আপনি কি সলিউড পাওয়া সলিউশন সহ বর্তমান সলিউশনটি ওভাররাইট করতে চান?</t>
  </si>
  <si>
    <t>0. alচ্ছিক - ওয়ার্কবুকটি রিসেট করুন</t>
  </si>
  <si>
    <t>0. অভ্যন্তরীণ</t>
  </si>
  <si>
    <t>1.1 সেটআপ লোকেশন ওয়ার্কশিট</t>
  </si>
  <si>
    <t>১.২ alচ্ছিক - ঠিকানা ব্যবহার করে ল্যাট / লনকে জনিত করুন</t>
  </si>
  <si>
    <t>1.3 alচ্ছিক - বর্ণমালা অনুসারে অবস্থানগুলি বাছাই করুন</t>
  </si>
  <si>
    <t>1. লোকেশন</t>
  </si>
  <si>
    <t>২.১ সেটআপ দূরত্বের কার্যপত্রক</t>
  </si>
  <si>
    <t>২.২ alচ্ছিক - দূরত্বের কার্যপত্রককে পপুলেট করুন</t>
  </si>
  <si>
    <t>৩. যানবাহনের কার্যপত্রক সেটআপ করুন</t>
  </si>
  <si>
    <t>3.1.ভহিকাল সামঞ্জস্য</t>
  </si>
  <si>
    <t>৩.ভহিকেলস</t>
  </si>
  <si>
    <t>৪. সমাধান সমাধান কার্যপত্রক সেটআপ করুন</t>
  </si>
  <si>
    <t>৫. ptionচ্ছিক - ভিজ্যুয়ালাইজেশন কার্যপত্রক সেটআপ করুন</t>
  </si>
  <si>
    <t>5. alচ্ছিক - ভিজ্যুয়ালাইজেশন</t>
  </si>
  <si>
    <t>5. ভিজুয়ালাইজেশন</t>
  </si>
  <si>
    <t>6.1 ভিআরপি স্প্রেডশিট সলভার জড়িত</t>
  </si>
  <si>
    <t>.2.২ alচ্ছিক - সম্ভাব্যতা পরীক্ষা করা</t>
  </si>
  <si>
    <t>6.3 alচ্ছিক - বহিরাগত দ্রাবক জড়িত</t>
  </si>
  <si>
    <t>6.সোলভার</t>
  </si>
  <si>
    <t>ল্যাট / লন নির্ধারণের জন্য একটি বৈধ বিং মানচিত্র কী প্রয়োজন। আপনি https://www.bingmapsportal.com/ এ একটি ফ্রি কী পেতে পারেন</t>
  </si>
  <si>
    <t>দূরত্ব নির্ধারণের জন্য একটি বৈধ বিং মানচিত্র কী প্রয়োজন। আপনি https://www.bingmapsportal.com/ এ একটি ফ্রি কী পেতে পারেন</t>
  </si>
  <si>
    <t>একটি বৈধ বিং মানচিত্র কী প্রয়োজন। আপনি https://www.bingmapsportal.com/ এ একটি বিনামূল্যে কী পেতে পারেন</t>
  </si>
  <si>
    <t>ঠিকানা</t>
  </si>
  <si>
    <t>ঠিকানার ত্রুটি</t>
  </si>
  <si>
    <t>দূরত্বগুলি পপুলেশন করার জন্য সমস্ত স্থানাঙ্ক অবশ্যই ইনপুট হতে হবে।</t>
  </si>
  <si>
    <t>ভিজ্যুয়ালাইজেশন ওয়ার্কশিটটি তৈরি করার জন্য সমস্ত স্থানাঙ্ক অবশ্যই ইনপুট হতে হবে।</t>
  </si>
  <si>
    <t>যখন একক ধরণের যানবাহন থাকে তখন সমস্ত যানবাহন অবশ্যই সমস্ত অবস্থানের সাথে সামঞ্জস্যপূর্ণ হয়।</t>
  </si>
  <si>
    <t>আগমনের সময়</t>
  </si>
  <si>
    <t>গড় যানবাহনের গতি</t>
  </si>
  <si>
    <t>ব্যাকহালস?</t>
  </si>
  <si>
    <t>বিং মানচিত্র</t>
  </si>
  <si>
    <t>বিং মানচিত্র ড্রাইভিং দূরত্ব (কিমি)</t>
  </si>
  <si>
    <t>বিং মানচিত্র ড্রাইভিং দূরত্ব (মাইল)</t>
  </si>
  <si>
    <t>বিং মানচিত্র ড্রাইভিং সময়কাল</t>
  </si>
  <si>
    <t>বিং মানচিত্রের রুটের ধরণ</t>
  </si>
  <si>
    <t>পাখির বিমান দূরত্ব (কিমি)</t>
  </si>
  <si>
    <t>পাখির বিমান দূরত্ব (মাইল)</t>
  </si>
  <si>
    <t>খালি</t>
  </si>
  <si>
    <t>নীচের হ্যাঁ বোতামটি ক্লিক করে, আপনি নিশ্চিত হয়েছিলেন যে আপনি বিং মানচিত্রের পরিষেবার শর্তাদি স্বীকার করেছেন। আপনি কি অবিরত করতে চান?</t>
  </si>
  <si>
    <t>ক্ষমতা</t>
  </si>
  <si>
    <t>উপযুক্ত</t>
  </si>
  <si>
    <t>গঠনমূলক পর্যায় ...</t>
  </si>
  <si>
    <t>প্রতি ইউনিট দূরত্ব ব্যয়</t>
  </si>
  <si>
    <t>সিপিইউ সময় সীমা (সেকেন্ড)</t>
  </si>
  <si>
    <t>ক্রমযুক্ত পিকআপ</t>
  </si>
  <si>
    <t>ক্রেতা</t>
  </si>
  <si>
    <t>বিতরণ পরিমাণ</t>
  </si>
  <si>
    <t>ছাড়ার সময়</t>
  </si>
  <si>
    <t>ডিপো</t>
  </si>
  <si>
    <t>গন্তব্য আইডি</t>
  </si>
  <si>
    <t>অপ্রাপ্তির কারণ সনাক্ত করা হয়েছে</t>
  </si>
  <si>
    <t>অস্বীকৃতি: এই সফটওয়্যারটি যেমন 'যেমন রয়েছে তেমন সরবরাহ করা হয়েছে' এবং কোনও স্পষ্ট বা আবশ্যক ওয়্যারেন্টিও অন্তর্ভুক্ত নয়, তবে সীমাবদ্ধ নয়, ব্যবসায়ের জন্য উপযুক্ত ব্যবসায়ের দায়বদ্ধতা এবং ফিটনেস এর যথাযথ গ্যারান্টি রয়েছে। কোনও ঘটনায় মূল ডেভেলপারকে যে কোনও অধিকার, স্বতন্ত্র, উদ্বেগ, বিশেষ, উদাহরণস্বরূপ, বা ক্ষতিকারক ক্ষতির জন্য দায়বদ্ধ করা যাবে না (অন্তর্ভুক্ত, তবে কেবলমাত্র সুনির্দিষ্ট বা পরিষেবা সরবরাহকারীর বাছাই করা; হস্তক্ষেপ (দায়বদ্ধতা) বা দায়বদ্ধতার যে কোনও তত্ত্বের ভিত্তিতে, চুক্তি, কঠোর দায়বদ্ধতা বা টর্টের মধ্যে (দায়বদ্ধতা বা অন্য কোনও বিষয় অন্তর্ভুক্ত) এই সফ্টওয়্যারটি ব্যবহারের পরেও যদি এই সফ্টওয়্যারটি ব্যবহার না হয়।</t>
  </si>
  <si>
    <t>দূরত্ব</t>
  </si>
  <si>
    <t>দূরত্ব গণনা পদ্ধতি</t>
  </si>
  <si>
    <t>দূরত্বের সীমা</t>
  </si>
  <si>
    <t>দূরত্ব ভ্রমণ</t>
  </si>
  <si>
    <t>দূরত্ব জনবহুল।</t>
  </si>
  <si>
    <t>দূরত্ব জনবহুল। সংযোগের ত্রুটির কারণে কিছু দূরত্ব অনুপস্থিত।</t>
  </si>
  <si>
    <t>দূরত্বের কার্যপত্রক সেটআপ সম্পূর্ণ।</t>
  </si>
  <si>
    <t>যানবাহনগুলি কি তাদের ডিপোতে ফিরে আসে?</t>
  </si>
  <si>
    <t>আপনি কি অবিরত করতে চান?</t>
  </si>
  <si>
    <t>ভিজিট করবেন না</t>
  </si>
  <si>
    <t>ড্রাইভিং সময়</t>
  </si>
  <si>
    <t>গাড়ি চালনার সময়সীমা</t>
  </si>
  <si>
    <t>সময়কাল</t>
  </si>
  <si>
    <t>সময়কাল গণনা পদ্ধতি</t>
  </si>
  <si>
    <t>সময়কাল গুণক</t>
  </si>
  <si>
    <t>ইউক্লিডিয়ান দূরত্ব</t>
  </si>
  <si>
    <t>প্রতিটি যানবাহনকে অবশ্যই তার রিটার্ন ডিপোতে ফিরে যেতে হবে। লঙ্ঘন এখানে:</t>
  </si>
  <si>
    <t>বাহ্যিক দ্রাবক (vrp_spreadsheet_solver.dll) পাওয়া যায় নি। আপনি কি অভ্যন্তরীণ সমাধানকারী দিয়ে চালিয়ে যেতে চান?</t>
  </si>
  <si>
    <t>کام کرنے کی مقررہ مدت کے ساتھ خدمت نہیں کی جاسکتی ہے۔</t>
  </si>
  <si>
    <t xml:space="preserve"> مقررہ فاصلہ کی حد کے ساتھ دورہ نہیں کیا جاسکتا۔</t>
  </si>
  <si>
    <t xml:space="preserve"> ڈرائیونگ کی دی گئی وقت کی حد کے ساتھ تشریف نہیں لیا جاسکتا۔</t>
  </si>
  <si>
    <t xml:space="preserve"> مکمل</t>
  </si>
  <si>
    <t xml:space="preserve"> اسٹاپ پر اپنی صلاحیت سے تجاوز کرتا ہے</t>
  </si>
  <si>
    <t xml:space="preserve"> فاصلہ کی حد سے تجاوز کر گیا</t>
  </si>
  <si>
    <t xml:space="preserve"> ڈرائیونگ کی وقت کی حد سے تجاوز</t>
  </si>
  <si>
    <t xml:space="preserve"> کام کرنے کے وقت کی حد سے تجاوز کرتا ہے۔</t>
  </si>
  <si>
    <t xml:space="preserve"> اسٹاپ پر لینے کے لئے منفی رقم ہوتی ہے</t>
  </si>
  <si>
    <t xml:space="preserve"> متعدد مقامات کے لئے استعمال کیا گیا ہے۔ براہ کرم غلطی کو درست کریں اور دوبارہ کوشش کریں۔</t>
  </si>
  <si>
    <t xml:space="preserve"> بیک اپ اور ڈلیوری دونوں کے لئے پوچھ رہا ہے ، جو بیک ہاؤس آپشن سے متصادم ہے۔</t>
  </si>
  <si>
    <t xml:space="preserve"> غلط ہے۔</t>
  </si>
  <si>
    <t xml:space="preserve"> کسی بھی قسم کی گاڑی کے ساتھ ہم آہنگ نہیں ہے۔</t>
  </si>
  <si>
    <t xml:space="preserve"> اس کے وقت کی کھڑکی گزر چکی ہے۔</t>
  </si>
  <si>
    <t xml:space="preserve"> اس کے ٹائم ونڈو سے چھوٹا ہے۔</t>
  </si>
  <si>
    <t xml:space="preserve"> کسی بھی گاڑی میں فٹ ہونے کے لئے بہت بڑا ہے۔</t>
  </si>
  <si>
    <t xml:space="preserve"> غیر مطابقت پذیر مقام کا دورہ کر رہا ہے</t>
  </si>
  <si>
    <t xml:space="preserve"> LNS تکرار اور کے خالص منافع کے ساتھ ایک حل تلاش کیا</t>
  </si>
  <si>
    <t xml:space="preserve"> LNS تکرار تمام رکاوٹوں کو پورا نہیں کرتا ہے۔ کیا آپ موجودہ حل کو بہترین مل جانے والے حل کے ساتھ ادلھائ کرنا چاہتے ہیں؟</t>
  </si>
  <si>
    <t xml:space="preserve"> ایک بار ضرور ملاحظہ کیا گیا ہوگا (موجودہ دوروں کی تعداد:</t>
  </si>
  <si>
    <t xml:space="preserve"> دورے نہیں کرنا چاہئے۔</t>
  </si>
  <si>
    <t xml:space="preserve"> سے باہر</t>
  </si>
  <si>
    <t xml:space="preserve"> اپنے وقت کی کھڑکی سے گزرنے والی جگہ پر لوٹتا ہے۔</t>
  </si>
  <si>
    <t xml:space="preserve"> سیکنڈ</t>
  </si>
  <si>
    <t xml:space="preserve"> سیکنڈ) اور موجودہ کوآرڈینیٹ ڈیٹا کو ادلیکھت۔ ذیل میں ہاں کے بٹن پر کلک کرکے ، آپ اس کی تصدیق کرتے ہیں کہ آپ Bing میپ سروس کی شرائط کو قبول کرتے ہیں۔ کیا آپ جاری رکھنا چاہتے ہیں؟</t>
  </si>
  <si>
    <t xml:space="preserve"> سیکنڈ) ، اور موجودہ حل ڈیٹا کو ادلیکھت کریں۔ کیا آپ جاری رکھنا چاہتے ہیں؟</t>
  </si>
  <si>
    <t xml:space="preserve"> سیکنڈز) ، موجودہ حل ڈیٹا کو ادلیکھت کریں ، اور ویژنائزیشن ڈیٹا کو مٹا دیں۔ کیا آپ جاری رکھنا چاہتے ہیں؟</t>
  </si>
  <si>
    <t xml:space="preserve"> سیکنڈ) ، موجودہ کوآرڈینیٹ ڈیٹا کو ادلیکھت کریں ، اور موجودہ فاصلاتی ڈیٹا کو مٹا دیں۔ ذیل میں ہاں کے بٹن پر کلک کرکے ، آپ اس کی تصدیق کرتے ہیں کہ آپ Bing میپ سروس کی شرائط کو قبول کرتے ہیں۔ کیا آپ جاری رکھنا چاہتے ہیں؟</t>
  </si>
  <si>
    <t xml:space="preserve"> سیکنڈ) ذیل میں ہاں کے بٹن پر کلک کرکے ، آپ اس کی تصدیق کرتے ہیں کہ آپ Bing میپ سروس کی شرائط کو قبول کرتے ہیں۔ کیا آپ جاری رکھنا چاہتے ہیں؟</t>
  </si>
  <si>
    <t xml:space="preserve"> سیکنڈ) کیا آپ جاری رکھنا چاہتے ہیں؟</t>
  </si>
  <si>
    <t xml:space="preserve"> سیکنڈ کیا آپ جاری رکھنا چاہتے ہیں؟</t>
  </si>
  <si>
    <t>(اٹھاو رقم Deli ترسیل کی رقم)</t>
  </si>
  <si>
    <t>(ٹائم ونڈو اسٹارٹ Time ٹائم ونڈو کا اختتام)</t>
  </si>
  <si>
    <t>. اب تک کا بہترین مجموعی منافع:</t>
  </si>
  <si>
    <t>. کیا آپ موجودہ حل کو بہترین ڈھونڈنے والے حل کے ساتھ اوور رائٹ کرنا چاہتے ہیں؟</t>
  </si>
  <si>
    <t>0. اختیاری - ورک بک کو دوبارہ ترتیب دیں</t>
  </si>
  <si>
    <t>0. انٹرفیس</t>
  </si>
  <si>
    <t>1.1 سیٹ اپ لوکیشنز ورکشیٹ</t>
  </si>
  <si>
    <t>1.2 اختیاری - لیٹ / لون کو پتوں کا استعمال کرتے ہوئے آباد کریں</t>
  </si>
  <si>
    <t>1.3 اختیاری - حروف تہجی کے مطابق مقامات کی ترتیب دیں</t>
  </si>
  <si>
    <t>2.1 سیٹ اپ فاصلے کی ورک شیٹ</t>
  </si>
  <si>
    <t>2.2 اختیاری - آبادی فاصلوں کی ورک شیٹ</t>
  </si>
  <si>
    <t>3. گاڑیوں کی ورک شیٹ سیٹ اپ کریں</t>
  </si>
  <si>
    <t>3.1. گاڑی کی مطابقت</t>
  </si>
  <si>
    <t>3. گاڑیوں</t>
  </si>
  <si>
    <t>4. حل حلشیٹ ترتیب دیں</t>
  </si>
  <si>
    <t>5. اختیاری - ویژوئلائزیشن ورک اپ سیٹ کریں</t>
  </si>
  <si>
    <t>5. اختیاری - تصور</t>
  </si>
  <si>
    <t>5. ویژنائزیشن</t>
  </si>
  <si>
    <t>6.1 وی آر پی اسپریڈشیٹ سولور میں مشغول رہیں</t>
  </si>
  <si>
    <t>6.2 اختیاری - فزیبلٹی چیک</t>
  </si>
  <si>
    <t>6.3 اختیاری - بیرونی محلول کو مشغول کریں</t>
  </si>
  <si>
    <t>لیٹ / لون کے تعی toن کے ل. ایک درست بنگ میپز کی کی ضرورت ہے۔ آپ https://www.bingmapsportal.com/ پر ایک مفت کلید حاصل کرسکتے ہیں۔</t>
  </si>
  <si>
    <t>فاصلوں کا تعین کرنے کے لئے ایک درست بنگلہ میپس کی ضرورت ہے۔ آپ https://www.bingmapsportal.com/ پر ایک مفت کلید حاصل کرسکتے ہیں۔</t>
  </si>
  <si>
    <t>ایک درست بنگ میپس کی ضرورت ہے۔ آپ https://www.bingmapsportal.com/ پر ایک مفت کلید حاصل کرسکتے ہیں۔</t>
  </si>
  <si>
    <t>پتہ</t>
  </si>
  <si>
    <t>پتہ کی خرابی</t>
  </si>
  <si>
    <t>فاصلوں کی آبادی کے ل All تمام کوآرڈینیٹ لازمی ہیں۔</t>
  </si>
  <si>
    <t>تخلیق کاری کے لئے ضوابط سے متعلق ورک شیٹ کیلئے تمام کوآرڈینیٹ لازمی ہیں۔</t>
  </si>
  <si>
    <t>جب ایک قسم کی گاڑی ہو تو تمام گاڑیوں کو تمام مقامات کے ساتھ ہم آہنگ ہونا چاہئے۔</t>
  </si>
  <si>
    <t>آمد کے وقت</t>
  </si>
  <si>
    <t>اوسطا گاڑی کی رفتار</t>
  </si>
  <si>
    <t>بیک ہاؤسز؟</t>
  </si>
  <si>
    <t>بنگ نقشہ جات</t>
  </si>
  <si>
    <t>بنگ میپس ڈرائیونگ کی دوری (کلومیٹر)</t>
  </si>
  <si>
    <t>بنگ نقشہ جات ڈرائیونگ کی دوری (میل)</t>
  </si>
  <si>
    <t>بنگ نقشہ جات ڈرائیونگ دورانیہ</t>
  </si>
  <si>
    <t>بنگ میپس کے راستے کی قسم</t>
  </si>
  <si>
    <t>پرندوں کی پرواز کا فاصلہ (کلومیٹر)</t>
  </si>
  <si>
    <t>پرندوں کی پرواز کے فاصلے (میل)</t>
  </si>
  <si>
    <t>خالی</t>
  </si>
  <si>
    <t>ذیل میں ہاں کے بٹن پر کلک کرکے ، آپ اس کی تصدیق کرتے ہیں کہ آپ Bing میپ سروس کی شرائط کو قبول کرتے ہیں۔ کیا آپ جاری رکھنا چاہتے ہیں؟</t>
  </si>
  <si>
    <t>اہلیت</t>
  </si>
  <si>
    <t>ہم آہنگ</t>
  </si>
  <si>
    <t>تعمیری مرحلہ ...</t>
  </si>
  <si>
    <t>لاگت فی یونٹ فاصلہ</t>
  </si>
  <si>
    <t>سی پی یو کی وقت کی حد (سیکنڈ)</t>
  </si>
  <si>
    <t>مجموعی اٹھا</t>
  </si>
  <si>
    <t>صارف</t>
  </si>
  <si>
    <t>ترسیل کی رقم</t>
  </si>
  <si>
    <t>روانگی کا وقت</t>
  </si>
  <si>
    <t>ڈپو</t>
  </si>
  <si>
    <t>مطلوبہ شناخت</t>
  </si>
  <si>
    <t>نا اہلیت کی وجوہات کا پتہ لگایا</t>
  </si>
  <si>
    <t>ڈس کلیمر: یہ سافٹ ویئر 'جیسا کہ ہے' فراہم کیا گیا ہے اور کسی بھی قسم کی وضاحت یا تقویت شدہ وارنٹی ، شامل نہیں ہے ، لیکن اس تک محدود نہیں ہے ، کسی خاص مقصد کی فراہمی کے لئے تجارت اور فٹنس کی امتیازی ضمانتیں ہیں۔ کسی بھی واقعے میں اصلی ڈویلپر کو کسی بھی حق ، آزادانہ ، مخصوص ، تجرباتی ، یا مضم نقصانات (شامل نہیں ، لیکن محدود چیزوں کی فراہمی ، خدمات کی فراہمی ، خدمات کی فراہمی ، خدمات کی فراہمی ، خدمات کی فراہمی یا خدمات کی فراہمی ، مداخلت) جب تک معاہدے ، سخت ذمہ داری یا ٹورٹ (معاہدے یا ذمہ داری کے تحت) کسی بھی طرح کی ذمہ داری کی وجہ سے یا اس کے باوجود ، اس سافٹ ویئر کے استعمال سے کہیں زیادہ پیدا نہیں ہوسکتا ہے۔</t>
  </si>
  <si>
    <t>فاصلے</t>
  </si>
  <si>
    <t>فاصلے کی گنتی کا طریقہ</t>
  </si>
  <si>
    <t>فاصلہ کی حد</t>
  </si>
  <si>
    <t>فاصلہ طے کیا</t>
  </si>
  <si>
    <t>فاصلے آباد ہیں۔</t>
  </si>
  <si>
    <t>فاصلے آباد ہیں۔ کنکشن کی خرابی کی وجہ سے کچھ فاصلے غائب ہیں۔</t>
  </si>
  <si>
    <t>فاصلوں کا ورک شیٹ سیٹ اپ مکمل۔</t>
  </si>
  <si>
    <t>کیا گاڑیاں اپنے ڈپو پر واپس آتی ہیں؟</t>
  </si>
  <si>
    <t>کیا آپ جاری رکھنا چاہتے ہیں؟</t>
  </si>
  <si>
    <t>تشریف نہ لائیں</t>
  </si>
  <si>
    <t>ڈرائیونگ کا وقت</t>
  </si>
  <si>
    <t>ڈرائیونگ کی وقت کی حد</t>
  </si>
  <si>
    <t>دورانیہ</t>
  </si>
  <si>
    <t>دورانیہ کی گنتی کا طریقہ</t>
  </si>
  <si>
    <t>دورانیہ ضرب</t>
  </si>
  <si>
    <t>یوکلیڈین دوری</t>
  </si>
  <si>
    <t>ہر گاڑی کو اپنے ریٹرن ڈپو پر لوٹنا ہوگا۔ خلاف ورزی:</t>
  </si>
  <si>
    <t>بیرونی سالور (vrp_spreadsheet_solver.dll) نہیں ملا۔ کیا آپ داخلی محلول جاری رکھنا چاہتے ہیں؟</t>
  </si>
  <si>
    <t>tidak dapat dilayani dengan batas waktu kerja yang ditentukan.</t>
  </si>
  <si>
    <t xml:space="preserve"> tidak dapat dikunjungi dengan batas jarak yang ditentukan.</t>
  </si>
  <si>
    <t xml:space="preserve"> tidak dapat dikunjungi dengan batas waktu mengemudi yang ditentukan.</t>
  </si>
  <si>
    <t xml:space="preserve"> lengkap.</t>
  </si>
  <si>
    <t xml:space="preserve"> melebihi kapasitasnya saat berhenti</t>
  </si>
  <si>
    <t xml:space="preserve"> melebihi batas jarak.</t>
  </si>
  <si>
    <t xml:space="preserve"> melebihi batas waktu mengemudi.</t>
  </si>
  <si>
    <t xml:space="preserve"> melebihi batas waktu kerja.</t>
  </si>
  <si>
    <t xml:space="preserve"> memiliki jumlah pengambilan negatif saat berhenti</t>
  </si>
  <si>
    <t xml:space="preserve"> telah digunakan di banyak lokasi. Harap perbaiki kesalahan dan coba lagi.</t>
  </si>
  <si>
    <t xml:space="preserve"> adalah meminta pengambilan dan pengiriman, yang bertentangan dengan opsi backhaul.</t>
  </si>
  <si>
    <t xml:space="preserve"> tidak valid.</t>
  </si>
  <si>
    <t xml:space="preserve"> tidak kompatibel dengan jenis kendaraan apa pun.</t>
  </si>
  <si>
    <t xml:space="preserve"> sudah melewati jendela waktunya.</t>
  </si>
  <si>
    <t xml:space="preserve"> lebih pendek dari jendela waktunya.</t>
  </si>
  <si>
    <t xml:space="preserve"> terlalu besar untuk muat di kendaraan mana pun.</t>
  </si>
  <si>
    <t xml:space="preserve"> mengunjungi lokasi yang tidak kompatibel</t>
  </si>
  <si>
    <t xml:space="preserve"> LNS melakukan iterasi dan menemukan solusi dengan laba bersih sebesar</t>
  </si>
  <si>
    <t xml:space="preserve"> Iterasi LNS tidak memenuhi semua batasan. Apakah Anda ingin menimpa solusi saat ini dengan solusi terbaik yang ditemukan?</t>
  </si>
  <si>
    <t xml:space="preserve"> harus dikunjungi satu kali (jumlah kunjungan saat ini:</t>
  </si>
  <si>
    <t xml:space="preserve"> tidak boleh dikunjungi.</t>
  </si>
  <si>
    <t xml:space="preserve"> dari</t>
  </si>
  <si>
    <t xml:space="preserve"> kembali ke lokasi awal setelah jendela waktunya.</t>
  </si>
  <si>
    <t xml:space="preserve"> detik</t>
  </si>
  <si>
    <t xml:space="preserve"> detik) dan menimpa data koordinat yang ada. Dengan mengklik tombol Ya di bawah ini, Anda mengonfirmasi bahwa Anda menerima Persyaratan Layanan Bing Maps. Apakah Anda ingin melanjutkan?</t>
  </si>
  <si>
    <t xml:space="preserve"> detik), dan menimpa data solusi yang ada. Apakah Anda ingin melanjutkan?</t>
  </si>
  <si>
    <t xml:space="preserve"> detik), menimpa data solusi yang ada, dan menghapus data visualisasi. Apakah Anda ingin melanjutkan?</t>
  </si>
  <si>
    <t xml:space="preserve"> detik), menimpa data koordinat yang ada, dan menghapus data jarak yang ada. Dengan mengklik tombol Ya di bawah ini, Anda mengonfirmasi bahwa Anda menerima Persyaratan Layanan Bing Maps. Apakah Anda ingin melanjutkan?</t>
  </si>
  <si>
    <t xml:space="preserve"> detik). Dengan mengklik tombol Ya di bawah ini, Anda mengonfirmasi bahwa Anda menerima Persyaratan Layanan Bing Maps. Apakah Anda ingin melanjutkan?</t>
  </si>
  <si>
    <t xml:space="preserve"> detik). Apakah Anda ingin melanjutkan?</t>
  </si>
  <si>
    <t xml:space="preserve"> detik. Apakah Anda ingin melanjutkan?</t>
  </si>
  <si>
    <t>(Jumlah pengambilan; Jumlah pengiriman)</t>
  </si>
  <si>
    <t>(Jendela waktu mulai; Jendela waktu berakhir)</t>
  </si>
  <si>
    <t>. Total laba bersih terbaik sejauh ini:</t>
  </si>
  <si>
    <t>. Apakah Anda ingin menimpa solusi saat ini dengan solusi terbaik yang ditemukan?</t>
  </si>
  <si>
    <t>0. Opsional - Atur ulang buku kerja</t>
  </si>
  <si>
    <t>0. Antarmuka</t>
  </si>
  <si>
    <t>1.1 Menyiapkan Lembar Kerja Lokasi</t>
  </si>
  <si>
    <t>1.2 Opsional - Isi Lintang / Bujur menggunakan alamat</t>
  </si>
  <si>
    <t>1.3 Opsional - Urutkan lokasi menurut abjad</t>
  </si>
  <si>
    <t>2.1 Pengaturan Jarak Lembar Kerja</t>
  </si>
  <si>
    <t>2.2 Opsional - Isi Lembar Kerja Jarak</t>
  </si>
  <si>
    <t>3. Siapkan Lembar Kerja Kendaraan</t>
  </si>
  <si>
    <t>3.1. Kompatibilitas Kendaraan</t>
  </si>
  <si>
    <t>4. Siapkan Lembar Kerja Solusi</t>
  </si>
  <si>
    <t>5. Opsional - Setup Lembar Kerja Visualisasi</t>
  </si>
  <si>
    <t>5. Opsional - Visualisasi</t>
  </si>
  <si>
    <t>6.1 Menggunakan Pemecah Lembar Kerja VRP</t>
  </si>
  <si>
    <t>6.2 Opsional - Pemeriksaan kelayakan</t>
  </si>
  <si>
    <t>6.3 Opsional - Gunakan pemecah eksternal</t>
  </si>
  <si>
    <t>Kunci Bing Maps yang valid diperlukan untuk Lintang / Bujur yang akan ditentukan. Anda bisa mendapatkan kunci gratis di https://www.bingmapsportal.com/</t>
  </si>
  <si>
    <t>Kunci Bing Maps yang valid diperlukan untuk menentukan jarak. Anda bisa mendapatkan kunci gratis di https://www.bingmapsportal.com/</t>
  </si>
  <si>
    <t>Diperlukan Bing Maps Key yang valid. Anda bisa mendapatkan kunci gratis di https://www.bingmapsportal.com/</t>
  </si>
  <si>
    <t>Alamat</t>
  </si>
  <si>
    <t>Kesalahan alamat</t>
  </si>
  <si>
    <t>Semua koordinat harus dimasukkan untuk jarak yang akan diisi.</t>
  </si>
  <si>
    <t>Semua koordinat harus dimasukkan untuk lembar kerja Visualisasi yang akan dibuat.</t>
  </si>
  <si>
    <t>Semua kendaraan harus kompatibel dengan semua lokasi jika hanya ada satu jenis kendaraan.</t>
  </si>
  <si>
    <t>Jam kedatangan</t>
  </si>
  <si>
    <t>Kecepatan kendaraan rata-rata</t>
  </si>
  <si>
    <t>Backhaul?</t>
  </si>
  <si>
    <t>Jarak mengemudi Bing Maps (km)</t>
  </si>
  <si>
    <t>Jarak mengemudi Bing Maps (mil)</t>
  </si>
  <si>
    <t>Durasi mengemudi Bing Maps</t>
  </si>
  <si>
    <t>Jenis rute Bing Maps</t>
  </si>
  <si>
    <t>Jarak penerbangan burung (km)</t>
  </si>
  <si>
    <t>Jarak penerbangan burung (mil)</t>
  </si>
  <si>
    <t>Kosong</t>
  </si>
  <si>
    <t>Dengan mengklik tombol Ya di bawah ini, Anda mengonfirmasi bahwa Anda menerima Persyaratan Layanan Bing Maps. Apakah Anda ingin melanjutkan?</t>
  </si>
  <si>
    <t>Kapasitas</t>
  </si>
  <si>
    <t>Cocok</t>
  </si>
  <si>
    <t>Fase konstruktif ...</t>
  </si>
  <si>
    <t>Biaya per satuan jarak</t>
  </si>
  <si>
    <t>Batas waktu CPU (detik)</t>
  </si>
  <si>
    <t>Penjemputan kumulatif</t>
  </si>
  <si>
    <t>Pelanggan</t>
  </si>
  <si>
    <t>Jumlah pengiriman</t>
  </si>
  <si>
    <t>Waktu keberangkatan</t>
  </si>
  <si>
    <t>ID Tujuan</t>
  </si>
  <si>
    <t>Alasan ketidaklayakan yang terdeteksi</t>
  </si>
  <si>
    <t>PENAFIAN: PERANGKAT LUNAK INI DIBERIKAN 'SEBAGAIMANA ADANYA' DAN JAMINAN TERSURAT MAUPUN TERSIRAT, TERMASUK, TAPI TIDAK TERBATAS PADA, JAMINAN TERSIRAT ATAS DAPAT DIPERDAGANGKAN DAN KESESUAIAN UNTUK TUJUAN TERTENTU DITOLAK. DALAM KEADAAN APA PUN, PENGEMBANG ASLI BERTANGGUNG JAWAB ATAS KERUSAKAN LANGSUNG, TIDAK LANGSUNG, INSIDENTAL, KHUSUS, CONTOH, ATAU AKIBATNYA (TERMASUK, NAMUN TIDAK TERBATAS PADA, PENGADAAN BARANG ATAU LAYANAN PENGGANTI; ATAU HILANGNYA PENGGUNAAN, DATA, ATAU KEUNTUNGAN GANGGUAN) APA PUN PENYEBAB DAN TENTANG TEORI TANGGUNG JAWAB APA PUN, BAIK DALAM KONTRAK, KEWAJIBAN KETAT, ATAU TORT (TERMASUK KECELAKAAN ATAU LAINNYA) YANG MUNCUL DALAM CARA APA PUN DARI PENGGUNAAN PERANGKAT LUNAK INI, BAHKAN JIKA DIBERITAHU TENTANG KEMUNGKINAN TERSEBUT.</t>
  </si>
  <si>
    <t>Jarak</t>
  </si>
  <si>
    <t>Metode penghitungan jarak</t>
  </si>
  <si>
    <t>Batas jarak</t>
  </si>
  <si>
    <t>Jarak tempuh</t>
  </si>
  <si>
    <t>Jarak penduduk.</t>
  </si>
  <si>
    <t>Jarak penduduk. Beberapa jarak hilang karena kesalahan koneksi.</t>
  </si>
  <si>
    <t>Jarak pengaturan lembar kerja selesai.</t>
  </si>
  <si>
    <t>Apakah kendaraan kembali ke depotnya?</t>
  </si>
  <si>
    <t>Apakah Anda ingin melanjutkan?</t>
  </si>
  <si>
    <t>Jangan kunjungi</t>
  </si>
  <si>
    <t>Waktu mengemudi</t>
  </si>
  <si>
    <t>Batas waktu mengemudi</t>
  </si>
  <si>
    <t>Durasi</t>
  </si>
  <si>
    <t>Metode penghitungan durasi</t>
  </si>
  <si>
    <t>Pengganda durasi</t>
  </si>
  <si>
    <t>Jarak Euclidian</t>
  </si>
  <si>
    <t>Setiap kendaraan harus kembali ke depot pengembaliannya. Pelanggaran di:</t>
  </si>
  <si>
    <t>Pemecah eksternal (vrp_spreadsheet_solver.dll) tidak ditemukan. Apakah Anda ingin melanjutkan dengan pemecah internal?</t>
  </si>
  <si>
    <t>Pemecah eksternal mengembalikan solusi. Apakah Anda ingin menimpa solusi saat ini dengan solusi terbaik yang ditemukan?</t>
  </si>
  <si>
    <t>Tercepat</t>
  </si>
  <si>
    <t>Tercepat - Lalu Lintas Waktu Nyata</t>
  </si>
  <si>
    <t>Biaya tetap per perjalanan</t>
  </si>
  <si>
    <t>Dari</t>
  </si>
  <si>
    <t>Keras</t>
  </si>
  <si>
    <t>Jika diaktifkan, lokasi pengiriman harus dikunjungi sebelum lokasi penjemputan</t>
  </si>
  <si>
    <t>Tidak kompatibel</t>
  </si>
  <si>
    <t>Bahasa</t>
  </si>
  <si>
    <t>Lintang / Bujur terisi. Silakan periksa peta di lembar kerja Lokasi untuk kesalahan geocoding.</t>
  </si>
  <si>
    <t>Lintang (y)</t>
  </si>
  <si>
    <t>Algoritma LNS berjalan ...</t>
  </si>
  <si>
    <t>Beban</t>
  </si>
  <si>
    <t>Lokasi</t>
  </si>
  <si>
    <t>ID Lokasi</t>
  </si>
  <si>
    <t>Label lokasi</t>
  </si>
  <si>
    <t>Nama lokasi</t>
  </si>
  <si>
    <t>Lokasi harus berdekatan dalam rute. Pelanggaran di:</t>
  </si>
  <si>
    <t>Pengaturan lembar kerja lokasi selesai.</t>
  </si>
  <si>
    <t>Bujur (x)</t>
  </si>
  <si>
    <t>Entri manual</t>
  </si>
  <si>
    <t>Dapat dikunjungi</t>
  </si>
  <si>
    <t>Metode:</t>
  </si>
  <si>
    <t>Lebih lanjut dapat ditemukan di bawah alasan ketidaklayakan yang terdeteksi dalam lembar kerja solusi.</t>
  </si>
  <si>
    <t>Harus dikunjungi</t>
  </si>
  <si>
    <t>Harus dikunjungi?</t>
  </si>
  <si>
    <t>Nama</t>
  </si>
  <si>
    <t>Laba bersih:</t>
  </si>
  <si>
    <t>Tidak</t>
  </si>
  <si>
    <t>Tidak ada rute mengemudi yang dapat ditemukan di antara beberapa lokasi. Silakan periksa alamat dan koordinatnya.</t>
  </si>
  <si>
    <t>Jumlah pelanggan</t>
  </si>
  <si>
    <t>Jumlah depo</t>
  </si>
  <si>
    <t>Jumlah jenis kendaraan</t>
  </si>
  <si>
    <t>Jumlah kendaraan</t>
  </si>
  <si>
    <t>Satu atau beberapa lokasi terlalu jauh dari jalan mana pun. Silakan periksa alamat dan koordinatnya.</t>
  </si>
  <si>
    <t>Open source, dikembangkan oleh Dr Gunes Erdogan (G.Erdogan@bath.ac.uk)</t>
  </si>
  <si>
    <t>Opsional - Tombol Bing Maps</t>
  </si>
  <si>
    <t>Jumlah pengambilan</t>
  </si>
  <si>
    <t>Harap masukkan nilai bilangan bulat nonnegatif</t>
  </si>
  <si>
    <t>Harap masukkan nilai nonnegatif</t>
  </si>
  <si>
    <t>Harap masukkan nilai positif</t>
  </si>
  <si>
    <t>Harap masukkan nilai yang lebih besar dari atau sama dengan 10 detik.</t>
  </si>
  <si>
    <t>Harap masukkan bilangan bulat dari 1 hingga 10</t>
  </si>
  <si>
    <t>Harap masukkan bilangan bulat dari 1 hingga 20</t>
  </si>
  <si>
    <t>Harap masukkan bilangan bulat dari 5 hingga 200</t>
  </si>
  <si>
    <t>Silakan merujuk ke manual untuk mengubah antarmuka.</t>
  </si>
  <si>
    <t>Harap simpan, tutup, dan buka kembali buku kerja untuk menu yang akan diperbarui.</t>
  </si>
  <si>
    <t>Pilih nilai dari daftar yang tersedia di sel yang dipilih.</t>
  </si>
  <si>
    <t>Jarak populasi,</t>
  </si>
  <si>
    <t>Mengisi Lintang / Bujur,</t>
  </si>
  <si>
    <t>Mengisi jarak menggunakan layanan Bing Maps GIS akan menimpa data jarak yang ada dan memakan waktu (perkiraan</t>
  </si>
  <si>
    <t>Keuntungan</t>
  </si>
  <si>
    <t>Keuntungan terkumpul</t>
  </si>
  <si>
    <t>Alasan ketidaklayakan terdeteksi.</t>
  </si>
  <si>
    <t>Rekomendasi: Setidaknya</t>
  </si>
  <si>
    <t>Rekomendasi: Gunakan 'Tercepat'</t>
  </si>
  <si>
    <t>Rekomendasi: Gunakan format 'kode pos, negara' untuk alamat</t>
  </si>
  <si>
    <t>Jarak bujursangkar (Manhattan)</t>
  </si>
  <si>
    <t>Catatan</t>
  </si>
  <si>
    <t>Kembali depot</t>
  </si>
  <si>
    <t>Jarak Euclidian membulat</t>
  </si>
  <si>
    <t>Rusuhi Cantay atas bantuannya dengan dukungan multi-bahasa.</t>
  </si>
  <si>
    <t>Sekolah Manajemen, Universitas Bath, 2020.</t>
  </si>
  <si>
    <t>Kirim tanggapan / ajukan pertanyaan</t>
  </si>
  <si>
    <t>Urutan</t>
  </si>
  <si>
    <t>Waktu pelayanan</t>
  </si>
  <si>
    <t>Menyiapkan lembar kerja jarak, mengerjakan lokasi</t>
  </si>
  <si>
    <t>Menyiapkan lembar kerja solusi, mengerjakan kendaraan</t>
  </si>
  <si>
    <t>Terpendek</t>
  </si>
  <si>
    <t>Tampilkan kemajuan di bilah status?</t>
  </si>
  <si>
    <t>Lembut</t>
  </si>
  <si>
    <t>Pengaturan lembar kerja solusi selesai.</t>
  </si>
  <si>
    <t>Memulai depo</t>
  </si>
  <si>
    <t>Memulai iterasi LNS</t>
  </si>
  <si>
    <t>Lokasi awal</t>
  </si>
  <si>
    <t>Hentikan hitungan</t>
  </si>
  <si>
    <t>Berhenti:</t>
  </si>
  <si>
    <t>Pengiriman subtraktif</t>
  </si>
  <si>
    <t>Solusi terbaik yang ditemukan setelahnya</t>
  </si>
  <si>
    <t>Kapasitas armada yang diberikan tidak cukup untuk mengangkut permintaan wajib.</t>
  </si>
  <si>
    <t>Kapasitas armada yang diberikan tidak cukup untuk mengangkut suplai wajib.</t>
  </si>
  <si>
    <t>Permintaan lokasi</t>
  </si>
  <si>
    <t>Versi terbaru dari pemecah dapat diunduh di</t>
  </si>
  <si>
    <t>Versi terbaru dari solver dapat diunduh di: http://people.bath.ac.uk/ge277/vrp-spreadsheet-solver/</t>
  </si>
  <si>
    <t>Beban kendaraan</t>
  </si>
  <si>
    <t>Waktu layanan lokasi</t>
  </si>
  <si>
    <t>Solusinya memiliki masalah format:</t>
  </si>
  <si>
    <t>Solusinya layak.</t>
  </si>
  <si>
    <t>Solusinya tidak mungkin.</t>
  </si>
  <si>
    <t>Pasokan lokasi</t>
  </si>
  <si>
    <t>Waktu akhir jendela waktu lokasi</t>
  </si>
  <si>
    <t>Jendela waktu mulai waktu lokasi</t>
  </si>
  <si>
    <t>Waktu kunjungan lokasi</t>
  </si>
  <si>
    <t>Ada koordinat dengan | latitude | &gt; 90 atau | bujur | &gt; 180. Melanjutkan dengan latar belakang kosong.</t>
  </si>
  <si>
    <t>Tidak ada cukup persediaan barang pikap untuk memenuhi permintaan barang pikap.</t>
  </si>
  <si>
    <t>Mungkin ada paling banyak satu kali kembali ke lokasi awal. Pelanggaran di:</t>
  </si>
  <si>
    <t>Harus ada setidaknya satu kendaraan yang tersedia untuk lembar kerja solusi yang akan dibuat.</t>
  </si>
  <si>
    <t>Ini akan menghapus semua data masalah yang ada. Apakah Anda ingin melanjutkan?</t>
  </si>
  <si>
    <t>Ini akan menghapus data jarak, solusi, dan visualisasi yang ada. Apakah Anda ingin melanjutkan?</t>
  </si>
  <si>
    <t>Ini akan menimpa data jarak yang ada, dan akan memakan waktu (perkiraan</t>
  </si>
  <si>
    <t>Ini akan menimpa data jarak yang ada. Apakah Anda ingin melanjutkan?</t>
  </si>
  <si>
    <t>Ini akan menimpa data lokasi yang ada, dan menghapus data jarak dan solusi. Apakah Anda ingin melanjutkan?</t>
  </si>
  <si>
    <t>Ini akan menimpa data kompatibilitas kendaraan yang ada. Apakah Anda ingin melanjutkan?</t>
  </si>
  <si>
    <t>Ini akan menimpa data kendaraan yang ada, dan menghapus data solusi dan visualisasi. Apakah Anda ingin melanjutkan?</t>
  </si>
  <si>
    <t>Ini akan menimpa data visualisasi yang ada. Dengan mengklik tombol Ya di bawah ini, Anda mengonfirmasi bahwa Anda menerima Persyaratan Layanan Bing Maps. Apakah Anda ingin melanjutkan?</t>
  </si>
  <si>
    <t>Ini akan menimpa data visualisasi yang ada. Apakah Anda ingin melanjutkan?</t>
  </si>
  <si>
    <t>Ini akan memakan waktu</t>
  </si>
  <si>
    <t>Ini akan memakan waktu (perkiraan</t>
  </si>
  <si>
    <t>Jendela waktu berakhir</t>
  </si>
  <si>
    <t>Jendela waktu mulai</t>
  </si>
  <si>
    <t>Jenis jendela waktu</t>
  </si>
  <si>
    <t>Untuk</t>
  </si>
  <si>
    <t>Total laba bersih:</t>
  </si>
  <si>
    <t>Tidak dapat mengakses menu Alat.</t>
  </si>
  <si>
    <t>Nilai</t>
  </si>
  <si>
    <t>Kendaraan</t>
  </si>
  <si>
    <t>Penyiapan lembar kerja kompatibilitas kendaraan selesai.</t>
  </si>
  <si>
    <t>Jenis kendaraan</t>
  </si>
  <si>
    <t>Kendaraan:</t>
  </si>
  <si>
    <t>Penyiapan lembar kerja kendaraan selesai.</t>
  </si>
  <si>
    <t>Latar belakang visualisasi</t>
  </si>
  <si>
    <t>Pemecah VRP</t>
  </si>
  <si>
    <t>Konsol Pemecah VRP</t>
  </si>
  <si>
    <t>VRP Spreadsheet Solver dilakukan</t>
  </si>
  <si>
    <t>Awal yang hangat?</t>
  </si>
  <si>
    <t>بیرونی محلول نے ایک حل واپس کیا۔ کیا آپ موجودہ حل کو بہترین ڈھونڈنے والے حل کے ساتھ اوور رائٹ کرنا چاہتے ہیں؟</t>
  </si>
  <si>
    <t>سب سے تیز</t>
  </si>
  <si>
    <t>تیز ترین - ریئل ٹائم ٹریفک</t>
  </si>
  <si>
    <t>فی سفر طے شدہ لاگت</t>
  </si>
  <si>
    <t>سے</t>
  </si>
  <si>
    <t>سخت</t>
  </si>
  <si>
    <t>اگر چالو ہوجائے تو ، اٹھاونے والے مقامات سے قبل ترسیل کے مقامات ضرور دیکھنا ضروری ہے</t>
  </si>
  <si>
    <t>متضاد</t>
  </si>
  <si>
    <t>زبان</t>
  </si>
  <si>
    <t>لیٹ / لون آباد ہے۔ براہ کرم جیوکوڈنگ میں غلطیوں کے لئے مقامات کی ورک شیٹ میں نقشہ کی جانچ کریں۔</t>
  </si>
  <si>
    <t>طول بلد (y)</t>
  </si>
  <si>
    <t>ایل این ایس الگورتھم چل رہا ہے…</t>
  </si>
  <si>
    <t>لوڈ</t>
  </si>
  <si>
    <t>مقام</t>
  </si>
  <si>
    <t>مقام کی شناخت</t>
  </si>
  <si>
    <t>مقام کے لیبل</t>
  </si>
  <si>
    <t>مقام کا نام</t>
  </si>
  <si>
    <t>مقام کے نام</t>
  </si>
  <si>
    <t>مقامات لازمی طور پر راستوں میں برابر ہوں۔ خلاف ورزی:</t>
  </si>
  <si>
    <t>مقامات کا ورک شیٹ سیٹ اپ مکمل ہے۔</t>
  </si>
  <si>
    <t>طول البلد (x)</t>
  </si>
  <si>
    <t>دستی اندراج</t>
  </si>
  <si>
    <t>جا سکتا ہے</t>
  </si>
  <si>
    <t>طریقہ:</t>
  </si>
  <si>
    <t>حل ورکشیٹ میں عدم اہلیت کی کھوج وجوہات کے تحت مزید معلومات حاصل کی جاسکتی ہیں۔</t>
  </si>
  <si>
    <t>ضرور ملاحظہ کریں</t>
  </si>
  <si>
    <t>نام</t>
  </si>
  <si>
    <t>خالص منافع:</t>
  </si>
  <si>
    <t>نہیں</t>
  </si>
  <si>
    <t>کچھ مقامات کے درمیان ڈرائیونگ کا کوئی راستہ نہیں مل سکا۔ براہ کرم پتے اور نقاط کو دیکھیں۔</t>
  </si>
  <si>
    <t>صارفین کی تعداد</t>
  </si>
  <si>
    <t>ڈپو کی تعداد</t>
  </si>
  <si>
    <t>گاڑی کی قسموں کی تعداد</t>
  </si>
  <si>
    <t>گاڑیوں کی تعداد</t>
  </si>
  <si>
    <t>ایک یا زیادہ مقامات کسی بھی سڑک سے بہت دور ہیں۔ براہ کرم پتے اور نقاط کو دیکھیں۔</t>
  </si>
  <si>
    <t>اوپن سورس ، جسے ڈاکٹر گنز اردگان (G.Erdogan@bath.ac.uk) تیار کیا ہے</t>
  </si>
  <si>
    <t>اختیاری - بنگ نقشے کی</t>
  </si>
  <si>
    <t>پیرامیٹر</t>
  </si>
  <si>
    <t>اٹھا لینے کی رقم</t>
  </si>
  <si>
    <t>براہ کرم ایک غیر منقول عدد صحیح قدر داخل کریں</t>
  </si>
  <si>
    <t>براہ کرم ایک نانگیٹیو ویلیو درج کریں</t>
  </si>
  <si>
    <t>براہ کرم ایک مثبت قیمت درج کریں</t>
  </si>
  <si>
    <t>براہ کرم 10 سیکنڈ سے زیادہ یا اس کے برابر کی کوئی قیمت درج کریں۔</t>
  </si>
  <si>
    <t>براہ کرم ایک عدد 10 سے 10 تک داخل کریں</t>
  </si>
  <si>
    <t>براہ کرم 1 سے 20 تک تکمیل درج کریں</t>
  </si>
  <si>
    <t>براہ کرم 5 سے 200 تک ایک عددی درج کریں</t>
  </si>
  <si>
    <t>براہ کرم انٹرفیس میں ترمیم کرنے کے لئے دستی سے رجوع کریں۔</t>
  </si>
  <si>
    <t>براہ کرم مینو کی تازہ کاری کے ل work ورک بک کو محفوظ کریں ، بند کریں اور دوبارہ کھولیں۔</t>
  </si>
  <si>
    <t>براہ کرم منتخب کردہ سیل میں دستیاب فہرست میں سے ایک قیمت منتخب کریں۔</t>
  </si>
  <si>
    <t>آبادی فاصلے ،</t>
  </si>
  <si>
    <t>لیٹ / لون آبادی ،</t>
  </si>
  <si>
    <t>بنگ میپس جی آئی ایس سروس کا استعمال کرتے ہوئے فاصلوں کو آباد کرنا موجودہ فاصلے کے ڈیٹا کو ادلھ دے گا اور کچھ وقت لگے گا (تخمینہ لگایا گیا ہے)</t>
  </si>
  <si>
    <t>منافع</t>
  </si>
  <si>
    <t>منافع جمع ہوا</t>
  </si>
  <si>
    <t>نا اہلیت کی وجوہات کا پتہ چلا۔</t>
  </si>
  <si>
    <t>سفارش: کم از کم</t>
  </si>
  <si>
    <t>تجویز: 'تیز ترین' استعمال کریں</t>
  </si>
  <si>
    <t>تجویز: پتوں کے لئے 'پوسٹ کوڈ ، ملک' کی شکل استعمال کریں</t>
  </si>
  <si>
    <t>ریکٹ لائنیر (مین ہٹن) دوریاں</t>
  </si>
  <si>
    <t>ریمارکس</t>
  </si>
  <si>
    <t>ڈپو واپس</t>
  </si>
  <si>
    <t>گول یکلیڈیائی دوری</t>
  </si>
  <si>
    <t>متعدد زبانوں کی مدد میں مدد کرنے کے لئے روسہی کینٹی۔</t>
  </si>
  <si>
    <t>اسکول آف مینجمنٹ ، باتھ یونیورسٹی ، 2020۔</t>
  </si>
  <si>
    <t>آراء بھیجیں / کوئی سوال پوچھیں</t>
  </si>
  <si>
    <t>خدمت کا وقت</t>
  </si>
  <si>
    <t>فاصلے والی ورک شیٹ مرتب کرنا ، مقام پر کام کرنا</t>
  </si>
  <si>
    <t>حل ورکشیٹ مرتب کرنا ، گاڑی پر کام کرنا</t>
  </si>
  <si>
    <t>سب سے کم</t>
  </si>
  <si>
    <t>اسٹیٹس بار پر پیشرفت دکھائیں؟</t>
  </si>
  <si>
    <t>نرم</t>
  </si>
  <si>
    <t>حل ورکشیٹ سیٹ اپ مکمل۔</t>
  </si>
  <si>
    <t>ڈپو شروع کرنا</t>
  </si>
  <si>
    <t>LNS تکرار شروع کرنا</t>
  </si>
  <si>
    <t>شروع مقام</t>
  </si>
  <si>
    <t>گنتی بند کرو</t>
  </si>
  <si>
    <t>رک جاتا ہے:</t>
  </si>
  <si>
    <t>گھٹانے والی ترسیل</t>
  </si>
  <si>
    <t>اس کے بعد بہترین حل ملا</t>
  </si>
  <si>
    <t>دیئے گئے بیڑے کی گنجائش لازمی مطالبہ کو ٹرانسپورٹ کرنے کے لئے کافی نہیں ہے۔</t>
  </si>
  <si>
    <t>دیئے گئے بیڑے کی گنجائش لازمی فراہمی کو لے جانے کے ل to کافی نہیں ہے۔</t>
  </si>
  <si>
    <t>مقام کا مطالبہ</t>
  </si>
  <si>
    <t>سالور کا تازہ ترین ورژن ڈاؤن لوڈ کیا جاسکتا ہے</t>
  </si>
  <si>
    <t>سالور کا تازہ ترین ورژن اس پر ڈاؤن لوڈ کیا جاسکتا ہے:</t>
  </si>
  <si>
    <t>گاڑی کا بوجھ</t>
  </si>
  <si>
    <t>مقام کی خدمت کا وقت</t>
  </si>
  <si>
    <t>حل میں شکل کی دشواری ہے۔</t>
  </si>
  <si>
    <t>حل ممکن ہے۔</t>
  </si>
  <si>
    <t>حل ناقابل علاج ہے۔</t>
  </si>
  <si>
    <t>مقام کی فراہمی</t>
  </si>
  <si>
    <t>مقام کا وقت ونڈو اختتامی وقت</t>
  </si>
  <si>
    <t>وقت کی کھڑکی شروع ہونے کا وقت</t>
  </si>
  <si>
    <t>مقام کا وزٹ ٹائم</t>
  </si>
  <si>
    <t>| عرض البلد کے ساتھ نقاط ہیں &gt; 90 یا | طول البلد | &gt; 180. خالی پس منظر کے ساتھ آگے بڑھ رہے ہیں۔</t>
  </si>
  <si>
    <t>پک اپ آئٹمز کی طلب کو پورا کرنے کے لئے پک اپ آئٹمز کے لئے کافی سپلائی نہیں ہے۔</t>
  </si>
  <si>
    <t>ابتدائی مقام پر زیادہ سے زیادہ ایک واپسی ہوسکتی ہے۔ خلاف ورزی:</t>
  </si>
  <si>
    <t>کم از کم ایک دستیاب کی گاڑی وہاں ہونا ضروری ہے کے لئے حل قرطاس پیدا کی جائے.</t>
  </si>
  <si>
    <t>اس سے تمام موجودہ مسئلہ کا ڈیٹا حذف ہوجائے گا۔ کیا آپ جاری رکھنا چاہتے ہیں؟</t>
  </si>
  <si>
    <t>یہ موجودہ دوری، حل، اور تصور کے اعداد و شمار کو خارج کر دیں گے. کیا آپ جاری رکھنا چاہتے ہیں؟</t>
  </si>
  <si>
    <t>اس سے موجودہ فاصلے کے ڈیٹا کو ادلیکھت ہوجائے گی ، اور اس میں کچھ وقت لگے گا (اندازہ لگایا گیا ہے کہ)</t>
  </si>
  <si>
    <t>یہ موجودہ فاصلے ڈیٹا ادلیکھت گا. کیا آپ جاری رکھنا چاہتے ہیں؟</t>
  </si>
  <si>
    <t>یہ موجودہ مقام کے اعداد و شمار کو ادلیکھت کرے گا ، اور فاصلہ اور حل ڈیٹا کو مٹا دے گا۔ کیا آپ جاری رکھنا چاہتے ہیں؟</t>
  </si>
  <si>
    <t>یہ موجودہ گاڑی مطابقت ڈیٹا ادلیکھت گا. کیا آپ جاری رکھنا چاہتے ہیں؟</t>
  </si>
  <si>
    <t>اس سے گاڑیوں کے موجودہ اعداد و شمار کو ادلیکھت مل جائے گی ، اور حل اور تصو .ر کوائف کو مٹا دیا جائے گا۔ کیا آپ جاری رکھنا چاہتے ہیں؟</t>
  </si>
  <si>
    <t>یہ بصری موجودہ ڈیٹا کو ادلیکھت کر دے گا۔ ذیل میں ہاں کے بٹن پر کلک کرکے ، آپ اس کی تصدیق کرتے ہیں کہ آپ Bing میپ سروس کی شرائط کو قبول کرتے ہیں۔ کیا آپ جاری رکھنا چاہتے ہیں؟</t>
  </si>
  <si>
    <t>یہ بصری موجودہ ڈیٹا کو ادلیکھت کر دے گا۔ کیا آپ جاری رکھنا چاہتے ہیں؟</t>
  </si>
  <si>
    <t>یہ لے جائے گا</t>
  </si>
  <si>
    <t>اس میں کچھ وقت لگے گا (اندازے کے مطابق)</t>
  </si>
  <si>
    <t>ٹائم ونڈو ختم</t>
  </si>
  <si>
    <t>ٹائم ونڈو اسٹارٹ</t>
  </si>
  <si>
    <t>وقت کی کھڑکی کی قسم</t>
  </si>
  <si>
    <t>کرنا</t>
  </si>
  <si>
    <t>کل خالص منافع:</t>
  </si>
  <si>
    <t>ٹولز مینو تک رسائی حاصل کرنے سے قاصر ہے۔</t>
  </si>
  <si>
    <t>قدر</t>
  </si>
  <si>
    <t>گاڑی</t>
  </si>
  <si>
    <t>گاڑی کی مطابقت والی ورک شیٹ سیٹ اپ مکمل۔</t>
  </si>
  <si>
    <t>گاڑی کی قسم</t>
  </si>
  <si>
    <t>گاڑی:</t>
  </si>
  <si>
    <t>گاڑیوں کی ورک شیٹ سیٹ اپ مکمل۔</t>
  </si>
  <si>
    <t>تصور کا پس منظر</t>
  </si>
  <si>
    <t>VRP حل کرنے والا</t>
  </si>
  <si>
    <t>وی آر پی سولور کنسول</t>
  </si>
  <si>
    <t>وی آر پی اسپریڈشیٹ سولور نے پرفارم کیا</t>
  </si>
  <si>
    <t>گرم آغاز؟</t>
  </si>
  <si>
    <t>বাহ্যিক সমাধানকারী একটি সমাধান ফিরে এসেছিল। আপনি কি সলিউড পাওয়া সলিউশন সহ বর্তমান সলিউশনটি ওভাররাইট করতে চান?</t>
  </si>
  <si>
    <t>দ্রুততম</t>
  </si>
  <si>
    <t>দ্রুততম - রিয়েল টাইম ট্র্যাফিক</t>
  </si>
  <si>
    <t>ট্রিপ প্রতি স্থির খরচ</t>
  </si>
  <si>
    <t>থেকে</t>
  </si>
  <si>
    <t>শক্ত</t>
  </si>
  <si>
    <t>যদি সক্রিয় করা থাকে তবে পিকআপের লোকেশনগুলির আগে ডেলিভারি লোকেশনগুলি অবশ্যই দেখতে হবে</t>
  </si>
  <si>
    <t>বেমানান</t>
  </si>
  <si>
    <t>ভাষা</t>
  </si>
  <si>
    <t>লাত / লোন জনবহুল। জিওকোডিংয়ের ত্রুটির জন্য দয়া করে অবস্থানগুলি ওয়ার্কশিটে মানচিত্রটি পরীক্ষা করুন।</t>
  </si>
  <si>
    <t>অক্ষাংশ (y)</t>
  </si>
  <si>
    <t>এলএনএস অ্যালগরিদম চলছে ...</t>
  </si>
  <si>
    <t>ভার</t>
  </si>
  <si>
    <t>অবস্থান</t>
  </si>
  <si>
    <t>অবস্থান আইডি</t>
  </si>
  <si>
    <t>অবস্থানের লেবেল</t>
  </si>
  <si>
    <t>স্থানের নাম</t>
  </si>
  <si>
    <t>অবস্থানের নাম</t>
  </si>
  <si>
    <t>অবস্থানগুলি অবশ্যই রুটে সামঞ্জস্যপূর্ণ হতে হবে। লঙ্ঘন এখানে:</t>
  </si>
  <si>
    <t>অবস্থানগুলি কার্যপত্রক সেটআপ সম্পূর্ণ।</t>
  </si>
  <si>
    <t>দ্রাঘিমাংশ (x)</t>
  </si>
  <si>
    <t>ম্যানুয়াল প্রবেশ</t>
  </si>
  <si>
    <t>পরিদর্শন করা যেতে পারে</t>
  </si>
  <si>
    <t>পদ্ধতি:</t>
  </si>
  <si>
    <t>সমাধান ওয়ার্কশিটে অপ্রাপ্তির জন্য চিহ্নিত কারণগুলির অধীনে আরও কিছু পাওয়া যাবে।</t>
  </si>
  <si>
    <t>অবশ্যই ভিজিট করতে হবে</t>
  </si>
  <si>
    <t>ভিজিট করতে হবে?</t>
  </si>
  <si>
    <t>নাম</t>
  </si>
  <si>
    <t>মোট লাভ:</t>
  </si>
  <si>
    <t>না</t>
  </si>
  <si>
    <t>কয়েকটি জায়গার মধ্যে কোনও ড্রাইভিং রুট পাওয়া যায়নি। ঠিকানা এবং স্থানাঙ্কগুলি পরীক্ষা করুন check</t>
  </si>
  <si>
    <t>গ্রাহকের সংখ্যা</t>
  </si>
  <si>
    <t>ডিপো সংখ্যা</t>
  </si>
  <si>
    <t>গাড়ির ধরণের সংখ্যা</t>
  </si>
  <si>
    <t>যানবাহন সংখ্যা</t>
  </si>
  <si>
    <t>এক বা একাধিক অবস্থান কোনও রাস্তা থেকে খুব দূরে। ঠিকানা এবং স্থানাঙ্কগুলি পরীক্ষা করুন check</t>
  </si>
  <si>
    <t>ডাঃ গুনেস এরদোগান (G.Erdogan@bath.ac.uk) দ্বারা নির্মিত ওপেন সোর্স</t>
  </si>
  <si>
    <t>Ptionচ্ছিক - বিং মানচিত্র কী</t>
  </si>
  <si>
    <t>প্যারামিটার</t>
  </si>
  <si>
    <t>পিকআপ পরিমাণ</t>
  </si>
  <si>
    <t>অনুগ্রহ করে একটি nonnegative পূর্ণসংখ্যা মান লিখুন</t>
  </si>
  <si>
    <t>অনুগ্রহ করে একটি অবৈধ মান লিখুন</t>
  </si>
  <si>
    <t>দয়া করে একটি ইতিবাচক মান লিখুন</t>
  </si>
  <si>
    <t>দয়া করে 10 সেকেন্ডের চেয়ে বড় বা সমান মান লিখুন।</t>
  </si>
  <si>
    <t>দয়া করে 1 থেকে 10 পর্যন্ত পূর্ণসংখ্যা প্রবেশ করান</t>
  </si>
  <si>
    <t>দয়া করে 1 থেকে 20 এর মধ্যে একটি পূর্ণসংখ্যা প্রবেশ করান</t>
  </si>
  <si>
    <t>5 থেকে 200 এর মধ্যে একটি পূর্ণসংখ্যা প্রবেশ করান</t>
  </si>
  <si>
    <t>ইন্টারফেসটি পরিবর্তন করার জন্য দয়া করে ম্যানুয়ালটি দেখুন।</t>
  </si>
  <si>
    <t>মেনু আপডেট হওয়ার জন্য দয়া করে ওয়ার্কবুকটি সংরক্ষণ করুন, বন্ধ করুন এবং আবার খুলুন।</t>
  </si>
  <si>
    <t>নির্বাচিত ঘরে উপলব্ধ তালিকা থেকে একটি মান নির্বাচন করুন।</t>
  </si>
  <si>
    <t>জনসংখ্যা দূরত্ব,</t>
  </si>
  <si>
    <t>জনসংখ্যা ল্যাট / লোন,</t>
  </si>
  <si>
    <t>বিং মানচিত্র জিআইএস পরিষেবা ব্যবহার করে দূরত্বকে জনসংখ্যা করা বিদ্যমান দূরত্বের ডেটা ওভাররাইট করে এবং কিছু সময় নিতে পারে (আনুমানিক)</t>
  </si>
  <si>
    <t>লাভ</t>
  </si>
  <si>
    <t>লাভ আদায় করা</t>
  </si>
  <si>
    <t>অপ্রাপ্তির কারণ চিহ্নিত করা হয়েছে।</t>
  </si>
  <si>
    <t>প্রস্তাবনা: কমপক্ষে</t>
  </si>
  <si>
    <t>প্রস্তাবনা: 'দ্রুততম' ব্যবহার করুন</t>
  </si>
  <si>
    <t>প্রস্তাবনা: ঠিকানার জন্য 'পোস্টকোড, দেশ' বিন্যাস ব্যবহার করুন</t>
  </si>
  <si>
    <t>রেকটিলাইনার (ম্যানহাটন) দূরত্ব</t>
  </si>
  <si>
    <t>মন্তব্য</t>
  </si>
  <si>
    <t>রিটার্ন ডিপো</t>
  </si>
  <si>
    <t>গোলাকার ইউক্যালিডিয়ান দূরত্ব</t>
  </si>
  <si>
    <t>বহুভাষা সহায়তায় সহায়তার জন্য রুশুহি কন্টে।</t>
  </si>
  <si>
    <t>স্কুল অফ ম্যানেজমেন্ট, ইউনিভার্সিটি অফ বাথ, ২০২০।</t>
  </si>
  <si>
    <t>প্রতিক্রিয়া পাঠান / একটি প্রশ্ন জিজ্ঞাসা করুন</t>
  </si>
  <si>
    <t>ক্রম</t>
  </si>
  <si>
    <t>পরিষেবা সময়</t>
  </si>
  <si>
    <t>অবস্থানের উপর কাজ করে দূরত্বের কার্যপত্রক সেট আপ করা হচ্ছে</t>
  </si>
  <si>
    <t>সলিউশন ওয়ার্কশিট স্থাপন, যানবাহনে কাজ করা</t>
  </si>
  <si>
    <t>সবচেয়ে কম</t>
  </si>
  <si>
    <t>স্ট্যাটাস বারে অগ্রগতি দেখান?</t>
  </si>
  <si>
    <t>নরম</t>
  </si>
  <si>
    <t>সমাধান ওয়ার্কশিট সেটআপ সম্পূর্ণ।</t>
  </si>
  <si>
    <t>ডিপো শুরু হচ্ছে</t>
  </si>
  <si>
    <t>এলএনএস পুনরাবৃত্তি শুরু হচ্ছে</t>
  </si>
  <si>
    <t>শুরু অবস্থান</t>
  </si>
  <si>
    <t>গণনা বন্ধ করুন</t>
  </si>
  <si>
    <t>স্টপস:</t>
  </si>
  <si>
    <t>বিয়োগের বিতরণ</t>
  </si>
  <si>
    <t>এর পরে সবচেয়ে ভাল সমাধান পাওয়া গেল</t>
  </si>
  <si>
    <t>প্রদত্ত বহরের সক্ষমতা বাধ্যতামূলক চাহিদা পরিবহনের জন্য যথেষ্ট নয়।</t>
  </si>
  <si>
    <t>বাধ্যতামূলক সরবরাহ পরিবহনের জন্য প্রদত্ত বহরের সক্ষমতা যথেষ্ট নয়।</t>
  </si>
  <si>
    <t>অবস্থানের চাহিদা</t>
  </si>
  <si>
    <t>সলভারটির সর্বশেষতম সংস্করণটি এখানে ডাউনলোড করা যায়</t>
  </si>
  <si>
    <t>সমাধানকারীটির সর্বশেষতম সংস্করণটি এখানে ডাউনলোড করা যাবে:</t>
  </si>
  <si>
    <t>যানবাহন বোঝা</t>
  </si>
  <si>
    <t>অবস্থানের পরিষেবা সময়</t>
  </si>
  <si>
    <t>সমাধানটির ফর্ম্যাট সমস্যা রয়েছে:</t>
  </si>
  <si>
    <t>সমাধানটি সম্ভাব্য।</t>
  </si>
  <si>
    <t>সমাধানটি অক্ষম।</t>
  </si>
  <si>
    <t>লোকেশন সরবরাহ</t>
  </si>
  <si>
    <t>অবস্থানের সময় উইন্ডো শেষ সময়</t>
  </si>
  <si>
    <t>অবস্থানের সময় উইন্ডো শুরুর সময়</t>
  </si>
  <si>
    <t>অবস্থানের দর্শন সময়</t>
  </si>
  <si>
    <t>| অক্ষাংশ | সহ স্থানাঙ্ক রয়েছে &gt; 90 বা | দ্রাঘিমাংশ | &gt; 180. একটি ফাঁকা পটভূমি নিয়ে এগিয়ে চলছে।</t>
  </si>
  <si>
    <t>পিকআপ আইটেমগুলির চাহিদা মেটাতে পিকআপ আইটেমগুলির জন্য পর্যাপ্ত সরবরাহ নেই।</t>
  </si>
  <si>
    <t>প্রারম্ভিক অবস্থানে সর্বাধিক এক ফিরতে পারে। লঙ্ঘন এখানে:</t>
  </si>
  <si>
    <t>সমাধানের কার্যপত্রকটি তৈরি করতে অবশ্যই কমপক্ষে একটি উপলব্ধ যানবাহন থাকতে হবে।</t>
  </si>
  <si>
    <t>এটি সমস্ত বিদ্যমান সমস্যার ডেটা মুছে ফেলবে। আপনি কি অবিরত করতে চান?</t>
  </si>
  <si>
    <t>এটি বিদ্যমান দূরত্ব, সমাধান এবং ভিজ্যুয়ালাইজেশন ডেটা মুছে ফেলবে। আপনি কি অবিরত করতে চান?</t>
  </si>
  <si>
    <t>এটি বিদ্যমান দূরত্বের ডেটা ওভাররাইট করবে এবং কিছু সময় নেবে (আনুমানিক)</t>
  </si>
  <si>
    <t>এটি বিদ্যমান দূরত্বের ডেটা ওভাররাইট করবে। আপনি কি অবিরত করতে চান?</t>
  </si>
  <si>
    <t>এটি বিদ্যমান অবস্থানের ডেটা ওভাররাইট করবে এবং দূরত্ব এবং সমাধানের ডেটা মুছবে। আপনি কি অবিরত করতে চান?</t>
  </si>
  <si>
    <t>এটি বিদ্যমান যানবাহনের সামঞ্জস্যের ডেটা ওভাররাইট করবে। আপনি কি অবিরত করতে চান?</t>
  </si>
  <si>
    <t>এটি বিদ্যমান যানবাহনের ডেটা ওভাররাইট করবে এবং সমাধান এবং ভিজুয়ালাইজেশন ডেটা মুছে ফেলবে। আপনি কি অবিরত করতে চান?</t>
  </si>
  <si>
    <t>এটি বিদ্যমান ভিজ্যুয়ালাইজেশন ডেটা ওভাররাইট করবে। নীচের হ্যাঁ বোতামটি ক্লিক করে, আপনি নিশ্চিত হয়েছিলেন যে আপনি বিং মানচিত্রের পরিষেবার শর্তাদি স্বীকার করেছেন। আপনি কি অবিরত করতে চান?</t>
  </si>
  <si>
    <t>এটি বিদ্যমান ভিজ্যুয়ালাইজেশন ডেটা ওভাররাইট করবে। আপনি কি অবিরত করতে চান?</t>
  </si>
  <si>
    <t>এই লাগবে</t>
  </si>
  <si>
    <t>এতে কিছুটা সময় লাগবে (আনুমানিক)</t>
  </si>
  <si>
    <t>সময় উইন্ডো শেষ</t>
  </si>
  <si>
    <t>সময় উইন্ডো শুরু</t>
  </si>
  <si>
    <t>সময় উইন্ডো টাইপ</t>
  </si>
  <si>
    <t>প্রতি</t>
  </si>
  <si>
    <t>মোট নিট লাভ:</t>
  </si>
  <si>
    <t>সরঞ্জাম মেনু অ্যাক্সেস করতে অক্ষম।</t>
  </si>
  <si>
    <t>মান</t>
  </si>
  <si>
    <t>যানবাহন</t>
  </si>
  <si>
    <t>গাড়ির সামঞ্জস্যতা কার্যপত্রক সেটআপ সম্পূর্ণ।</t>
  </si>
  <si>
    <t>গাড়ির ধরন</t>
  </si>
  <si>
    <t>যানবাহন:</t>
  </si>
  <si>
    <t>যানবাহনের কার্যপত্রক সেটআপ সম্পূর্ণ।</t>
  </si>
  <si>
    <t>ভিজ্যুয়ালাইজেশন পটভূমি</t>
  </si>
  <si>
    <t>ভিআরপি সলভার</t>
  </si>
  <si>
    <t>ভিআরপি সলভার কনসোল</t>
  </si>
  <si>
    <t>ভিআরপি স্প্রেডশিট সলভার সঞ্চালিত</t>
  </si>
  <si>
    <t>গরম শুরু?</t>
  </si>
  <si>
    <t>Mtatuzi wa nje alirudisha suluhisho. Je! Unataka kuweka suluhisho la sasa na suluhisho bora zaidi?</t>
  </si>
  <si>
    <t>Haraka zaidi</t>
  </si>
  <si>
    <t>Haraka - Trafiki ya Wakati Halisi</t>
  </si>
  <si>
    <t>Gharama zisizohamishika kwa kila safari</t>
  </si>
  <si>
    <t>Kutoka</t>
  </si>
  <si>
    <t>Ngumu</t>
  </si>
  <si>
    <t>Ikiwa imeamilishwa, maeneo ya kupeleka lazima yatembelewe kabla ya maeneo ya kuchukua</t>
  </si>
  <si>
    <t>Haiendani</t>
  </si>
  <si>
    <t>Lugha</t>
  </si>
  <si>
    <t>Lat / Lon imejaa watu. Tafadhali angalia ramani kwenye karatasi ya Maeneo kwa makosa ya ujanibishaji.</t>
  </si>
  <si>
    <t>Latitudo (y)</t>
  </si>
  <si>
    <t>Algorithm ya LNS inaendesha ...</t>
  </si>
  <si>
    <t>Mzigo</t>
  </si>
  <si>
    <t>Mahali</t>
  </si>
  <si>
    <t>Kitambulisho cha Mahali</t>
  </si>
  <si>
    <t>Vitambulisho vya eneo</t>
  </si>
  <si>
    <t>Lebo za mahali</t>
  </si>
  <si>
    <t>Jina la Mahali</t>
  </si>
  <si>
    <t>Jina la eneo</t>
  </si>
  <si>
    <t>Majina ya eneo</t>
  </si>
  <si>
    <t>Maeneo lazima yaendane kwa njia. Ukiukaji saa:</t>
  </si>
  <si>
    <t>Usanidi wa karatasi ya maeneo umekamilika.</t>
  </si>
  <si>
    <t>Umbali (x)</t>
  </si>
  <si>
    <t>Kuingia kwa mikono</t>
  </si>
  <si>
    <t>Inaweza kutembelewa</t>
  </si>
  <si>
    <t>Njia:</t>
  </si>
  <si>
    <t>Zaidi inaweza kupatikana chini ya sababu zilizogunduliwa za kutowezekana katika karatasi ya suluhisho.</t>
  </si>
  <si>
    <t>Lazima utembelewe</t>
  </si>
  <si>
    <t>Lazima kutembelewa?</t>
  </si>
  <si>
    <t>Jina</t>
  </si>
  <si>
    <t>Faida halisi:</t>
  </si>
  <si>
    <t>Hapana</t>
  </si>
  <si>
    <t>Hakuna njia ya kuendesha gari inayoweza kupatikana kati ya baadhi ya maeneo. Tafadhali angalia anwani na kuratibu.</t>
  </si>
  <si>
    <t>Idadi ya wateja</t>
  </si>
  <si>
    <t>Idadi ya bohari</t>
  </si>
  <si>
    <t>Idadi ya aina za gari</t>
  </si>
  <si>
    <t>Idadi ya magari</t>
  </si>
  <si>
    <t>Sehemu moja au zaidi ziko mbali sana na barabara yoyote. Tafadhali angalia anwani na kuratibu.</t>
  </si>
  <si>
    <t>Chanzo wazi, kilichotengenezwa na Dr Gunes Erdogan (G.Erdogan@bath.ac.uk)</t>
  </si>
  <si>
    <t>Hiari - Ufunguo wa Ramani za Bing</t>
  </si>
  <si>
    <t>Kigezo</t>
  </si>
  <si>
    <t>Kiasi cha kuchukua</t>
  </si>
  <si>
    <t>Tafadhali ingiza nambari ya nambari isiyo na ubishi</t>
  </si>
  <si>
    <t>Tafadhali ingiza thamani isiyo ya ubishi</t>
  </si>
  <si>
    <t>Tafadhali ingiza thamani chanya</t>
  </si>
  <si>
    <t>Tafadhali ingiza thamani kubwa kuliko au sawa na sekunde 10.</t>
  </si>
  <si>
    <t>Tafadhali ingiza nambari kutoka 1 hadi 10</t>
  </si>
  <si>
    <t>Tafadhali ingiza nambari kutoka 1 hadi 20</t>
  </si>
  <si>
    <t>Tafadhali ingiza nambari kamili kutoka 5 hadi 200</t>
  </si>
  <si>
    <t>Tafadhali rejelea mwongozo wa kurekebisha kiolesura.</t>
  </si>
  <si>
    <t>Tafadhali weka, funga, na ufungue tena kitabu cha kazi ili menyu iweze kusasishwa.</t>
  </si>
  <si>
    <t>Tafadhali chagua thamani kutoka kwenye orodha inayopatikana kwenye seli iliyochaguliwa.</t>
  </si>
  <si>
    <t>Kuishi umbali,</t>
  </si>
  <si>
    <t>Kujaa Lat / Lon,</t>
  </si>
  <si>
    <t>Kuongeza umbali kutumia huduma ya Ramani za Bing GIS kutaandika data ya umbali iliyopo na itachukua muda (inakadiriwa</t>
  </si>
  <si>
    <t>Faida</t>
  </si>
  <si>
    <t>Faida imekusanywa</t>
  </si>
  <si>
    <t>Sababu za kutowezekana zimegunduliwa.</t>
  </si>
  <si>
    <t>Pendekezo: Angalau</t>
  </si>
  <si>
    <t>Pendekezo: Tumia 'Haraka zaidi'</t>
  </si>
  <si>
    <t>Pendekezo: Tumia muundo wa 'msimbo wa posta, nchi' kwa anwani</t>
  </si>
  <si>
    <t>Umbali wa Rectilinear (Manhattan)</t>
  </si>
  <si>
    <t>Maneno</t>
  </si>
  <si>
    <t>Rudisha bohari</t>
  </si>
  <si>
    <t>Umbali wa mviringo wa Euclidian</t>
  </si>
  <si>
    <t>Rusuhi Cantay kwa kusaidia na msaada wa lugha anuwai.</t>
  </si>
  <si>
    <t>Shule ya Usimamizi, Chuo Kikuu cha Bath, 2020.</t>
  </si>
  <si>
    <t>Tuma maoni / uliza swali</t>
  </si>
  <si>
    <t>Mlolongo</t>
  </si>
  <si>
    <t>Wakati wa huduma</t>
  </si>
  <si>
    <t>Kuweka karatasi ya umbali, kufanya kazi kwenye eneo</t>
  </si>
  <si>
    <t>Kuweka karatasi ya suluhisho, kufanya kazi kwenye gari</t>
  </si>
  <si>
    <t>Fupi zaidi</t>
  </si>
  <si>
    <t>Onyesha maendeleo kwenye mwambaa hali?</t>
  </si>
  <si>
    <t>Laini</t>
  </si>
  <si>
    <t>Usanidi wa karatasi ya suluhisho umekamilika.</t>
  </si>
  <si>
    <t>Kuanzia bohari</t>
  </si>
  <si>
    <t>Kuanzisha upimaji wa LNS</t>
  </si>
  <si>
    <t>Kuanzia eneo</t>
  </si>
  <si>
    <t>Acha kuhesabu</t>
  </si>
  <si>
    <t>Imesimama:</t>
  </si>
  <si>
    <t>Utoaji wa kuvutia</t>
  </si>
  <si>
    <t>Suluhisho bora kupatikana baada ya</t>
  </si>
  <si>
    <t>Uwezo wa meli zilizopewa haitoshi kusafirisha mahitaji ya lazima.</t>
  </si>
  <si>
    <t>Uwezo wa meli zilizopewa haitoshi kusafirisha usambazaji wa lazima.</t>
  </si>
  <si>
    <t>Mahitaji ya eneo</t>
  </si>
  <si>
    <t>Toleo la hivi karibuni la solver linaweza kupakuliwa kwenye</t>
  </si>
  <si>
    <t>Toleo la hivi karibuni la suluhisho linapakuliwa kwenye: http://people.bath.ac.uk/ge277/vrp-spreadsheet-solver/</t>
  </si>
  <si>
    <t>Mzigo wa gari</t>
  </si>
  <si>
    <t>Wakati wa huduma ya eneo</t>
  </si>
  <si>
    <t>Suluhisho lina shida za fomati:</t>
  </si>
  <si>
    <t>Suluhisho linawezekana.</t>
  </si>
  <si>
    <t>Suluhisho haliwezekani.</t>
  </si>
  <si>
    <t>Ugavi wa eneo</t>
  </si>
  <si>
    <t>Wakati wa mwisho wa eneo la dirisha</t>
  </si>
  <si>
    <t>Wakati wa kuanza kwa dirisha la saa</t>
  </si>
  <si>
    <t>Wakati wa kutembelea eneo</t>
  </si>
  <si>
    <t>Kuna kuratibu na | latitudo | &gt; 90 au | longitudo | &gt; 180. Kuendelea na usuli tupu.</t>
  </si>
  <si>
    <t>Hakuna usambazaji wa kutosha wa vitu vya kubeba kukidhi mahitaji ya vitu vya kubeba.</t>
  </si>
  <si>
    <t>Kunaweza kuwa na kurudi mara moja kwa eneo la kuanzia. Ukiukaji saa:</t>
  </si>
  <si>
    <t>Lazima kuwe na angalau gari moja inayopatikana ili karatasi ya suluhisho iundwe.</t>
  </si>
  <si>
    <t>Hii itafuta data zote zilizopo za shida. Je! Unataka kuendelea?</t>
  </si>
  <si>
    <t>Hii itafuta data iliyopo ya umbali, suluhisho, na taswira. Je! Unataka kuendelea?</t>
  </si>
  <si>
    <t>Hii itaandika data ya umbali iliyopo, na itachukua muda (inakadiriwa</t>
  </si>
  <si>
    <t>Hii itaandika data ya umbali iliyopo. Je! Unataka kuendelea?</t>
  </si>
  <si>
    <t>Hii itaandika data ya eneo iliyopo, na kufuta data ya umbali na suluhisho. Je! Unataka kuendelea?</t>
  </si>
  <si>
    <t>Hii itaondoa data iliyopo ya utangamano wa gari. Je! Unataka kuendelea?</t>
  </si>
  <si>
    <t>Hii itaandika data ya gari iliyopo, na kufuta data ya suluhisho na taswira. Je! Unataka kuendelea?</t>
  </si>
  <si>
    <t>Hii itaondoa data iliyopo ya taswira. Kwa kubofya kitufe cha Ndio hapa chini, unathibitisha kwamba unakubali Sheria na Masharti ya Ramani za Bing. Je! Unataka kuendelea?</t>
  </si>
  <si>
    <t>Hii itaondoa data iliyopo ya taswira. Je! Unataka kuendelea?</t>
  </si>
  <si>
    <t>Hii itachukua</t>
  </si>
  <si>
    <t>Hii itachukua muda (inakadiriwa</t>
  </si>
  <si>
    <t>Dirisha la saa linaisha</t>
  </si>
  <si>
    <t>Muda wa kuanza kwa dirisha</t>
  </si>
  <si>
    <t>Aina ya dirisha la wakati</t>
  </si>
  <si>
    <t>Kwa</t>
  </si>
  <si>
    <t>Jumla ya faida halisi:</t>
  </si>
  <si>
    <t>Imeshindwa kufikia menyu ya Zana.</t>
  </si>
  <si>
    <t>Thamani</t>
  </si>
  <si>
    <t>Gari</t>
  </si>
  <si>
    <t>Usanidi wa karatasi ya utangamano wa gari umekamilika.</t>
  </si>
  <si>
    <t>Aina ya gari</t>
  </si>
  <si>
    <t>Gari:</t>
  </si>
  <si>
    <t>Usanidi wa karatasi ya gari umekamilika.</t>
  </si>
  <si>
    <t>Mandharinyuma ya taswira</t>
  </si>
  <si>
    <t>Solver ya VRP</t>
  </si>
  <si>
    <t>Kiweko cha Suluhisho la VRP</t>
  </si>
  <si>
    <t>Solver Lahajedwali ya VRP ilifanywa</t>
  </si>
  <si>
    <t>Kuanza kwa joto?</t>
  </si>
  <si>
    <t>Onyo</t>
  </si>
  <si>
    <t>Onyo! Unabadilisha vigezo vya hesabu ya umbali, ambayo haitaonyeshwa kwa umbali na muda uliopo hadi utakapowajaza tena.</t>
  </si>
  <si>
    <t>Onyo! Unabadilisha data ya umbali, ambayo haitaonekana kwenye karatasi zingine zilizopo hadi uziweke tena.</t>
  </si>
  <si>
    <t>Onyo! Unabadilisha saizi ya meli, ambayo haitaonyeshwa kwenye karatasi zilizobaki zilizopo hadi uziweke tena.</t>
  </si>
  <si>
    <t>Onyo! Unabadilisha data ya eneo, ambayo inaweza kutoa suluhisho la sasa kuwa lisilowezekana au ndogo, na haitaonyeshwa kwenye karatasi zingine zilizopo hadi uziweke tena.</t>
  </si>
  <si>
    <t>Onyo! Unabadilisha idadi ya aina za gari, ambazo hazitaonyeshwa kwenye karatasi zilizopo, suluhisho, au karatasi za kuibua hadi utakapoweka tena.</t>
  </si>
  <si>
    <t>Onyo! Unabadilisha vigezo kuhusu vizuizi vya suluhisho, ambavyo haitaonekana kwenye karatasi ya suluhisho iliyopo hadi uiweke tena. Suluhisho la sasa linaweza kuwa lisilowezekana.</t>
  </si>
  <si>
    <t>Onyo! Unabadilisha vigezo kuhusu laha ya kazi ya taswira, ambayo haitaonyeshwa kwenye laha ya kazi ya kuibua hadi uiweke tena.</t>
  </si>
  <si>
    <t>Onyo! Unabadilisha vigezo vya saizi ya shida, ambayo haitaonyeshwa kwenye karatasi za kazi zilizopo mpaka utakapoweka tena.</t>
  </si>
  <si>
    <t>Onyo! Unabadilisha data ya gari, ambayo haitaonyeshwa kwenye karatasi zingine zilizopo hadi utakapoweka tena.</t>
  </si>
  <si>
    <t>Onyo: Umbali wa jozi hapa chini haujawa na watu.</t>
  </si>
  <si>
    <t>Onyo: Ukaguzi wa mwisho wa kutoweza kupatikana ulipata shida na suluhisho.</t>
  </si>
  <si>
    <t>Onyo: Suluhisho la mwisho lililorejeshwa na mtatuzi haliridhishi vizuizi vyote.</t>
  </si>
  <si>
    <t>Onyo: Takwimu zimebadilika tangu ukaguzi wa mwisho wa suluhisho / uwezekano wa kuangalia.</t>
  </si>
  <si>
    <t>Wakati wa kuanza kazi</t>
  </si>
  <si>
    <t>Wakati wa kazi</t>
  </si>
  <si>
    <t>Kikomo cha muda wa kufanya kazi</t>
  </si>
  <si>
    <t>Karatasi ya kazi 1. Maeneo lazima yawepo ili kuratibu zijulikane.</t>
  </si>
  <si>
    <t>Karatasi ya kazi 1. Maeneo lazima yawepo kwa maeneo yanayopangwa.</t>
  </si>
  <si>
    <t>Karatasi za kazi 1. Maeneo lazima yawepo kwa karatasi ya umbali iliyoundwa.</t>
  </si>
  <si>
    <t>Karatasi za kazi 1. Maeneo, 2. Masafa, 3. Magari, na 4. Suluhisho lazima liwepo ili mtatuzi wa nje afanye kazi.</t>
  </si>
  <si>
    <t>Karatasi za kazi 1. Maeneo, 2. Masafa, 3. Magari, na 4. Azimio lazima liwepo kwa Ukaguzi wa Kutoweza.</t>
  </si>
  <si>
    <t>Karatasi za kazi 1. Maeneo, 2. Masafa, 3. Magari, na 4. Suluhisho lazima liwepo ili karatasi ya taswira iundwe.</t>
  </si>
  <si>
    <t>Karatasi za kazi 1. Maeneo, 2. Masafa, 3. Magari, na 4. Suluhisho lazima liwepo kwa Suluhishi la Lahajedwali la VRP kufanya kazi.</t>
  </si>
  <si>
    <t>Karatasi za kazi 1. Maeneo, 2. Masafa, na 3. Magari lazima yawepo ili karatasi ya suluhisho iundwe.</t>
  </si>
  <si>
    <t>Karatasi za kazi 1. Maeneo, 2. Masafa, na 3. Magari lazima yawepo ili karatasi ya utangamano wa gari iundwe.</t>
  </si>
  <si>
    <t>Karatasi za kufanya kazi za VRP Solver Console, 1. Maeneo, na 2. Umbali lazima uwepo kwa umbali unaoweza kuhesabiwa.</t>
  </si>
  <si>
    <t>Ndio</t>
  </si>
  <si>
    <t>Ndio - inaweza kufanya hivyo mara nyingi</t>
  </si>
  <si>
    <t>Ndio - mara moja tu mwishoni</t>
  </si>
  <si>
    <t>Unaweza kupata kitufe cha jaribio la bure kwa https://www.bingmapsportal.com/</t>
  </si>
  <si>
    <t>Ufunguo wako wa Ramani za Bing sio halali au umekwisha muda. Kuratibu zilizosalia hazitakuwa na watu.</t>
  </si>
  <si>
    <t>Ufunguo wako wa Ramani za Bing sio halali au umekwisha muda. Umbali uliobaki hautakuwa na watu.</t>
  </si>
  <si>
    <t>Shukrani maalum kwa:</t>
  </si>
  <si>
    <t>সতর্কতা</t>
  </si>
  <si>
    <t>সতর্কতা! আপনি দূরত্বের গণনার প্যারামিটারগুলি পরিবর্তন করছেন, যা আপনি যখন এগুলি আবার পপুলেশন না করেন ততক্ষণ বিদ্যমান দূরত্ব এবং স্থায়িত্বগুলিতে প্রতিফলিত হবে না।</t>
  </si>
  <si>
    <t>সতর্কতা! আপনি দূরত্বের ডেটা পরিবর্তন করছেন, যা বাকি কর্মশীটগুলিতে আবার সেট আপ না করা অবধি প্রতিফলিত হবে না।</t>
  </si>
  <si>
    <t>সতর্কতা! আপনি বহরের আকার পরিবর্তন করছেন, যা বাকি কর্মশীটগুলিকে আবার সেট আপ না করা পর্যন্ত প্রতিফলিত হবে না।</t>
  </si>
  <si>
    <t>সতর্কতা! আপনি অবস্থানের ডেটা পরিবর্তন করছেন, যা বর্তমান সমাধানটিকে অপ্রাপ্তিযোগ্য বা উপশক্তির উপস্থাপন করতে পারে এবং আপনি আবার সেট আপ না করা অবধি বিদ্যমান ওয়ার্কশিটগুলির বাকী অংশে প্রতিফলিত হবে না।</t>
  </si>
  <si>
    <t>সতর্কতা! আপনি যানবাহনের ধরণের সংখ্যা পরিবর্তন করছেন যা বিদ্যমান গাড়ি, সমাধান, বা ভিজ্যুয়ালাইজেশন ওয়ার্কশিটগুলিতে পুনরায় সেট আপ না করা পর্যন্ত এটি প্রতিফলিত হবে না।</t>
  </si>
  <si>
    <t>সতর্কতা! আপনি সমাধানের সীমাবদ্ধতাগুলি সম্পর্কে পরামিতিগুলি পরিবর্তন করছেন, যা আপনি আবার সেট আপ না করা পর্যন্ত বিদ্যমান সমাধানের কার্যপত্রকটিতে প্রতিফলিত হবে না। বর্তমান সমাধান অপরিবর্তনীয় হয়ে উঠতে পারে।</t>
  </si>
  <si>
    <t>সতর্কতা! আপনি ভিজ্যুয়ালাইজেশন ওয়ার্কশিট সম্পর্কিত প্যারামিটারগুলি পরিবর্তন করছেন, যা আপনি আবার সেট আপ না করা পর্যন্ত ভিজ্যুয়ালাইজেশন ওয়ার্কশিটে প্রতিফলিত হবে না।</t>
  </si>
  <si>
    <t>সতর্কতা! আপনি সমস্যার আকারের পরামিতিগুলি পরিবর্তন করছেন, যা আপনি আবার সেট আপ না করা অবধি বিদ্যমান ওয়ার্কশিটগুলিতে প্রতিফলিত হবে না।</t>
  </si>
  <si>
    <t>সতর্কতা! আপনি গাড়ির ডেটা পরিবর্তন করছেন, যা বাকি কর্মশীটগুলিতে আবার সেট আপ না করা পর্যন্ত প্রতিফলিত হবে না।</t>
  </si>
  <si>
    <t>সতর্কতা: নীচের জোড়াগুলির জন্য দূরত্বগুলি জনবহুল হয়নি।</t>
  </si>
  <si>
    <t>সতর্কতা: শেষ অপরিবর্তনীয়তা যাচাই সমস্যার সমাধান পেয়েছে।</t>
  </si>
  <si>
    <t>সতর্কতা: সলভার দ্বারা ফিরিয়ে দেওয়া শেষ সমাধান সমস্ত সীমাবদ্ধতা পূরণ করে না।</t>
  </si>
  <si>
    <t>সতর্কতা: সর্বশেষ সমাধানকারী চালানো / সম্ভাব্যতা যাচাইয়ের পর থেকে ডেটা পরিবর্তন হয়েছে।</t>
  </si>
  <si>
    <t>কাজ শুরুর সময়</t>
  </si>
  <si>
    <t>কাজের সময়</t>
  </si>
  <si>
    <t>কাজের সময়সীমা</t>
  </si>
  <si>
    <t>কার্যপত্রক 1. স্থানাঙ্কগুলি নির্ধারণের জন্য অবস্থানগুলি অবশ্যই বিদ্যমান।</t>
  </si>
  <si>
    <t>কার্যপত্রক 1. অবস্থানগুলি বাছাই করার জন্য অবস্থান অবশ্যই বিদ্যমান।</t>
  </si>
  <si>
    <t>কার্যপত্রক 1. দূরত্বের কার্যপত্রকটি তৈরি করার জন্য অবস্থান অবশ্যই বিদ্যমান exist</t>
  </si>
  <si>
    <t>ওয়ার্কশিটগুলি 1. বহিরাগত দ্রাবককে কাজ করার জন্য সমাধান 1. অবস্থান, 2. দূরত্ব, 3. वाहन এবং 4. সমাধান অবশ্যই বিদ্যমান।</t>
  </si>
  <si>
    <t>কার্যপত্রক 1. স্থান, ২.দুরত্ব, ৩.উক্তিক্যালস এবং ৪.অর্থ্যতা পরীক্ষা করার জন্য সমাধান অবশ্যই বিদ্যমান।</t>
  </si>
  <si>
    <t>কার্যপত্রক 1. অবস্থান, 2. দূরত্ব, 3.ভিচিক্যালস এবং 4. সমাধানটি ভিজ্যুয়ালাইজেশন ওয়ার্কশিটটি তৈরি করার জন্য অবশ্যই বিদ্যমান থাকতে হবে।</t>
  </si>
  <si>
    <t>কার্যপত্রক 1. অবস্থান, 2. দূরত্ব, 3.ভিচিক্যালস, এবং 4. সমাধান ভিআরপি স্প্রেডশিট সলভার কাজ করার জন্য বিদ্যমান থাকতে হবে।</t>
  </si>
  <si>
    <t>কার্যপত্রক 1. অবস্থান, 2. দূরত্ব এবং 3. সমাধান সমাধানের জন্য পত্রিকা তৈরি করতে অবশ্যই অস্তিত্ব থাকতে হবে।</t>
  </si>
  <si>
    <t>ওয়ার্কশিট 1. স্থান, 2. দূরত্ব এবং 3। যানবাহন সামঞ্জস্যতা ওয়ার্কশিট তৈরি করতে অবশ্যই অস্তিত্ব থাকতে হবে।</t>
  </si>
  <si>
    <t>কার্যপত্রক ভিআরপি সলভার কনসোল, 1. স্থান এবং 2. দূরত্বগুলি গণনা করার জন্য অবশ্যই বিদ্যমান থাকতে হবে।</t>
  </si>
  <si>
    <t>হ্যাঁ</t>
  </si>
  <si>
    <t>হ্যাঁ - একাধিকবার এটি করতে পারে</t>
  </si>
  <si>
    <t>হ্যাঁ - একবারে একবারে</t>
  </si>
  <si>
    <t>আপনি https://www.bingmapsportal.com/ এ একটি নিখরচায় কী পেতে পারেন</t>
  </si>
  <si>
    <t>আপনার বিং মানচিত্র কী বৈধ নয় বা মেয়াদোত্তীর্ণ হয়েছে। অবশিষ্ট স্থানাঙ্কগুলি পপুলেশন করা হবে না।</t>
  </si>
  <si>
    <t>আপনার বিং মানচিত্র কী বৈধ নয় বা মেয়াদোত্তীর্ণ হয়েছে। অবশিষ্ট দূরত্ব জনবহুল হবে না।</t>
  </si>
  <si>
    <t>বিশেষ ধন্যবাদ:</t>
  </si>
  <si>
    <t>انتباہ</t>
  </si>
  <si>
    <t>انتباہ! آپ فاصلے کے حساب کے پیرامیٹرز کو تبدیل کر رہے ہیں ، جو موجودہ فاصلوں اور دورانیوں پر ظاہر نہیں ہوگا جب تک کہ آپ انہیں دوبارہ آباد نہ کریں۔</t>
  </si>
  <si>
    <t>انتباہ! آپ فاصلہ کا ڈیٹا تبدیل کر رہے ہیں ، جو باقی موجودہ ورک شیٹوں پر ظاہر نہیں ہوگا جب تک آپ انہیں دوبارہ مرتب نہیں کریں گے۔</t>
  </si>
  <si>
    <t>انتباہ! آپ بیڑے کے سائز کو تبدیل کر رہے ہیں ، جو باقی موجودہ ورک شیٹوں پر ظاہر نہیں ہوگا جب تک کہ آپ انہیں دوبارہ مرتب نہ کریں۔</t>
  </si>
  <si>
    <t>انتباہ! آپ محل وقوع کا ڈیٹا تبدیل کر رہے ہیں ، جو موجودہ حل کو ناقابل استعمال یا سبوپٹیمل پیش کرسکتا ہے ، اور باقی موجود ورک شیٹس پر اس وقت تک نہیں جھلکیں گے جب تک کہ آپ انہیں دوبارہ مرتب نہیں کریں۔</t>
  </si>
  <si>
    <t>انتباہ! آپ گاڑیوں کی اقسام کی تعداد تبدیل کر رہے ہیں ، جو موجودہ گاڑیوں ، حل ، یا تصویری ورکی شیٹس پر ظاہر نہیں ہوگا جب تک کہ آپ انہیں دوبارہ مرتب نہیں کریں۔</t>
  </si>
  <si>
    <t>انتباہ! آپ حل کی رکاوٹوں سے متعلق پیرامیٹرز کو تبدیل کر رہے ہیں ، جو موجودہ حل ورکشیٹ پر ظاہر نہیں ہوگا جب تک آپ اسے دوبارہ مرتب نہیں کرتے ہیں۔ ہوسکتا ہے کہ موجودہ حل ناقابل عمل ہو گیا ہو۔</t>
  </si>
  <si>
    <t>انتباہ! آپ ویژیلائزیشن ورکشیٹ سے متعلق پیرامیٹرز کو تبدیل کر رہے ہیں ، جس کی عکاسی ورکی شیٹ پر نہیں ہوگی جب تک آپ اسے دوبارہ مرتب نہیں کرتے ہیں۔</t>
  </si>
  <si>
    <t>انتباہ! آپ دشواری کے سائز کے پیرامیٹرز کو تبدیل کر رہے ہیں ، جو موجودہ ورک شیٹوں پر ظاہر نہیں ہوگا جب تک آپ انہیں دوبارہ مرتب نہیں کرتے ہیں۔</t>
  </si>
  <si>
    <t>انتباہ! آپ گاڑی کا ڈیٹا تبدیل کر رہے ہیں ، جو باقی موجودہ ورک شیٹوں پر ظاہر نہیں ہوگی جب تک آپ انہیں دوبارہ مرتب نہیں کریں گے۔</t>
  </si>
  <si>
    <t>انتباہ: نیچے کے جوڑے کے لئے فاصلہ آباد نہیں کیا گیا ہے۔</t>
  </si>
  <si>
    <t>انتباہ: آخری ناکامی کی جانچ پڑتال میں حل میں دشواری کا سامنا کرنا پڑا۔</t>
  </si>
  <si>
    <t>انتباہ: حل کرنے والے کے ذریعہ لوٹا ہوا آخری حل تمام رکاوٹوں کو پورا نہیں کرتا ہے۔</t>
  </si>
  <si>
    <t>انتباہ: آخری سولور رن / فزیبلٹی چیک کے بعد سے ڈیٹا بدلا ہے۔</t>
  </si>
  <si>
    <t>کام شروع ہونے کا وقت</t>
  </si>
  <si>
    <t>کام کرنے کا وقت</t>
  </si>
  <si>
    <t>کام کرنے کی وقت کی حد</t>
  </si>
  <si>
    <t>ورک شیٹ 1. کوآرڈینیٹ کا تعین کرنے کے لئے مقامات موجود ہوں۔</t>
  </si>
  <si>
    <t>ورک شیٹ 1. جگہوں کو ترتیب دینے کے لoc مقامات ضرور موجود ہوں گے۔</t>
  </si>
  <si>
    <t>ورک شیٹ 1. فاصلاتی ورک شیٹ بنانے کے لoc مقامات موجود ہوں گے۔</t>
  </si>
  <si>
    <t>ورک شیٹ 1. مقامات ، 2. فاصلے ، 3. گاڑیوں ، اور 4. بیرونی محلول کے کام کرنے کے لolution حل موجود ہونا ضروری ہے۔</t>
  </si>
  <si>
    <t>ورک شیٹ 1. مقامات ، 2. فاصلے ، 3. گاڑیاں ، اور 4. ناکافی جانچ پڑتال کے لolution حل موجود ہونا ضروری ہے۔</t>
  </si>
  <si>
    <t>ورک شیٹ 1. مقامات ، 2. فاصلے ، 3. گاڑیاں ، اور 4. تصو existر کی تخلیق کے ل works حل موجود ہونا ضروری ہے۔</t>
  </si>
  <si>
    <t>ورک شیٹس 1. مقامات ، 2. فاصلے ، 3. گاڑیاں ، اور 4. وی آر پی اسپریڈشیٹ سالور کے کام کرنے کے لolution حل موجود ہونا ضروری ہے۔</t>
  </si>
  <si>
    <t>ورکشیٹ 1. مقامات ، 2. فاصلے ، اور 3. حل کی ورکیٹیٹ تخلیق کرنے کے لئے ضروریات موجود ہونی چاہئیں۔</t>
  </si>
  <si>
    <t>ورک شیٹ 1. مقامات ، 2. فاصلے ، اور 3. گاڑیوں کی مطابقت والی ورک شیٹ تیار کرنے کے لe گاڑیوں کا موجود ہونا ضروری ہے۔</t>
  </si>
  <si>
    <t>ورک شیٹ وی آر پی سولور کنسول ، 1. مقامات ، اور 2. فاصلوں کا حساب لگانے کے ل exist ضروری ہے۔</t>
  </si>
  <si>
    <t>جی ہاں</t>
  </si>
  <si>
    <t>ہاں - ایسا متعدد بار کرسکتا ہے</t>
  </si>
  <si>
    <t>ہاں - آخر میں صرف ایک بار</t>
  </si>
  <si>
    <t>آپ مفت آزمائشی کلید https://www.bingmapsportal.com/ پر حاصل کرسکتے ہیں۔</t>
  </si>
  <si>
    <t>آپ کے بنگلہ میپس کی کلید درست نہیں ہے یا میعاد ختم ہوگئی ہے۔ باقی کوآرڈینیٹ آباد نہیں ہوں گے۔</t>
  </si>
  <si>
    <t>آپ کے بنگلہ میپ کی کلید درست نہیں ہے یا اس کی میعاد ختم ہوگئی ہے۔ باقی فاصلے آباد نہیں ہوں گے۔</t>
  </si>
  <si>
    <t>خصوصی شکریہ:</t>
  </si>
  <si>
    <t>Peringatan</t>
  </si>
  <si>
    <t>Peringatan! Anda mengubah parameter penghitungan jarak, yang tidak akan tercermin pada jarak dan durasi yang ada hingga Anda mengisinya lagi.</t>
  </si>
  <si>
    <t>Peringatan! Anda mengubah data jarak, yang tidak akan tercermin pada lembar kerja lainnya yang ada sampai Anda mengaturnya lagi.</t>
  </si>
  <si>
    <t>Peringatan! Anda mengubah ukuran armada, yang tidak akan terlihat di lembar kerja lain yang ada hingga Anda menyiapkannya lagi.</t>
  </si>
  <si>
    <t>Peringatan! Anda mengubah data lokasi, yang mungkin membuat solusi saat ini tidak layak atau kurang optimal, dan tidak akan tercermin di lembar kerja lainnya yang ada hingga Anda menyiapkannya lagi.</t>
  </si>
  <si>
    <t>Peringatan! Anda mengubah jumlah jenis kendaraan, yang tidak akan terlihat pada kendaraan yang ada, solusi, atau lembar kerja visualisasi hingga Anda mengaturnya lagi.</t>
  </si>
  <si>
    <t>Peringatan! Anda mengubah parameter mengenai batasan untuk solusi, yang tidak akan tercermin pada lembar kerja solusi yang ada sampai Anda mengaturnya lagi. Solusi saat ini mungkin menjadi tidak layak.</t>
  </si>
  <si>
    <t>Peringatan! Anda mengubah parameter mengenai lembar kerja visualisasi, yang tidak akan tercermin pada lembar kerja visualisasi sampai Anda mengaturnya lagi.</t>
  </si>
  <si>
    <t>Peringatan! Anda mengubah parameter ukuran masalah, yang tidak akan tercermin pada lembar kerja yang ada sampai Anda mengaturnya lagi.</t>
  </si>
  <si>
    <t>Peringatan! Anda sedang mengubah data kendaraan, yang tidak akan terlihat di lembar kerja lainnya yang ada sampai Anda mengaturnya lagi.</t>
  </si>
  <si>
    <t>Peringatan: Jarak untuk pasangan di bawah ini belum diisi.</t>
  </si>
  <si>
    <t>Peringatan: Pemeriksaan ketidaklayakan terakhir menemukan masalah dengan solusinya.</t>
  </si>
  <si>
    <t>Peringatan: Solusi terakhir yang dikembalikan oleh solver tidak memenuhi semua batasan.</t>
  </si>
  <si>
    <t>Peringatan: Data telah berubah sejak pemeriksaan kelayakan / jalan solver terakhir.</t>
  </si>
  <si>
    <t>Waktu mulai kerja</t>
  </si>
  <si>
    <t>Waktu kerja</t>
  </si>
  <si>
    <t>Batas waktu kerja</t>
  </si>
  <si>
    <t>Lembar Kerja 1. Lokasi harus ada agar koordinat dapat ditentukan.</t>
  </si>
  <si>
    <t>Lembar Kerja 1. Lokasi harus ada untuk lokasi yang akan disortir.</t>
  </si>
  <si>
    <t>Lembar Kerja 1. Lokasi harus ada agar lembar kerja jarak dapat dibuat.</t>
  </si>
  <si>
    <t>Lembar kerja 1. Lokasi, 2. Jarak, 3. Kendaraan, dan 4. Solusi harus ada agar pemecah eksternal berfungsi.</t>
  </si>
  <si>
    <t>Lembar kerja 1. Lokasi, 2. Jarak, 3. Kendaraan, dan 4. Solusi harus ada untuk Pemeriksaan Ketidaklayakan.</t>
  </si>
  <si>
    <t>Lembar Kerja 1. Lokasi, 2. Jarak, 3. Kendaraan, dan 4. Solusi harus ada untuk lembar kerja visualisasi yang akan dibuat.</t>
  </si>
  <si>
    <t>Lembar kerja 1. Lokasi, 2. Jarak, 3. Kendaraan, dan 4. Solusi harus ada agar VRP Spreadsheet Solver berfungsi.</t>
  </si>
  <si>
    <t>Lembar kerja 1. Lokasi, 2. Jarak, dan 3. Kendaraan harus ada untuk lembar kerja solusi yang akan dibuat.</t>
  </si>
  <si>
    <t>Lembar kerja 1. Lokasi, 2. Jarak, dan 3. Kendaraan harus ada untuk lembar kerja kompatibilitas kendaraan yang akan dibuat.</t>
  </si>
  <si>
    <t>Lembar Kerja Konsol Pemecah VRP, 1. Lokasi, dan 2. Jarak harus ada untuk jarak yang akan dihitung.</t>
  </si>
  <si>
    <t>Iya</t>
  </si>
  <si>
    <t>Ya - dapat melakukannya beberapa kali</t>
  </si>
  <si>
    <t>Ya - hanya sekali di akhir</t>
  </si>
  <si>
    <t>Anda bisa mendapatkan kunci uji coba gratis di https://www.bingmapsportal.com/</t>
  </si>
  <si>
    <t>Kunci Bing Maps Anda tidak valid atau telah kedaluwarsa. Koordinat yang tersisa tidak akan diisi.</t>
  </si>
  <si>
    <t>Kunci Bing Maps Anda tidak valid atau telah kedaluwarsa. Jarak yang tersisa tidak akan diisi.</t>
  </si>
  <si>
    <t>Terima kasih khusus kepada:</t>
  </si>
  <si>
    <t xml:space="preserve">Bu işlem </t>
  </si>
  <si>
    <t xml:space="preserve"> saniye sürecek. Devam etmek istiyor musun?</t>
  </si>
  <si>
    <t>Lütfen menüyü güncellemek için çalışma kitabını kaydedin, kapatın ve yeniden açın.</t>
  </si>
  <si>
    <t>فارسی</t>
  </si>
  <si>
    <t>Bahasa Melayu</t>
  </si>
  <si>
    <t xml:space="preserve"> tidak dapat dikunjungi dengan had jarak yang diberikan.</t>
  </si>
  <si>
    <t xml:space="preserve"> tidak dapat dikunjungi dengan had masa memandu yang diberikan.</t>
  </si>
  <si>
    <t xml:space="preserve"> melebihi kapasitinya semasa berhenti</t>
  </si>
  <si>
    <t xml:space="preserve"> melebihi had jarak.</t>
  </si>
  <si>
    <t xml:space="preserve"> melebihi had masa memandu.</t>
  </si>
  <si>
    <t xml:space="preserve"> melebihi had masa bekerja.</t>
  </si>
  <si>
    <t xml:space="preserve"> mempunyai jumlah pengambilan negatif semasa berhenti</t>
  </si>
  <si>
    <t xml:space="preserve"> telah digunakan untuk beberapa lokasi. Sila betulkan ralat dan cuba lagi.</t>
  </si>
  <si>
    <t xml:space="preserve"> meminta pengambilan dan penghantaran, yang bertentangan dengan pilihan backhaul.</t>
  </si>
  <si>
    <t xml:space="preserve"> tidak sah.</t>
  </si>
  <si>
    <t xml:space="preserve"> tidak sesuai dengan sebarang jenis kenderaan.</t>
  </si>
  <si>
    <t xml:space="preserve"> melepasi masa waktunya.</t>
  </si>
  <si>
    <t xml:space="preserve"> lebih pendek daripada jangka masa.</t>
  </si>
  <si>
    <t xml:space="preserve"> terlalu besar untuk dimasukkan ke dalam kenderaan apa pun.</t>
  </si>
  <si>
    <t xml:space="preserve"> sedang mengunjungi lokasi yang tidak sesuai</t>
  </si>
  <si>
    <t xml:space="preserve"> Pengulangan LNS dan menemui jalan penyelesaian dengan keuntungan bersih sebanyak</t>
  </si>
  <si>
    <t xml:space="preserve"> Pengulangan LNS tidak memenuhi semua kekangan. Adakah anda ingin menimpa penyelesaian semasa dengan penyelesaian terbaik yang dijumpai?</t>
  </si>
  <si>
    <t xml:space="preserve"> mesti pernah dikunjungi sekali (jumlah lawatan semasa:</t>
  </si>
  <si>
    <t xml:space="preserve"> mesti tidak dilawati.</t>
  </si>
  <si>
    <t xml:space="preserve"> daripada</t>
  </si>
  <si>
    <t xml:space="preserve"> kembali ke lokasi permulaan setelah jangka masa.</t>
  </si>
  <si>
    <t xml:space="preserve"> saat</t>
  </si>
  <si>
    <t xml:space="preserve"> saat) dan ganti data koordinat yang ada. Dengan mengklik butang Ya di bawah, anda mengesahkan bahawa anda menerima Syarat Perkhidmatan Peta Bing. Adakah anda mahu meneruskan?</t>
  </si>
  <si>
    <t xml:space="preserve"> saat), dan menimpa data penyelesaian yang ada. Adakah anda mahu meneruskan?</t>
  </si>
  <si>
    <t xml:space="preserve"> saat), menimpa data penyelesaian yang ada, dan menghapus data visualisasi. Adakah anda mahu meneruskan?</t>
  </si>
  <si>
    <t xml:space="preserve"> saat), menimpa data koordinat yang ada, dan menghapus data jarak yang ada. Dengan mengklik butang Ya di bawah, anda mengesahkan bahawa anda menerima Syarat Perkhidmatan Peta Bing. Adakah anda mahu meneruskan?</t>
  </si>
  <si>
    <t xml:space="preserve"> saat). Dengan mengklik butang Ya di bawah, anda mengesahkan bahawa anda menerima Syarat Perkhidmatan Peta Bing. Adakah anda mahu meneruskan?</t>
  </si>
  <si>
    <t xml:space="preserve"> saat). Adakah anda mahu meneruskan?</t>
  </si>
  <si>
    <t xml:space="preserve"> saat. Adakah anda mahu meneruskan?</t>
  </si>
  <si>
    <t>(Jumlah pengambilan; Jumlah penghantaran)</t>
  </si>
  <si>
    <t>(Masa tetingkap bermula; Tingkap masa berakhir)</t>
  </si>
  <si>
    <t>. Jumlah keuntungan bersih terbaik setakat ini:</t>
  </si>
  <si>
    <t>. Adakah anda ingin menimpa penyelesaian semasa dengan penyelesaian terbaik yang dijumpai?</t>
  </si>
  <si>
    <t>0. Pilihan - Tetapkan semula buku kerja</t>
  </si>
  <si>
    <t>0. Antara muka</t>
  </si>
  <si>
    <t>1.1 Lembar Kerja Lokasi Persediaan</t>
  </si>
  <si>
    <t>1.2 Pilihan - Isi Lat / Lon menggunakan alamat</t>
  </si>
  <si>
    <t>1.3 Pilihan - Susun lokasi mengikut abjad</t>
  </si>
  <si>
    <t>2.1 Menyusun Lembaran Kerja Jarak</t>
  </si>
  <si>
    <t>2.2 Pilihan - Isi Lembaran Kerja Jarak</t>
  </si>
  <si>
    <t>2. jarak</t>
  </si>
  <si>
    <t>3. Sediakan Lembaran Kerja Kenderaan</t>
  </si>
  <si>
    <t>3.1. Keserasian kenderaan</t>
  </si>
  <si>
    <t>3. kenderaan</t>
  </si>
  <si>
    <t>4. Lembar Kerja Penyelesaian Penyediaan</t>
  </si>
  <si>
    <t>4. Penyelesaian</t>
  </si>
  <si>
    <t>5. Pilihan - Sediakan Lembaran Kerja Visualisasi</t>
  </si>
  <si>
    <t>5. Pilihan - Visualisasi</t>
  </si>
  <si>
    <t>6.1 Libatkan Pemecah Spreadsheet VRP</t>
  </si>
  <si>
    <t>6.2 Pilihan - Pemeriksaan kebolehlaksanaan</t>
  </si>
  <si>
    <t>6.3 Pilihan - Libatkan pemecah luaran</t>
  </si>
  <si>
    <t>6. Selesaikan</t>
  </si>
  <si>
    <t>Kunci Peta Bing yang sah diperlukan agar Lat / Lon dapat ditentukan. Anda boleh mendapatkan kunci percuma di https://www.bingmapsportal.com/</t>
  </si>
  <si>
    <t>Kunci Peta Bing yang sah diperlukan untuk jarak yang akan ditentukan. Anda boleh mendapatkan kunci percuma di https://www.bingmapsportal.com/</t>
  </si>
  <si>
    <t>Kunci Peta Bing yang sah diperlukan. Anda boleh mendapatkan kunci percuma di https://www.bingmapsportal.com/</t>
  </si>
  <si>
    <t>Mengenai</t>
  </si>
  <si>
    <t>Semua koordinat mesti dimasukkan untuk jarak yang akan dihuni.</t>
  </si>
  <si>
    <t>Semua koordinat mesti dimasukkan agar lembaran kerja Visualisasi dibuat.</t>
  </si>
  <si>
    <t>Semua kenderaan mesti serasi dengan semua lokasi apabila terdapat satu jenis kenderaan.</t>
  </si>
  <si>
    <t>Masa ketibaan</t>
  </si>
  <si>
    <t>Kelajuan kenderaan purata</t>
  </si>
  <si>
    <t>Peta Bing</t>
  </si>
  <si>
    <t>Jarak pemanduan Peta Bing (km)</t>
  </si>
  <si>
    <t>Peta Bing jarak memandu (batu)</t>
  </si>
  <si>
    <t>Tempoh memandu Peta Bing</t>
  </si>
  <si>
    <t>Jenis laluan Peta Bing</t>
  </si>
  <si>
    <t>Jarak penerbangan burung (batu)</t>
  </si>
  <si>
    <t>Dengan mengklik butang Ya di bawah, anda mengesahkan bahawa anda menerima Syarat Perkhidmatan Peta Bing. Adakah anda mahu meneruskan?</t>
  </si>
  <si>
    <t>Kapasiti</t>
  </si>
  <si>
    <t>Sesuai</t>
  </si>
  <si>
    <t>Fasa konstruktif ...</t>
  </si>
  <si>
    <t>Kos seunit jarak</t>
  </si>
  <si>
    <t>Had masa CPU (saat)</t>
  </si>
  <si>
    <t>Pengambilan kumulatif</t>
  </si>
  <si>
    <t>Jumlah penghantaran</t>
  </si>
  <si>
    <t>Masa berlepas</t>
  </si>
  <si>
    <t>ID Destinasi</t>
  </si>
  <si>
    <t>Sebab yang tidak dapat dikesan dikesan</t>
  </si>
  <si>
    <t>PENAFIAN: PERISIAN INI DISEDIAKAN 'SEBAGAIMANA ADANYA' DAN SETIAP JAMINAN ATAU JAMINAN TERSIRAT, TERMASUK, TAPI TIDAK TERHAD UNTUK, JAMINAN TERSIRAT DAN KESESUAIAN UNTUK TUJUAN TERTENTU DITOLAK. DALAM TIADA PERISTIWA, PEMBANGUN ASAL TIDAK BERTANGGUNGJAWAB KERANA SEGALA LANGSUNG LANGSUNG, LANGSUNG, INSIDEN, KHUSUS, CONTOH, ATAU SAMBUNGAN (TERMASUK, TAPI TIDAK TERHAD UNTUK, PENGAMBILAN BARANG PENGGANTI ATAU PERKHIDMATAN, LANGKAH, ORANG, DATA, KEROSAKAN, KERUGIAN; GANGGUAN) BAGAIMANA YANG MENYEBABKAN DAN TENTANG SETIAP TEORI TANGGUNGJAWAB, APABILA DALAM KONTRAK, TANGGUNG JAWAB ATAU KEKERANGAN (TERMASUK NEGLIGENSI ATAU LAINNYA) YANG TERSEBUT DALAM APA-APA CARA PENGGUNAAN PERANGKAT LUNAK INI, WALAUPUN DIBERIKAN DARIPADA TERSEBUT.</t>
  </si>
  <si>
    <t>Kaedah pengiraan jarak</t>
  </si>
  <si>
    <t>Had jarak</t>
  </si>
  <si>
    <t>Jarak perjalanan</t>
  </si>
  <si>
    <t>Jarak penduduk. Beberapa jarak hilang kerana ralat sambungan.</t>
  </si>
  <si>
    <t>Penyediaan lembaran kerja Jarak selesai.</t>
  </si>
  <si>
    <t>Adakah kenderaan kembali ke depotnya?</t>
  </si>
  <si>
    <t>Adakah anda mahu meneruskan?</t>
  </si>
  <si>
    <t>Jangan melawat</t>
  </si>
  <si>
    <t>Masa memandu</t>
  </si>
  <si>
    <t>Had masa memandu</t>
  </si>
  <si>
    <t>Jangka masa</t>
  </si>
  <si>
    <t>Kaedah pengiraan jangka masa</t>
  </si>
  <si>
    <t>Pengganda jangka masa</t>
  </si>
  <si>
    <t>Setiap kenderaan mesti kembali ke depot pemulangannya. Pelanggaran di:</t>
  </si>
  <si>
    <t>Penyelesai luaran (vrp_spreadsheet_solver.dll) tidak dijumpai. Adakah anda mahu meneruskan penyelesai dalaman?</t>
  </si>
  <si>
    <t xml:space="preserve"> haiwezi kutumiwa na kikomo cha muda uliopewa wa kufanya kazi.</t>
  </si>
  <si>
    <t xml:space="preserve"> tidak dapat dilayan dengan had masa kerja yang diberikan.</t>
  </si>
  <si>
    <t>با محدودیت زمان کار داده شده قابل ارائه نیست.</t>
  </si>
  <si>
    <t xml:space="preserve"> با محدودیت فاصله داده شده قابل بازدید نیست.</t>
  </si>
  <si>
    <t xml:space="preserve"> با محدودیت زمان رانندگی قابل بازدید نیست.</t>
  </si>
  <si>
    <t xml:space="preserve"> کامل.</t>
  </si>
  <si>
    <t xml:space="preserve"> بیش از ظرفیت خود در توقف است</t>
  </si>
  <si>
    <t xml:space="preserve"> بیش از حد فاصله است.</t>
  </si>
  <si>
    <t xml:space="preserve"> از محدودیت زمانی رانندگی فراتر می رود.</t>
  </si>
  <si>
    <t xml:space="preserve"> بیش از محدودیت زمان کار</t>
  </si>
  <si>
    <t xml:space="preserve"> در توقف مقدار پیکاپ منفی دارد</t>
  </si>
  <si>
    <t xml:space="preserve"> برای چندین مکان استفاده شده است. لطفاً خطا را اصلاح کنید و دوباره امتحان کنید.</t>
  </si>
  <si>
    <t xml:space="preserve"> تقاضای وانت و تحویل را دارد که با گزینه backhauls مغایرت دارد.</t>
  </si>
  <si>
    <t xml:space="preserve"> نامعتبر است</t>
  </si>
  <si>
    <t xml:space="preserve"> با هیچ نوع وسیله نقلیه سازگار نیست.</t>
  </si>
  <si>
    <t xml:space="preserve"> از پنجره زمان خود گذشته است.</t>
  </si>
  <si>
    <t xml:space="preserve"> کوتاه تر از پنجره زمان آن است.</t>
  </si>
  <si>
    <t xml:space="preserve"> خیلی بزرگ است که در هر وسیله نقلیه جای نمی گیرد.</t>
  </si>
  <si>
    <t xml:space="preserve"> در حال بازدید از مکان ناسازگار است</t>
  </si>
  <si>
    <t xml:space="preserve"> تکرارهای LNS و یک راه حل با سود خالص پیدا کرد</t>
  </si>
  <si>
    <t xml:space="preserve"> تکرارهای LNS همه محدودیت ها را برآورده نمی کند. آیا می خواهید راه حل فعلی را با بهترین راه حل پیدا کنید؟</t>
  </si>
  <si>
    <t xml:space="preserve"> باید یک بار بازدید شده باشد (تعداد بازدیدهای فعلی:</t>
  </si>
  <si>
    <t xml:space="preserve"> نباید بازدید شود</t>
  </si>
  <si>
    <t xml:space="preserve"> بیرون از</t>
  </si>
  <si>
    <t xml:space="preserve"> از پنجره زمان خود به محل شروع باز می گردد.</t>
  </si>
  <si>
    <t xml:space="preserve"> ثانیه</t>
  </si>
  <si>
    <t xml:space="preserve"> ثانیه) و مختصات موجود را بازنویسی کنید. با کلیک بر روی دکمه بله در زیر ، تأیید می کنید که شرایط خدمات Bing Maps را می پذیرید. می خواهید ادامه دهید؟</t>
  </si>
  <si>
    <t xml:space="preserve"> ثانیه) ، و داده های راه حل موجود را بازنویسی کنید. می خواهید ادامه دهید؟</t>
  </si>
  <si>
    <t xml:space="preserve"> ثانیه) ، داده های راه حل موجود را دوباره بنویسید و داده های تجسم را پاک کنید. می خواهید ادامه دهید؟</t>
  </si>
  <si>
    <t xml:space="preserve"> ثانیه) ، داده های مختصات موجود را دوباره بنویسید و داده های فاصله موجود را پاک کنید. با کلیک بر روی دکمه بله در زیر ، تأیید می کنید که شرایط خدمات Bing Maps را می پذیرید. می خواهید ادامه دهید؟</t>
  </si>
  <si>
    <t xml:space="preserve"> ثانیه) با کلیک بر روی دکمه بله در زیر ، تأیید می کنید که شرایط خدمات Bing Maps را می پذیرید. می خواهید ادامه دهید؟</t>
  </si>
  <si>
    <t xml:space="preserve"> ثانیه) می خواهید ادامه دهید؟</t>
  </si>
  <si>
    <t xml:space="preserve"> ثانیه می خواهید ادامه دهید؟</t>
  </si>
  <si>
    <t>(مبلغ وانت ؛ مبلغ تحویل)</t>
  </si>
  <si>
    <t>(شروع پنجره زمان ؛ پایان پنجره زمان)</t>
  </si>
  <si>
    <t>. بهترین سود خالص کل تاکنون:</t>
  </si>
  <si>
    <t>. آیا می خواهید راه حل فعلی را با بهترین راه حل پیدا کنید؟</t>
  </si>
  <si>
    <t>0. اختیاری - تنظیم مجدد کتاب کار</t>
  </si>
  <si>
    <t>0. رابط</t>
  </si>
  <si>
    <t>1.1 کاربرگ مکانها را تنظیم کنید</t>
  </si>
  <si>
    <t>1.2 اختیاری - Lat / Lon را با استفاده از آدرسها جمع کنید</t>
  </si>
  <si>
    <t>1.3 اختیاری - مرتب سازی بر اساس حروف الفبا</t>
  </si>
  <si>
    <t>1. مکان ها</t>
  </si>
  <si>
    <t>2.1 راه اندازی فاصله کاربر</t>
  </si>
  <si>
    <t>2.2 اختیاری - برگه فاصله را جمع کنید</t>
  </si>
  <si>
    <t>2. فاصله ها</t>
  </si>
  <si>
    <t>3. صفحه کار وسایل نقلیه را تنظیم کنید</t>
  </si>
  <si>
    <t>3.1 سازگاری خودرو</t>
  </si>
  <si>
    <t>3. وسایل نقلیه</t>
  </si>
  <si>
    <t>4. کاربرگ راه حل راه اندازی</t>
  </si>
  <si>
    <t>4. راه حل</t>
  </si>
  <si>
    <t>5. اختیاری - راه اندازی کاربرگ تجسم</t>
  </si>
  <si>
    <t>5. اختیاری - تجسم</t>
  </si>
  <si>
    <t>5. تجسم</t>
  </si>
  <si>
    <t>6.1 درگیر کردن صفحه گسترده صفحه VRP</t>
  </si>
  <si>
    <t>6.2 اختیاری - بررسی امکان سنجی</t>
  </si>
  <si>
    <t>6.3 اختیاری - با حل کننده خارجی درگیر شوید</t>
  </si>
  <si>
    <t>6. حلقه</t>
  </si>
  <si>
    <t>برای تعیین Lat / Lon یک کلید Bing Maps معتبر لازم است. می توانید یک کلید رایگان از https://www.bingmapsportal.com/ دریافت کنید</t>
  </si>
  <si>
    <t>برای تعیین مسافت ، یک کلید نقشه بینگ معتبر مورد نیاز است. می توانید یک کلید رایگان از https://www.bingmapsportal.com/ دریافت کنید</t>
  </si>
  <si>
    <t>یک کلید Bing Maps معتبر لازم است. می توانید یک کلید رایگان از https://www.bingmapsportal.com/ دریافت کنید</t>
  </si>
  <si>
    <t>در باره</t>
  </si>
  <si>
    <t>نشانی</t>
  </si>
  <si>
    <t>خطای آدرس</t>
  </si>
  <si>
    <t>تمام مختصات باید برای مسافتی که باید جمع شود وارد شوند.</t>
  </si>
  <si>
    <t>همه مختصات باید برای ایجاد صفحه کار تجسم وارد شوند.</t>
  </si>
  <si>
    <t>همه وسایل نقلیه باید با همه مکان ها سازگار باشند در حالی که یک نوع وسیله نقلیه وجود دارد.</t>
  </si>
  <si>
    <t>زمان رسیدن</t>
  </si>
  <si>
    <t>سرعت متوسط ​​خودرو</t>
  </si>
  <si>
    <t>عقب انداختن؟</t>
  </si>
  <si>
    <t>نقشه های بینگ</t>
  </si>
  <si>
    <t>مسافت رانندگی نقشه های بینگ (کیلومتر)</t>
  </si>
  <si>
    <t>مسافت رانندگی نقشه های بینگ (مایل)</t>
  </si>
  <si>
    <t>Bing Maps مدت زمان رانندگی</t>
  </si>
  <si>
    <t>نوع مسیر Bing Maps</t>
  </si>
  <si>
    <t>مسافت پرواز پرنده (کیلومتر)</t>
  </si>
  <si>
    <t>مسافت پرواز پرنده (مایل)</t>
  </si>
  <si>
    <t>جای خالی</t>
  </si>
  <si>
    <t>با کلیک بر روی دکمه بله در زیر ، تأیید می کنید که شرایط خدمات Bing Maps را می پذیرید. می خواهید ادامه دهید؟</t>
  </si>
  <si>
    <t>ظرفیت</t>
  </si>
  <si>
    <t>سازگار</t>
  </si>
  <si>
    <t>فاز سازنده ...</t>
  </si>
  <si>
    <t>هزینه واحد مسافت</t>
  </si>
  <si>
    <t>محدودیت زمانی CPU (ثانیه)</t>
  </si>
  <si>
    <t>وانت تجمعی</t>
  </si>
  <si>
    <t>مشتری</t>
  </si>
  <si>
    <t>مقدار تحویل</t>
  </si>
  <si>
    <t>زمان خروج</t>
  </si>
  <si>
    <t>انبار</t>
  </si>
  <si>
    <t>شناسه مقصد</t>
  </si>
  <si>
    <t>دلایل عدم امکان تشخیص</t>
  </si>
  <si>
    <t>سلب مسئولیت: این نرم افزار "همانطور که هست" ارائه می شود و ضمانت نامه های صریح یا ضمنی قابل ذکر است ، شامل ضمانت های قابل قبول قابل قبول بودن و مناسب بودن برای یک هدف خاص ، محدود نمی شود. به هیچ وجه توسعه دهنده اصلی در قبال آسیبهای مستقیم ، غیر مستقیم ، حادثه ای ، خاص ، نمونه یا احتمالی مسئول نخواهد بود (با احتساب ، اما نه محدود ، خرید کالاهای جانبی یا سایر خدمات فروش محصولات) ؛ وقفه) هرچند باعث ایجاد مسئولیت درمقابل هرگونه نظریه درمقابل انعقاد قرارداد ، مسئولیت سختگیرانه ، یا شکنجه (از جمله عدم مراقبت از قانون یا موارد دیگر) شود که به هر طریقی از استفاده از این نرم افزار وجود دارد ، البته این نیز از دیگر نرم افزارهای موجود است.</t>
  </si>
  <si>
    <t>مسافت</t>
  </si>
  <si>
    <t>روش محاسبه فاصله</t>
  </si>
  <si>
    <t>حد فاصله</t>
  </si>
  <si>
    <t>مسافت طی شده</t>
  </si>
  <si>
    <t>فاصله ها پر از جمعیت است.</t>
  </si>
  <si>
    <t>فاصله ها پر از جمعیت است. برخی از فواصل به دلیل خطای اتصال از بین رفته اند.</t>
  </si>
  <si>
    <t>راه اندازی صفحه کار فاصله کامل است.</t>
  </si>
  <si>
    <t>آیا وسایل نقلیه به انبار (های) خود برمی گردند؟</t>
  </si>
  <si>
    <t>می خواهید ادامه دهید؟</t>
  </si>
  <si>
    <t>بازدید نکنید</t>
  </si>
  <si>
    <t>زمان رانندگی</t>
  </si>
  <si>
    <t>محدودیت زمانی رانندگی</t>
  </si>
  <si>
    <t>مدت زمان</t>
  </si>
  <si>
    <t>روش محاسبه مدت زمان</t>
  </si>
  <si>
    <t>ضرب مدت</t>
  </si>
  <si>
    <t>فواصل اقلیدسی</t>
  </si>
  <si>
    <t>هر وسیله نقلیه باید به انبار بازگشت خود بازگردد. تخلف در:</t>
  </si>
  <si>
    <t>حل کننده خارجی (vrp_spreadsheet_solver.dll) یافت نشد. آیا می خواهید با حل کننده داخلی ادامه دهید؟</t>
  </si>
  <si>
    <t>حل کننده خارجی یک راه حل را بازگرداند. آیا می خواهید راه حل فعلی را با بهترین راه حل پیدا کنید؟</t>
  </si>
  <si>
    <t>سریعترین</t>
  </si>
  <si>
    <t>سریعترین - ترافیک در زمان واقعی</t>
  </si>
  <si>
    <t>هزینه ثابت در هر سفر</t>
  </si>
  <si>
    <t>از جانب</t>
  </si>
  <si>
    <t>در صورت فعال شدن ، مکان های تحویل باید قبل از مکان های وانت بازدید شوند</t>
  </si>
  <si>
    <t>ناسازگار</t>
  </si>
  <si>
    <t>جمعیت Lat / Lon. لطفاً نقشه را در صفحه کاری Locations برای خطاهای کدگذاری کد بررسی کنید.</t>
  </si>
  <si>
    <t>عرض جغرافیایی (y)</t>
  </si>
  <si>
    <t>الگوریتم LNS در حال اجرا است ...</t>
  </si>
  <si>
    <t>بار</t>
  </si>
  <si>
    <t>محل</t>
  </si>
  <si>
    <t>شناسه مکان</t>
  </si>
  <si>
    <t>شناسه های مکان</t>
  </si>
  <si>
    <t>برچسب های مکان</t>
  </si>
  <si>
    <t>نام مکان</t>
  </si>
  <si>
    <t>مکان ها باید در مسیرها مجاور باشند. تخلف در:</t>
  </si>
  <si>
    <t>راه اندازی کاربرگ مکان ها کامل شد.</t>
  </si>
  <si>
    <t>طول (x)</t>
  </si>
  <si>
    <t>ورود دستی</t>
  </si>
  <si>
    <t>ممکن است بازدید شود</t>
  </si>
  <si>
    <t>روش:</t>
  </si>
  <si>
    <t>موارد بیشتر را می توان در زیر دلایل تشخیص داده نشدنی در صفحه کار راه حل یافت.</t>
  </si>
  <si>
    <t>باید بازدید کرد</t>
  </si>
  <si>
    <t>باید بازدید کرد؟</t>
  </si>
  <si>
    <t>سود خالص:</t>
  </si>
  <si>
    <t>نه</t>
  </si>
  <si>
    <t>هیچ مسیری برای رانندگی بین برخی از مکان ها یافت نمی شود. لطفا آدرس و مختصات را بررسی کنید.</t>
  </si>
  <si>
    <t>تعداد مشتری ها</t>
  </si>
  <si>
    <t>تعداد انبارها</t>
  </si>
  <si>
    <t>تعداد انواع خودرو</t>
  </si>
  <si>
    <t>تعداد وسایل نقلیه</t>
  </si>
  <si>
    <t>یک یا چند مکان با جاده های دیگر فاصله زیادی دارند. لطفا آدرس و مختصات را بررسی کنید.</t>
  </si>
  <si>
    <t>منبع باز ، توسعه یافته توسط دکتر گونس اردوغان (G.Erdogan@bath.ac.uk)</t>
  </si>
  <si>
    <t>اختیاری - Bing Maps Key</t>
  </si>
  <si>
    <t>پارامتر</t>
  </si>
  <si>
    <t>مبلغ وانت</t>
  </si>
  <si>
    <t>لطفاً یک مقدار صحیح غیر منفی وارد کنید</t>
  </si>
  <si>
    <t>لطفاً یک مقدار غیر منفی وارد کنید</t>
  </si>
  <si>
    <t>لطفا یک مقدار مثبت وارد کنید</t>
  </si>
  <si>
    <t>لطفاً مقداری بزرگتر یا مساوی 10 ثانیه وارد کنید.</t>
  </si>
  <si>
    <t>لطفا یک عدد صحیح از 1 تا 10 وارد کنید</t>
  </si>
  <si>
    <t>لطفا یک عدد صحیح از 1 تا 20 وارد کنید</t>
  </si>
  <si>
    <t>لطفا یک عدد صحیح از 5 تا 200 وارد کنید</t>
  </si>
  <si>
    <t>لطفاً برای تغییر رابط به دفترچه راهنما مراجعه کنید.</t>
  </si>
  <si>
    <t>لطفاً کتاب کار را برای به روزرسانی منو ذخیره ، بسته و دوباره باز کنید.</t>
  </si>
  <si>
    <t>لطفاً مقداری را از لیست موجود در سلول انتخاب شده انتخاب کنید.</t>
  </si>
  <si>
    <t>مسافت جمعیتی ،</t>
  </si>
  <si>
    <t>جمعیت Lat / Lon ،</t>
  </si>
  <si>
    <t>جمع کردن فواصل با استفاده از سرویس GIS Bing Maps داده های فاصله موجود را رونویسی می کند و مدتی طول می کشد (تخمین زده می شود)</t>
  </si>
  <si>
    <t>سود</t>
  </si>
  <si>
    <t>سود جمع شده</t>
  </si>
  <si>
    <t>دلایل عدم امکان شناسایی</t>
  </si>
  <si>
    <t>توصیه: حداقل</t>
  </si>
  <si>
    <t>توصیه: از "سریعترین" استفاده کنید</t>
  </si>
  <si>
    <t>پیشنهاد: برای آدرس ها از قالب "کد پستی ، کشور" استفاده کنید</t>
  </si>
  <si>
    <t>فاصله های یک خطی (منهتن)</t>
  </si>
  <si>
    <t>انبار برگشت</t>
  </si>
  <si>
    <t>فاصله های اقلیدسی گرد شده</t>
  </si>
  <si>
    <t>Rusuhi Cantay برای کمک به پشتیبانی چند زبانه.</t>
  </si>
  <si>
    <t>دانشکده مدیریت ، دانشگاه بات ، 2020</t>
  </si>
  <si>
    <t>بازخورد ارسال کنید / س askالی بپرسید</t>
  </si>
  <si>
    <t>توالی</t>
  </si>
  <si>
    <t>زمان سرویس</t>
  </si>
  <si>
    <t>راه اندازی کاربرگ مسافت ، کار با مکان</t>
  </si>
  <si>
    <t>راه اندازی صفحه کار راه حل ، کار بر روی وسیله نقلیه</t>
  </si>
  <si>
    <t>کوتاهترین</t>
  </si>
  <si>
    <t>پیشرفت در نوار وضعیت نشان داده می شود؟</t>
  </si>
  <si>
    <t>راه اندازی صفحه کار راه حل کامل است.</t>
  </si>
  <si>
    <t>شروع انبار</t>
  </si>
  <si>
    <t>شروع تکرار LNS</t>
  </si>
  <si>
    <t>شروع مکان</t>
  </si>
  <si>
    <t>شمارش را متوقف کنید</t>
  </si>
  <si>
    <t>متوقف می شود:</t>
  </si>
  <si>
    <t>زایمان کم کننده</t>
  </si>
  <si>
    <t>بهترین راه حل پیدا شده بعد</t>
  </si>
  <si>
    <t>ظرفیت ناوگان داده شده برای انتقال تقاضای اجباری کافی نیست.</t>
  </si>
  <si>
    <t>ظرفیت ناوگان داده شده برای حمل و نقل تامین اجباری کافی نیست.</t>
  </si>
  <si>
    <t>تقاضای مکان</t>
  </si>
  <si>
    <t>آخرین نسخه حل کننده را می توانید در اینجا بارگیری کنید</t>
  </si>
  <si>
    <t>آخرین نسخه حل کننده را می توان در اینجا بارگیری کرد: http://people.bath.ac.uk/ge277/vrp-spreadsheet-solver/</t>
  </si>
  <si>
    <t>بار خودرو</t>
  </si>
  <si>
    <t>زمان سرویس دهی محل</t>
  </si>
  <si>
    <t>این راه حل دارای مشکلات فرمت است:</t>
  </si>
  <si>
    <t>راه حل عملی است.</t>
  </si>
  <si>
    <t>راه حل غیرقابل اجرا است.</t>
  </si>
  <si>
    <t>تأمین محل</t>
  </si>
  <si>
    <t>زمان پایان زمان پنجره زمان</t>
  </si>
  <si>
    <t>زمان شروع مکان پنجره زمان</t>
  </si>
  <si>
    <t>زمان بازدید از محل</t>
  </si>
  <si>
    <t>مختصات با | عرض جغرافیایی | وجود دارد &gt; 90 یا | طول جغرافیایی | &gt; 180. ادامه با پس زمینه خالی.</t>
  </si>
  <si>
    <t>برای کالاهای وانت عرضه کافی برای تأمین تقاضای کالاهای وانت وجود ندارد.</t>
  </si>
  <si>
    <t>حداکثر ممکن است یک بازگشت به محل شروع وجود داشته باشد. تخلف در:</t>
  </si>
  <si>
    <t>برای ایجاد صفحه کار راه حل باید حداقل یک وسیله نقلیه در دسترس باشد.</t>
  </si>
  <si>
    <t>با این کار تمام داده های مشکل موجود حذف می شوند. می خواهید ادامه دهید؟</t>
  </si>
  <si>
    <t>با این کار داده ها ، راه حل و تجسم موجود حذف می شود. می خواهید ادامه دهید؟</t>
  </si>
  <si>
    <t>این داده های فاصله موجود را رونویسی می کند و مدتی طول می کشد (تخمین زده می شود)</t>
  </si>
  <si>
    <t>این داده های فاصله موجود را رونویسی می کند. می خواهید ادامه دهید؟</t>
  </si>
  <si>
    <t>با این کار داده های موجود موجود بازنویسی می شود و داده های مسافت و راه حل پاک می شود. می خواهید ادامه دهید؟</t>
  </si>
  <si>
    <t>با این کار داده های موجود سازگاری خودرو بازنویسی می شود. می خواهید ادامه دهید؟</t>
  </si>
  <si>
    <t>این داده های موجود خودرو را رونویسی می کند ، و داده های راه حل و تجسم را پاک می کند. می خواهید ادامه دهید؟</t>
  </si>
  <si>
    <t>این داده های تجسم موجود را رونویسی می کند. با کلیک بر روی دکمه بله در زیر ، تأیید می کنید که شرایط خدمات Bing Maps را می پذیرید. می خواهید ادامه دهید؟</t>
  </si>
  <si>
    <t>این داده های تجسم موجود را رونویسی می کند. می خواهید ادامه دهید؟</t>
  </si>
  <si>
    <t>این طول خواهد کشید</t>
  </si>
  <si>
    <t>مدتی طول می کشد (تخمین زده می شود)</t>
  </si>
  <si>
    <t>پایان پنجره زمان</t>
  </si>
  <si>
    <t>زمان شروع پنجره</t>
  </si>
  <si>
    <t>نوع پنجره زمان</t>
  </si>
  <si>
    <t>به</t>
  </si>
  <si>
    <t>سود خالص کل:</t>
  </si>
  <si>
    <t>دسترسی به منوی Tools امکان پذیر نیست.</t>
  </si>
  <si>
    <t>ارزش</t>
  </si>
  <si>
    <t>وسیله نقلیه</t>
  </si>
  <si>
    <t>راه اندازی کاربرگ سازگاری خودرو کامل شد.</t>
  </si>
  <si>
    <t>نوع خودرو</t>
  </si>
  <si>
    <t>وسیله نقلیه:</t>
  </si>
  <si>
    <t>راه اندازی صفحه کار وسایل نقلیه کامل است.</t>
  </si>
  <si>
    <t>پس زمینه تجسم</t>
  </si>
  <si>
    <t>کنسول VRP Solver</t>
  </si>
  <si>
    <t>حل صفحه گسترده VRP</t>
  </si>
  <si>
    <t>VRP صفحه گسترده حل کرد</t>
  </si>
  <si>
    <t>شروع گرم؟</t>
  </si>
  <si>
    <t>Penyelesai luaran mengembalikan penyelesaian. Adakah anda ingin menimpa penyelesaian semasa dengan penyelesaian terbaik yang dijumpai?</t>
  </si>
  <si>
    <t>Paling laju</t>
  </si>
  <si>
    <t>Terpantas - Trafik Masa Sebenar</t>
  </si>
  <si>
    <t>Kos tetap untuk setiap perjalanan</t>
  </si>
  <si>
    <t>Sekiranya diaktifkan, lokasi penghantaran mesti dikunjungi sebelum lokasi pengambilan</t>
  </si>
  <si>
    <t>Tidak serasi</t>
  </si>
  <si>
    <t>Lat / Lon dihuni. Sila periksa peta di lembaran kerja Lokasi untuk ralat pengekodan geografi.</t>
  </si>
  <si>
    <t>Lokasi mesti berdekatan dengan laluan. Pelanggaran di:</t>
  </si>
  <si>
    <t>Penyediaan lembaran kerja lokasi selesai.</t>
  </si>
  <si>
    <t>Kemasukan manual</t>
  </si>
  <si>
    <t>Boleh dilawati</t>
  </si>
  <si>
    <t>Kaedah:</t>
  </si>
  <si>
    <t>Lebih banyak boleh didapati di bawah sebab-sebab yang tidak dapat dikesan dalam lembaran kerja penyelesaian.</t>
  </si>
  <si>
    <t>Mesti dikunjungi</t>
  </si>
  <si>
    <t>Mesti dikunjungi?</t>
  </si>
  <si>
    <t>Keuntungan bersih:</t>
  </si>
  <si>
    <t>Tidak ada laluan memandu yang dapat dijumpai di antara beberapa lokasi. Sila periksa alamat dan koordinatnya.</t>
  </si>
  <si>
    <t>Bilangan pelanggan</t>
  </si>
  <si>
    <t>Bilangan depot</t>
  </si>
  <si>
    <t>Bilangan jenis kenderaan</t>
  </si>
  <si>
    <t>Bilangan kenderaan</t>
  </si>
  <si>
    <t>Satu atau lebih lokasi terlalu jauh dari jalan. Sila periksa alamat dan koordinatnya.</t>
  </si>
  <si>
    <t>Sumber terbuka, yang dikembangkan oleh Dr Gunes Erdogan (G.Erdogan@bath.ac.uk)</t>
  </si>
  <si>
    <t>Pilihan - Kunci Peta Bing</t>
  </si>
  <si>
    <t>Sila masukkan nilai integer bukan negatif</t>
  </si>
  <si>
    <t>Sila masukkan nilai bukan negatif</t>
  </si>
  <si>
    <t>Sila masukkan nilai positif</t>
  </si>
  <si>
    <t>Masukkan nilai yang lebih besar daripada atau sama dengan 10 saat.</t>
  </si>
  <si>
    <t>Sila masukkan bilangan bulat dari 1 hingga 10</t>
  </si>
  <si>
    <t>Sila masukkan bilangan bulat dari 1 hingga 20</t>
  </si>
  <si>
    <t>Sila masukkan bilangan bulat dari 5 hingga 200</t>
  </si>
  <si>
    <t>Sila rujuk manual untuk mengubah suai antara muka.</t>
  </si>
  <si>
    <t>Sila simpan, tutup, dan buka semula buku kerja agar menu dikemas kini.</t>
  </si>
  <si>
    <t>Sila pilih nilai dari senarai yang ada di sel yang dipilih.</t>
  </si>
  <si>
    <t>Jarak penduduk,</t>
  </si>
  <si>
    <t>Mengisi Lat / Lon,</t>
  </si>
  <si>
    <t>Mengisi jarak menggunakan perkhidmatan GIS Peta Bing akan menimpa data jarak yang ada dan memerlukan sedikit masa (dianggarkan</t>
  </si>
  <si>
    <t>Keuntungan dikumpulkan</t>
  </si>
  <si>
    <t>Sebab-sebab ketidaklayakan dikesan.</t>
  </si>
  <si>
    <t>Cadangan: Sekurang-kurangnya</t>
  </si>
  <si>
    <t>Cadangan: Gunakan 'Terpantas'</t>
  </si>
  <si>
    <t>Cadangan: Gunakan format 'poskod, negara' untuk alamat</t>
  </si>
  <si>
    <t>Jarak Rectilinear (Manhattan)</t>
  </si>
  <si>
    <t>Kenyataan</t>
  </si>
  <si>
    <t>Balik depot</t>
  </si>
  <si>
    <t>Jarak Euclidian yang bulat</t>
  </si>
  <si>
    <t>Rusuhi Cantay kerana membantu dengan sokongan berbilang bahasa.</t>
  </si>
  <si>
    <t>Sekolah Pengurusan, Universiti Bath, 2020.</t>
  </si>
  <si>
    <t>Hantar maklum balas / ajukan soalan</t>
  </si>
  <si>
    <t>Masa perkhidmatan</t>
  </si>
  <si>
    <t>Menyiapkan lembaran kerja jarak jauh, bekerja di lokasi</t>
  </si>
  <si>
    <t>Menyiapkan lembaran kerja penyelesaian, bekerja pada kenderaan</t>
  </si>
  <si>
    <t>Tunjukkan kemajuan pada bar status?</t>
  </si>
  <si>
    <t>Penyediaan lembaran kerja penyelesaian selesai.</t>
  </si>
  <si>
    <t>Memulakan depot</t>
  </si>
  <si>
    <t>Memulakan lelaran LNS</t>
  </si>
  <si>
    <t>Lokasi permulaan</t>
  </si>
  <si>
    <t>Berhenti mengira</t>
  </si>
  <si>
    <t>Penghantaran yang kurang menarik</t>
  </si>
  <si>
    <t>Penyelesaian terbaik dijumpai selepas</t>
  </si>
  <si>
    <t>Kapasiti armada yang diberikan tidak cukup untuk mengangkut permintaan wajib.</t>
  </si>
  <si>
    <t>Kapasiti armada yang diberikan tidak cukup untuk mengangkut bekalan wajib.</t>
  </si>
  <si>
    <t>Versi pemecah terkini boleh dimuat turun di</t>
  </si>
  <si>
    <t>Versi pemecah terkini boleh dimuat turun di: http://people.bath.ac.uk/ge277/vrp-spreadsheet-solver/</t>
  </si>
  <si>
    <t>Beban kenderaan</t>
  </si>
  <si>
    <t>Waktu perkhidmatan lokasi</t>
  </si>
  <si>
    <t>Penyelesaiannya mempunyai masalah format:</t>
  </si>
  <si>
    <t>Penyelesaiannya boleh dilaksanakan.</t>
  </si>
  <si>
    <t>Penyelesaiannya tidak dapat dilaksanakan.</t>
  </si>
  <si>
    <t>Bekalan lokasi</t>
  </si>
  <si>
    <t>Masa tamat lokasi masa</t>
  </si>
  <si>
    <t>Jangka masa waktu mula lokasi</t>
  </si>
  <si>
    <t>Waktu lawatan lokasi</t>
  </si>
  <si>
    <t>Terdapat koordinat dengan | latitud | &gt; 90 atau | bujur | &gt; 180. Teruskan dengan latar belakang kosong.</t>
  </si>
  <si>
    <t>Tidak ada cukup bekalan untuk barang pickup untuk memenuhi permintaan barang pickup.</t>
  </si>
  <si>
    <t>Mungkin ada paling banyak satu kembali ke lokasi permulaan. Pelanggaran di:</t>
  </si>
  <si>
    <t>Terdapat sekurang-kurangnya satu kenderaan yang tersedia agar lembaran kerja penyelesaian dibuat.</t>
  </si>
  <si>
    <t>Ini akan menghapus semua data masalah yang ada. Adakah anda mahu meneruskan?</t>
  </si>
  <si>
    <t>Ini akan menghapus data jarak, penyelesaian, dan visualisasi yang ada. Adakah anda mahu meneruskan?</t>
  </si>
  <si>
    <t>Ini akan menimpa data jarak yang ada, dan akan memakan masa (dianggarkan</t>
  </si>
  <si>
    <t>Ini akan menimpa data jarak yang ada. Adakah anda mahu meneruskan?</t>
  </si>
  <si>
    <t>Ini akan menimpa data lokasi yang ada, dan menghapus data jarak dan penyelesaian. Adakah anda mahu meneruskan?</t>
  </si>
  <si>
    <t>Ini akan menimpa data keserasian kenderaan yang ada. Adakah anda mahu meneruskan?</t>
  </si>
  <si>
    <t>Ini akan menimpa data kenderaan yang ada, dan menghapus data penyelesaian dan visualisasi. Adakah anda mahu meneruskan?</t>
  </si>
  <si>
    <t>Ini akan menimpa data visualisasi yang ada. Dengan mengklik butang Ya di bawah, anda mengesahkan bahawa anda menerima Syarat Perkhidmatan Peta Bing. Adakah anda mahu meneruskan?</t>
  </si>
  <si>
    <t>Ini akan menimpa data visualisasi yang ada. Adakah anda mahu meneruskan?</t>
  </si>
  <si>
    <t>Ini akan berlaku</t>
  </si>
  <si>
    <t>Ini akan memakan masa (dianggarkan</t>
  </si>
  <si>
    <t>Tingkap masa tamat</t>
  </si>
  <si>
    <t>Tetingkap masa bermula</t>
  </si>
  <si>
    <t>Jenis tetingkap masa</t>
  </si>
  <si>
    <t>Ke</t>
  </si>
  <si>
    <t>Jumlah keuntungan bersih:</t>
  </si>
  <si>
    <t>Kenderaan</t>
  </si>
  <si>
    <t>Penyediaan lembaran kerja keserasian kenderaan selesai.</t>
  </si>
  <si>
    <t>Jenis kenderaan</t>
  </si>
  <si>
    <t>Kenderaan:</t>
  </si>
  <si>
    <t>Penyediaan lembaran kerja kenderaan selesai.</t>
  </si>
  <si>
    <t>Penyelesai VRP</t>
  </si>
  <si>
    <t>Konsol Penyelesai VRP</t>
  </si>
  <si>
    <t>Penyelesaian Hamparan VRP</t>
  </si>
  <si>
    <t>Penyelesaian Spreadsheet VRP dilakukan</t>
  </si>
  <si>
    <t>Permulaan yang hangat?</t>
  </si>
  <si>
    <t>Amaran</t>
  </si>
  <si>
    <t>Amaran! Anda mengubah parameter pengiraan jarak, yang tidak akan dapat dilihat pada jarak dan jangka masa yang ada sehingga anda mengisinya lagi.</t>
  </si>
  <si>
    <t>Amaran! Anda mengubah data jarak, yang tidak akan ditunjukkan pada lembaran kerja lain yang ada sehingga anda menyiapkannya semula.</t>
  </si>
  <si>
    <t>Amaran! Anda mengubah ukuran armada, yang tidak akan tercermin pada lembaran kerja lain yang ada sehingga anda menetapkannya lagi.</t>
  </si>
  <si>
    <t>Amaran! Anda mengubah data lokasi, yang mungkin menjadikan penyelesaian semasa tidak dapat dilaksanakan atau tidak optimal, dan tidak akan tercermin pada lembaran kerja lain yang ada sehingga anda menyiapkannya lagi.</t>
  </si>
  <si>
    <t>Amaran! Anda mengubah jumlah jenis kenderaan, yang tidak akan tercermin pada lembaran kerja kenderaan, penyelesaian, atau visualisasi yang ada sehingga anda memasangnya semula.</t>
  </si>
  <si>
    <t>Amaran! Anda mengubah parameter mengenai batasan untuk penyelesaian, yang tidak akan tercermin pada lembaran kerja penyelesaian yang ada sehingga anda menetapkannya semula. Penyelesaian semasa mungkin tidak dapat dilaksanakan.</t>
  </si>
  <si>
    <t>Amaran! Anda mengubah parameter mengenai lembaran kerja visualisasi, yang tidak akan ditunjukkan pada lembaran kerja visualisasi sehingga anda menyiapkannya semula.</t>
  </si>
  <si>
    <t>Amaran! Anda mengubah parameter ukuran masalah, yang tidak akan tercermin pada lembaran kerja yang ada sehingga anda menetapkannya semula.</t>
  </si>
  <si>
    <t>Amaran! Anda mengubah data kenderaan, yang tidak akan tercermin pada lembaran kerja lain yang ada sehingga anda menyiapkannya semula.</t>
  </si>
  <si>
    <t>Amaran: Jarak untuk pasangan di bawah belum diisi.</t>
  </si>
  <si>
    <t>Amaran: Pemeriksaan kebolehlaksanaan terakhir menemui masalah dengan penyelesaiannya.</t>
  </si>
  <si>
    <t>Amaran: Penyelesaian terakhir yang dikembalikan oleh pemecah tidak memenuhi semua kekangan.</t>
  </si>
  <si>
    <t>Amaran: Data telah berubah sejak pemeriksaan penyelesaian / kelayakan terakhir.</t>
  </si>
  <si>
    <t>Tonton video tutorial di YouTube</t>
  </si>
  <si>
    <t>Masa mula bekerja</t>
  </si>
  <si>
    <t>Waktu bekerja</t>
  </si>
  <si>
    <t>Had masa bekerja</t>
  </si>
  <si>
    <t>Lembaran kerja 1. Lokasi mesti ada agar koordinat dapat ditentukan.</t>
  </si>
  <si>
    <t>Lembaran kerja 1. Lokasi mesti ada untuk lokasi yang hendak disusun.</t>
  </si>
  <si>
    <t>Lembaran kerja 1. Lokasi mesti ada agar lembaran kerja jarak jauh dibuat.</t>
  </si>
  <si>
    <t>Lembaran kerja 1.Lokasi, 2.Jarak, 3.Kenderaan, dan 4. Penyelesaian mesti ada agar pemecah luaran berfungsi.</t>
  </si>
  <si>
    <t>Lembaran kerja 1. Lokasi, 2. jarak, 3. kenderaan, dan 4. penyelesaian mesti ada untuk Pemeriksaan Kebolehlaksanaan.</t>
  </si>
  <si>
    <t>Lembaran kerja 1. Lokasi, 2. jarak, 3. kenderaan, dan 4. penyelesaian mesti ada untuk lembaran kerja visualisasi dibuat.</t>
  </si>
  <si>
    <t>Lembaran kerja 1.Lokasi, 2.Jarak, 3.Kenderaan, dan 4. Penyelesaian mesti ada agar Penyelesai Lembaran VRP berfungsi.</t>
  </si>
  <si>
    <t>Lembaran kerja 1. Lokasi, 2. Jarak, dan 3. Kenderaan mesti ada agar lembaran kerja penyelesaian dibuat.</t>
  </si>
  <si>
    <t>Lembaran kerja 1. Lokasi, 2. Jarak, dan 3. Kenderaan mesti ada agar lembaran kerja keserasian kenderaan dibuat.</t>
  </si>
  <si>
    <t>Lembaran Kerja VRP Solver Console, 1. Lokasi, dan 2. Jarak mesti ada untuk jarak yang akan dikira.</t>
  </si>
  <si>
    <t>Ya</t>
  </si>
  <si>
    <t>Ya - boleh melakukannya berkali-kali</t>
  </si>
  <si>
    <t>Ya - hanya sekali pada akhir</t>
  </si>
  <si>
    <t>Anda boleh mendapatkan kunci percubaan percuma di https://www.bingmapsportal.com/</t>
  </si>
  <si>
    <t>Kunci Peta Bing anda tidak sah atau telah tamat tempoh. Koordinat yang tinggal tidak akan diisi.</t>
  </si>
  <si>
    <t>Kunci Peta Bing anda tidak sah atau telah tamat tempoh. Jarak yang tinggal tidak akan dihuni.</t>
  </si>
  <si>
    <t>Terima kasih khas kepada:</t>
  </si>
  <si>
    <t>هشدار</t>
  </si>
  <si>
    <t>هشدار شما در حال تغییر پارامترهای محاسبه مسافت هستید ، که تا زمانی که دوباره آنها را پر نکنید ، در فواصل و مدت زمان موجود منعکس نخواهد شد.</t>
  </si>
  <si>
    <t>هشدار شما در حال تغییر داده های فاصله هستید ، که تا زمانی که دوباره آنها را تنظیم نکنید ، در بقیه صفحات کاری موجود منعکس نخواهد شد.</t>
  </si>
  <si>
    <t>هشدار شما در حال تغییر اندازه ناوگان هستید ، که تا زمانی که دوباره آنها را تنظیم نکنید ، در بقیه صفحات کاری موجود منعکس نخواهد شد.</t>
  </si>
  <si>
    <t>هشدار شما در حال تغییر داده های مکان هستید ، که ممکن است راه حل فعلی را غیرقابل اجرا یا بهینه کند و تا زمانی که دوباره آنها را تنظیم نکنید ، در بقیه صفحات کاری موجود منعکس نخواهد شد.</t>
  </si>
  <si>
    <t>هشدار شما در حال تغییر تعداد انواع وسایل نقلیه هستید که تا زمانی که دوباره آنها را تنظیم نکنید ، در وسایل نقلیه ، راه حل ها یا صفحه های تجسم موجود منعکس نمی شوند.</t>
  </si>
  <si>
    <t>هشدار شما در حال تغییر پارامترهای مربوط به محدودیت های راه حل هستید ، که تا زمانی که دوباره آن را تنظیم نکنید ، در صفحه کار راه حل موجود منعکس نمی شود. راه حل فعلی غیرقابل اجرا شده است.</t>
  </si>
  <si>
    <t>هشدار شما در حال تغییر پارامترهای مربوط به کاربرگ تجسم هستید ، تا زمانی که دوباره آن را تنظیم نکنید ، در صفحه کار تجسم منعکس نمی شود.</t>
  </si>
  <si>
    <t>هشدار شما در حال تغییر پارامترهای اندازه مسئله هستید ، که تا زمانی که دوباره آنها را تنظیم نکنید ، در صفحات کاری موجود منعکس نخواهد شد.</t>
  </si>
  <si>
    <t>هشدار شما در حال تغییر داده های وسیله نقلیه هستید ، که تا زمانی که دوباره آنها را تنظیم نکنید ، در بقیه کاربرگهای موجود منعکس نخواهد شد.</t>
  </si>
  <si>
    <t>هشدار: فاصله برای جفت های زیر جمع نشده است.</t>
  </si>
  <si>
    <t>هشدار: آخرین بررسی عدم امکان ، مشکلاتی را در راه حل پیدا کرد.</t>
  </si>
  <si>
    <t>هشدار: آخرین راه حل برگشتی توسط حل کننده ، همه محدودیت ها را برآورده نمی کند.</t>
  </si>
  <si>
    <t>هشدار: داده ها از آخرین بررسی حل مسئله / امکان سنجی تغییر کرده است.</t>
  </si>
  <si>
    <t>فیلم آموزشی را در YouTube تماشا کنید</t>
  </si>
  <si>
    <t>زمان شروع کار</t>
  </si>
  <si>
    <t>زمان کار</t>
  </si>
  <si>
    <t>محدودیت زمان کار</t>
  </si>
  <si>
    <t>صفحه کار 1. مکان ها برای تعیین مختصات باید وجود داشته باشند.</t>
  </si>
  <si>
    <t>صفحه کار 1. مکان ها برای مرتب سازی باید وجود داشته باشند.</t>
  </si>
  <si>
    <t>کاربرگ 1. مکان های ایجاد شده برای ایجاد صفحه کار از راه دور باید وجود داشته باشد.</t>
  </si>
  <si>
    <t>کاربرگهای 1. مکان ها ، 2. فاصله ها ، 3. وسایل نقلیه و 4. راه حل ها برای عملکرد حل کننده خارجی باید وجود داشته باشد.</t>
  </si>
  <si>
    <t>کاربرگ 1. مکان ها ، 2. فاصله ، 3. وسایل نقلیه و 4. راه حل باید برای بررسی عدم امکان وجود داشته باشد.</t>
  </si>
  <si>
    <t>کاربرگهای 1. مکان ها ، 2. فاصله ها ، 3. وسایل نقلیه و 4. راه حل ها برای ایجاد صفحه کار تجسم باید وجود داشته باشد.</t>
  </si>
  <si>
    <t>کاربرگهای 1. مکان ها ، 2. فاصله ها ، 3. وسایل نقلیه و 4. راه حل ها برای عملکرد VRP صفحه گسترده باید وجود داشته باشد.</t>
  </si>
  <si>
    <t>کاربرگهای 1. مکان ها ، 2. فاصله ها و 3. وسایل نقلیه باید ایجاد شوند تا صفحه کار راه حل ایجاد شود.</t>
  </si>
  <si>
    <t>کاربرگهای 1. مکان ها ، 2. فاصله ها و 3. وسایل نقلیه باید ایجاد شوند تا کاربرگ سازگاری خودرو ایجاد شود.</t>
  </si>
  <si>
    <t>کاربرگ VRP Solver Console ، 1. مکان ها و 2. فاصله ها برای محاسبه فاصله ها باید وجود داشته باشد.</t>
  </si>
  <si>
    <t>آره</t>
  </si>
  <si>
    <t>بله - ممکن است چندین بار این کار را انجام دهد</t>
  </si>
  <si>
    <t>بله - در پایان فقط یک بار</t>
  </si>
  <si>
    <t>می توانید یک کلید آزمایشی رایگان در https://www.bingmapsportal.com/ دریافت کنید</t>
  </si>
  <si>
    <t>کلید Bing Maps شما معتبر نیست یا منقضی شده است. مختصات باقیمانده پر نمی شوند.</t>
  </si>
  <si>
    <t>کلید Bing Maps شما معتبر نیست یا منقضی شده است. فاصله های باقیمانده پرجمعیت نخواهد شد.</t>
  </si>
  <si>
    <t>با تشکر ویژه از:</t>
  </si>
  <si>
    <t>0. تنظیم مجدد</t>
  </si>
  <si>
    <t>0. کتاب کار را بازنشانی کنید</t>
  </si>
  <si>
    <t>1.2 Lat / Lon را با استفاده از آدرسها جمع کنید</t>
  </si>
  <si>
    <t>1.3 مرتب سازی بر اساس حروف الفبا</t>
  </si>
  <si>
    <t>2.1 کاربرگ فاصله ها را تنظیم کنید</t>
  </si>
  <si>
    <t>2.2. برگه فاصله را جمع کنید</t>
  </si>
  <si>
    <t>3.1 صفحه کار وسایل نقلیه را تنظیم کنید</t>
  </si>
  <si>
    <t>3.2 کاربرگ سازگاری خودرو را تنظیم کنید</t>
  </si>
  <si>
    <t>4.1 کاربرگ راه حل راه اندازی</t>
  </si>
  <si>
    <t>5.1 راه اندازی کاربرگ تجسم</t>
  </si>
  <si>
    <t>6. حل کننده</t>
  </si>
  <si>
    <t>6.1 VRP Spreadsheet Solver را درگیر کنید</t>
  </si>
  <si>
    <t>6.2 امکان سنجی</t>
  </si>
  <si>
    <t>6.3 با یک حل کننده خارجی درگیر شوید</t>
  </si>
  <si>
    <t>اطلاعات</t>
  </si>
  <si>
    <t>بازخورد ارسال کنید یا سوالی بپرسید</t>
  </si>
  <si>
    <t>0. Tetapkan semula</t>
  </si>
  <si>
    <t>0. Tetapkan semula buku kerja</t>
  </si>
  <si>
    <t>1.1. Lembar Kerja Lokasi Persediaan</t>
  </si>
  <si>
    <t>1.2. Isi Lat / Lon menggunakan alamat</t>
  </si>
  <si>
    <t>1.3. Isih lokasi mengikut abjad</t>
  </si>
  <si>
    <t>2.1. Lembarkan Kerja Jarak Jauh</t>
  </si>
  <si>
    <t>2.2. Isi Lembaran Kerja Jarak</t>
  </si>
  <si>
    <t>3. Kenderaan</t>
  </si>
  <si>
    <t>3.1. Sediakan Lembaran Kerja Kenderaan</t>
  </si>
  <si>
    <t>3.2. Sediakan Lembaran Kerja Keserasian Kenderaan</t>
  </si>
  <si>
    <t>4.1. Lembaran Kerja Penyelesaian Persediaan</t>
  </si>
  <si>
    <t>5.1. Sediakan Lembaran Kerja Visualisasi</t>
  </si>
  <si>
    <t>6. Penyelesai</t>
  </si>
  <si>
    <t>6.1. Libatkan Penyelesai Hamparan VRP</t>
  </si>
  <si>
    <t>6.2. Pemeriksaan Kebolehlaksanaan</t>
  </si>
  <si>
    <t>6.3. Libatkan pemecah luaran</t>
  </si>
  <si>
    <t>Maklumat</t>
  </si>
  <si>
    <t>Hantar maklum balas atau ajukan soalan</t>
  </si>
  <si>
    <t>Av1GeD47EoXrYphwYPlUmraFxb7IquNTVelQO4LIEcYZwsz5erhUQbHCISnqOJdD</t>
  </si>
  <si>
    <t>Escola2</t>
  </si>
  <si>
    <t>Ponto1</t>
  </si>
  <si>
    <t>Ponto2</t>
  </si>
  <si>
    <t>Ponto3</t>
  </si>
  <si>
    <t>Ponto4</t>
  </si>
  <si>
    <t>Ponto5</t>
  </si>
  <si>
    <t>Ponto6</t>
  </si>
  <si>
    <t>Ponto7</t>
  </si>
  <si>
    <t>Ponto8</t>
  </si>
  <si>
    <t>Ponto9</t>
  </si>
  <si>
    <t>Ponto10</t>
  </si>
  <si>
    <t>Ponto11</t>
  </si>
  <si>
    <t>Ponto12</t>
  </si>
  <si>
    <t>Ponto13</t>
  </si>
  <si>
    <t>Ponto14</t>
  </si>
  <si>
    <t>Ponto15</t>
  </si>
  <si>
    <t>Ponto16</t>
  </si>
  <si>
    <t>Ponto17</t>
  </si>
  <si>
    <t>Ponto18</t>
  </si>
  <si>
    <t>Ponto19</t>
  </si>
  <si>
    <t>Ponto20</t>
  </si>
  <si>
    <t>Ponto21</t>
  </si>
  <si>
    <t>Distâncias de condução do Bing Maps (km) / Velocidade média do veículo</t>
  </si>
  <si>
    <t>Ônibus</t>
  </si>
  <si>
    <t>V1</t>
  </si>
  <si>
    <t>Garagem</t>
  </si>
  <si>
    <t>R. P 8 Q 27, 18 - Taquaralto I, Palmas - TO, 77064-720, Brazil</t>
  </si>
  <si>
    <t>Acampament Tocantins Q 27, 42 - St. Bela Vista (Taquaralto), Palmas - TO, 77064-706, Brazil</t>
  </si>
  <si>
    <t>R. 14 Q 21, 138 - Santa Fe VI, Palmas - TO, 77060-342, Brazil</t>
  </si>
  <si>
    <t>Av. Ipanema Q 76a, 13 - Morada Do Sol I, Palmas - TO, 77066-034, Brazil</t>
  </si>
  <si>
    <t>R. P 8 Q 21, 2 - Taquaralto IV, Palmas - TO, 77064-720, Brazil</t>
  </si>
  <si>
    <t>R. P 4 Q 13, 62 - Taquaralto I, Palmas - TO, 77064-629, Brazil</t>
  </si>
  <si>
    <t>Av. Perimetral Norte, 3862 - St. Santa Fe (Taquaralto), Palmas - TO, 77064-028, Brazil</t>
  </si>
  <si>
    <t>Ac. Perimetral 4 Q 67, 26 - Taquarussu, Palmas - TO, 77080-076, Brazil</t>
  </si>
  <si>
    <t>Acampament Ipanema, 528 - St. Sonia Regina (Taquaralto, Palmas - TO, 77060-686, Brazil</t>
  </si>
  <si>
    <t>TO-050 - St. Sonia Regina (Taquaralto), Palmas - TO, Brazil</t>
  </si>
  <si>
    <t>Unnamed Road, Porto Nacional - TO, 77500-000, Brazil</t>
  </si>
  <si>
    <t>Av. Brasil Q 2, 129 - Distrito Industrial, Palmas - TO, 77060-810, Brazil</t>
  </si>
  <si>
    <t>R. 18 Q 35, 28 - Taquaralto I, Palmas - TO, 77064-604, Brazil</t>
  </si>
  <si>
    <t>Av. Palmas Q 35, 192 - Taquaralto V, Palmas - TO, 77060-330, Brazil</t>
  </si>
  <si>
    <t>Av. Francisco G Cruz Q 44, 30 - Taquaralto I, Palmas - TO, 77064-546, Brazil</t>
  </si>
  <si>
    <t>Q05 LT17 - St. Sonia Regina (Taquaralto), Palmas - TO, 77060-676, Brazil</t>
  </si>
  <si>
    <t>TO-050 - Evanira A de Moraes, Porto Nacional - TO, 77500-000, Brazil</t>
  </si>
  <si>
    <t>Rua T 02, Q 02 ,lt 07, S/n - Santa Fé, Palmas - TO, 77064-566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</si>
</sst>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0.0000000"/>
  </numFmts>
  <fonts count="34" x14ac:knownFonts="1">
    <font>
      <sz val="11"/>
      <color theme="1"/>
      <name val="Calibri"/>
      <family val="2"/>
      <scheme val="minor"/>
    </font>
    <font>
      <sz val="10"/>
      <color indexed="8"/>
      <name val="Arial"/>
      <family val="2"/>
    </font>
    <font>
      <b/>
      <sz val="11"/>
      <color indexed="9"/>
      <name val="Calibri"/>
      <family val="2"/>
    </font>
    <font>
      <sz val="8"/>
      <name val="Calibri"/>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8"/>
      <color theme="3"/>
      <name val="Cambria"/>
      <family val="2"/>
      <scheme val="major"/>
    </font>
    <font>
      <b/>
      <sz val="10"/>
      <color theme="1"/>
      <name val="Arial"/>
      <family val="2"/>
    </font>
    <font>
      <sz val="10"/>
      <color rgb="FFFF0000"/>
      <name val="Arial"/>
      <family val="2"/>
    </font>
    <font>
      <b/>
      <sz val="11"/>
      <color theme="1"/>
      <name val="Calibri"/>
      <family val="2"/>
      <scheme val="minor"/>
    </font>
    <font>
      <sz val="11"/>
      <color indexed="9"/>
      <name val="Calibri"/>
      <family val="2"/>
      <scheme val="minor"/>
    </font>
    <font>
      <sz val="11"/>
      <color indexed="8"/>
      <name val="Calibri"/>
      <family val="2"/>
    </font>
    <font>
      <b/>
      <sz val="11"/>
      <color theme="0"/>
      <name val="Calibri"/>
      <family val="2"/>
      <scheme val="minor"/>
    </font>
    <font>
      <sz val="11"/>
      <color theme="0"/>
      <name val="Calibri"/>
      <family val="2"/>
      <scheme val="minor"/>
    </font>
    <font>
      <b/>
      <sz val="11"/>
      <color indexed="9"/>
      <name val="Calibri"/>
      <family val="2"/>
      <scheme val="minor"/>
    </font>
    <font>
      <sz val="11"/>
      <color rgb="FFFFFFFF"/>
      <name val="Calibri"/>
      <family val="2"/>
      <scheme val="minor"/>
    </font>
    <font>
      <sz val="8"/>
      <name val="Calibri"/>
      <family val="2"/>
      <scheme val="minor"/>
    </font>
    <font>
      <sz val="11"/>
      <color indexed="8"/>
      <name val="Calibri"/>
      <family val="2"/>
      <scheme val="minor"/>
    </font>
    <font>
      <b/>
      <sz val="11"/>
      <color indexed="8"/>
      <name val="Calibri"/>
      <family val="2"/>
      <scheme val="minor"/>
    </font>
    <font>
      <sz val="10"/>
      <color rgb="FF000000"/>
      <name val="Arial"/>
      <family val="2"/>
    </font>
    <font>
      <sz val="12"/>
      <name val="Arial"/>
      <family val="2"/>
    </font>
    <font>
      <sz val="11"/>
      <color theme="1"/>
      <name val="Calibri"/>
      <family val="2"/>
    </font>
  </fonts>
  <fills count="42">
    <fill>
      <patternFill patternType="none"/>
    </fill>
    <fill>
      <patternFill patternType="gray125"/>
    </fill>
    <fill>
      <patternFill patternType="solid">
        <fgColor indexed="8"/>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indexed="57"/>
        <bgColor indexed="64"/>
      </patternFill>
    </fill>
    <fill>
      <patternFill patternType="solid">
        <fgColor theme="1"/>
        <bgColor indexed="64"/>
      </patternFill>
    </fill>
    <fill>
      <patternFill patternType="solid">
        <fgColor indexed="57" tint="-1.9989623706778162E-2"/>
        <bgColor indexed="64"/>
      </patternFill>
    </fill>
    <fill>
      <patternFill patternType="solid">
        <fgColor indexed="57" tint="1.9989623706778162E-2"/>
        <bgColor indexed="64"/>
      </patternFill>
    </fill>
    <fill>
      <patternFill patternType="solid">
        <fgColor indexed="43"/>
        <bgColor indexed="64"/>
      </patternFill>
    </fill>
    <fill>
      <patternFill patternType="solid">
        <fgColor indexed="40" tint="-1.9989623706778162E-2"/>
        <bgColor indexed="64"/>
      </patternFill>
    </fill>
    <fill>
      <patternFill patternType="solid">
        <fgColor indexed="40" tint="1.9989623706778162E-2"/>
        <bgColor indexed="64"/>
      </patternFill>
    </fill>
    <fill>
      <patternFill patternType="solid">
        <fgColor indexed="52"/>
        <bgColor indexed="64"/>
      </patternFill>
    </fill>
  </fills>
  <borders count="23">
    <border>
      <left/>
      <right/>
      <top/>
      <bottom/>
      <diagonal/>
    </border>
    <border>
      <left/>
      <right/>
      <top style="thin">
        <color indexed="23"/>
      </top>
      <bottom style="thin">
        <color indexed="23"/>
      </bottom>
      <diagonal/>
    </border>
    <border>
      <left/>
      <right/>
      <top/>
      <bottom style="thin">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indexed="64"/>
      </bottom>
      <diagonal/>
    </border>
    <border>
      <left/>
      <right style="thin">
        <color indexed="64"/>
      </right>
      <top/>
      <bottom/>
      <diagonal/>
    </border>
    <border>
      <left style="thin">
        <color indexed="64"/>
      </left>
      <right style="thin">
        <color indexed="64"/>
      </right>
      <top/>
      <bottom/>
      <diagonal/>
    </border>
    <border>
      <left/>
      <right/>
      <top style="thin">
        <color indexed="23"/>
      </top>
      <bottom/>
      <diagonal/>
    </border>
    <border>
      <left/>
      <right/>
      <top/>
      <bottom style="thick">
        <color indexed="9"/>
      </bottom>
      <diagonal/>
    </border>
    <border>
      <left/>
      <right/>
      <top style="thick">
        <color indexed="9"/>
      </top>
      <bottom/>
      <diagonal/>
    </border>
    <border>
      <left/>
      <right style="thin">
        <color indexed="23"/>
      </right>
      <top/>
      <bottom/>
      <diagonal/>
    </border>
    <border>
      <left/>
      <right style="thin">
        <color indexed="23"/>
      </right>
      <top style="thick">
        <color indexed="9"/>
      </top>
      <bottom/>
      <diagonal/>
    </border>
    <border>
      <left/>
      <right style="thin">
        <color indexed="23"/>
      </right>
      <top style="thin">
        <color indexed="23"/>
      </top>
      <bottom/>
      <diagonal/>
    </border>
    <border>
      <left/>
      <right style="thin">
        <color indexed="23"/>
      </right>
      <top style="thin">
        <color indexed="23"/>
      </top>
      <bottom style="thin">
        <color indexed="23"/>
      </bottom>
      <diagonal/>
    </border>
    <border>
      <left style="thin">
        <color rgb="FF000000"/>
      </left>
      <right style="thin">
        <color rgb="FF000000"/>
      </right>
      <top style="thin">
        <color rgb="FF000000"/>
      </top>
      <bottom style="thin">
        <color rgb="FF000000"/>
      </bottom>
      <diagonal/>
    </border>
  </borders>
  <cellStyleXfs count="43">
    <xf numFmtId="0" fontId="0"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6" fillId="27" borderId="0" applyNumberFormat="0" applyBorder="0" applyAlignment="0" applyProtection="0"/>
    <xf numFmtId="0" fontId="7" fillId="28" borderId="3" applyNumberFormat="0" applyAlignment="0" applyProtection="0"/>
    <xf numFmtId="0" fontId="8" fillId="29" borderId="4" applyNumberFormat="0" applyAlignment="0" applyProtection="0"/>
    <xf numFmtId="0" fontId="9" fillId="0" borderId="0" applyNumberFormat="0" applyFill="0" applyBorder="0" applyAlignment="0" applyProtection="0"/>
    <xf numFmtId="0" fontId="10" fillId="30" borderId="0" applyNumberFormat="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31" borderId="3" applyNumberFormat="0" applyAlignment="0" applyProtection="0"/>
    <xf numFmtId="0" fontId="15" fillId="0" borderId="8" applyNumberFormat="0" applyFill="0" applyAlignment="0" applyProtection="0"/>
    <xf numFmtId="0" fontId="16" fillId="32" borderId="0" applyNumberFormat="0" applyBorder="0" applyAlignment="0" applyProtection="0"/>
    <xf numFmtId="0" fontId="4" fillId="0" borderId="0"/>
    <xf numFmtId="0" fontId="1" fillId="33" borderId="9" applyNumberFormat="0" applyFont="0" applyAlignment="0" applyProtection="0"/>
    <xf numFmtId="0" fontId="17" fillId="28" borderId="10" applyNumberFormat="0" applyAlignment="0" applyProtection="0"/>
    <xf numFmtId="0" fontId="18" fillId="0" borderId="0" applyNumberFormat="0" applyFill="0" applyBorder="0" applyAlignment="0" applyProtection="0"/>
    <xf numFmtId="0" fontId="19" fillId="0" borderId="11" applyNumberFormat="0" applyFill="0" applyAlignment="0" applyProtection="0"/>
    <xf numFmtId="0" fontId="20" fillId="0" borderId="0" applyNumberFormat="0" applyFill="0" applyBorder="0" applyAlignment="0" applyProtection="0"/>
  </cellStyleXfs>
  <cellXfs count="81">
    <xf numFmtId="0" fontId="0" fillId="0" borderId="0" xfId="0"/>
    <xf numFmtId="0" fontId="2" fillId="2" borderId="0" xfId="0" applyFont="1" applyFill="1" applyBorder="1"/>
    <xf numFmtId="0" fontId="0" fillId="0" borderId="1" xfId="0" applyBorder="1"/>
    <xf numFmtId="0" fontId="0" fillId="0" borderId="2" xfId="0" applyBorder="1"/>
    <xf numFmtId="0" fontId="21" fillId="0" borderId="2" xfId="0" applyFont="1" applyBorder="1"/>
    <xf numFmtId="0" fontId="23" fillId="0" borderId="0" xfId="0" applyFont="1"/>
    <xf numFmtId="0" fontId="22" fillId="34" borderId="2" xfId="0" applyFont="1" applyFill="1" applyBorder="1"/>
    <xf numFmtId="0" fontId="22" fillId="34" borderId="1" xfId="0" applyFont="1" applyFill="1" applyBorder="1"/>
    <xf numFmtId="0" fontId="24" fillId="35" borderId="12" xfId="0" applyFont="1" applyFill="1" applyBorder="1"/>
    <xf numFmtId="0" fontId="26" fillId="34" borderId="12" xfId="0" applyFont="1" applyFill="1" applyBorder="1"/>
    <xf numFmtId="0" fontId="25" fillId="35" borderId="13" xfId="0" applyFont="1" applyFill="1" applyBorder="1"/>
    <xf numFmtId="0" fontId="0" fillId="0" borderId="14" xfId="0" applyBorder="1"/>
    <xf numFmtId="0" fontId="0" fillId="0" borderId="13" xfId="0" applyBorder="1"/>
    <xf numFmtId="0" fontId="25" fillId="35" borderId="0" xfId="0" applyFont="1" applyFill="1"/>
    <xf numFmtId="0" fontId="21" fillId="0" borderId="15" xfId="0" applyFont="1" applyBorder="1"/>
    <xf numFmtId="0" fontId="0" fillId="0" borderId="15" xfId="0" applyBorder="1"/>
    <xf numFmtId="0" fontId="22" fillId="34" borderId="15" xfId="0" applyFont="1" applyFill="1" applyBorder="1"/>
    <xf numFmtId="0" fontId="25" fillId="35" borderId="0" xfId="0" applyFont="1" applyFill="1" applyBorder="1"/>
    <xf numFmtId="0" fontId="21" fillId="0" borderId="0" xfId="0" applyFont="1"/>
    <xf numFmtId="0" fontId="22" fillId="2" borderId="16" xfId="0" applyFont="1" applyFill="1" applyBorder="1"/>
    <xf numFmtId="0" fontId="22" fillId="2" borderId="0" xfId="0" applyFont="1" applyFill="1" applyBorder="1"/>
    <xf numFmtId="0" fontId="22" fillId="2" borderId="17" xfId="0" applyFont="1" applyFill="1" applyBorder="1"/>
    <xf numFmtId="0" fontId="22" fillId="2" borderId="1" xfId="0" applyFont="1" applyFill="1" applyBorder="1"/>
    <xf numFmtId="0" fontId="22" fillId="2" borderId="15" xfId="0" applyFont="1" applyFill="1" applyBorder="1"/>
    <xf numFmtId="164" fontId="22" fillId="36" borderId="15" xfId="0" applyNumberFormat="1" applyFont="1" applyFill="1" applyBorder="1"/>
    <xf numFmtId="164" fontId="22" fillId="37" borderId="15" xfId="0" applyNumberFormat="1" applyFont="1" applyFill="1" applyBorder="1"/>
    <xf numFmtId="0" fontId="21" fillId="0" borderId="18" xfId="0" applyFont="1" applyBorder="1"/>
    <xf numFmtId="0" fontId="22" fillId="36" borderId="18" xfId="0" applyFont="1" applyFill="1" applyBorder="1"/>
    <xf numFmtId="0" fontId="22" fillId="37" borderId="19" xfId="0" applyFont="1" applyFill="1" applyBorder="1"/>
    <xf numFmtId="0" fontId="22" fillId="36" borderId="20" xfId="0" applyFont="1" applyFill="1" applyBorder="1"/>
    <xf numFmtId="0" fontId="22" fillId="37" borderId="20" xfId="0" applyFont="1" applyFill="1" applyBorder="1"/>
    <xf numFmtId="164" fontId="22" fillId="37" borderId="19" xfId="0" applyNumberFormat="1" applyFont="1" applyFill="1" applyBorder="1"/>
    <xf numFmtId="164" fontId="22" fillId="36" borderId="20" xfId="0" applyNumberFormat="1" applyFont="1" applyFill="1" applyBorder="1"/>
    <xf numFmtId="164" fontId="22" fillId="37" borderId="20" xfId="0" applyNumberFormat="1" applyFont="1" applyFill="1" applyBorder="1"/>
    <xf numFmtId="0" fontId="22" fillId="2" borderId="18" xfId="0" applyFont="1" applyFill="1" applyBorder="1"/>
    <xf numFmtId="164" fontId="22" fillId="2" borderId="18" xfId="0" applyNumberFormat="1" applyFont="1" applyFill="1" applyBorder="1"/>
    <xf numFmtId="2" fontId="22" fillId="37" borderId="0" xfId="0" applyNumberFormat="1" applyFont="1" applyFill="1" applyBorder="1"/>
    <xf numFmtId="164" fontId="22" fillId="37" borderId="0" xfId="0" applyNumberFormat="1" applyFont="1" applyFill="1" applyBorder="1"/>
    <xf numFmtId="2" fontId="22" fillId="36" borderId="15" xfId="0" applyNumberFormat="1" applyFont="1" applyFill="1" applyBorder="1"/>
    <xf numFmtId="2" fontId="22" fillId="37" borderId="15" xfId="0" applyNumberFormat="1" applyFont="1" applyFill="1" applyBorder="1"/>
    <xf numFmtId="0" fontId="22" fillId="34" borderId="16" xfId="0" applyFont="1" applyFill="1" applyBorder="1"/>
    <xf numFmtId="2" fontId="22" fillId="34" borderId="16" xfId="0" applyNumberFormat="1" applyFont="1" applyFill="1" applyBorder="1"/>
    <xf numFmtId="164" fontId="22" fillId="34" borderId="16" xfId="0" applyNumberFormat="1" applyFont="1" applyFill="1" applyBorder="1"/>
    <xf numFmtId="0" fontId="29" fillId="38" borderId="16" xfId="0" applyFont="1" applyFill="1" applyBorder="1"/>
    <xf numFmtId="0" fontId="29" fillId="38" borderId="0" xfId="0" applyFont="1" applyFill="1" applyBorder="1"/>
    <xf numFmtId="2" fontId="29" fillId="38" borderId="0" xfId="0" applyNumberFormat="1" applyFont="1" applyFill="1" applyBorder="1"/>
    <xf numFmtId="164" fontId="29" fillId="38" borderId="0" xfId="0" applyNumberFormat="1" applyFont="1" applyFill="1" applyBorder="1"/>
    <xf numFmtId="0" fontId="29" fillId="38" borderId="1" xfId="0" applyFont="1" applyFill="1" applyBorder="1"/>
    <xf numFmtId="2" fontId="29" fillId="38" borderId="1" xfId="0" applyNumberFormat="1" applyFont="1" applyFill="1" applyBorder="1"/>
    <xf numFmtId="164" fontId="29" fillId="38" borderId="1" xfId="0" applyNumberFormat="1" applyFont="1" applyFill="1" applyBorder="1"/>
    <xf numFmtId="0" fontId="29" fillId="39" borderId="15" xfId="0" applyFont="1" applyFill="1" applyBorder="1"/>
    <xf numFmtId="0" fontId="29" fillId="38" borderId="15" xfId="0" applyFont="1" applyFill="1" applyBorder="1"/>
    <xf numFmtId="2" fontId="29" fillId="38" borderId="15" xfId="0" applyNumberFormat="1" applyFont="1" applyFill="1" applyBorder="1"/>
    <xf numFmtId="164" fontId="29" fillId="38" borderId="15" xfId="0" applyNumberFormat="1" applyFont="1" applyFill="1" applyBorder="1"/>
    <xf numFmtId="0" fontId="29" fillId="40" borderId="15" xfId="0" applyFont="1" applyFill="1" applyBorder="1"/>
    <xf numFmtId="2" fontId="30" fillId="38" borderId="0" xfId="0" applyNumberFormat="1" applyFont="1" applyFill="1"/>
    <xf numFmtId="0" fontId="21" fillId="38" borderId="0" xfId="0" applyFont="1" applyFill="1"/>
    <xf numFmtId="2" fontId="21" fillId="38" borderId="0" xfId="0" applyNumberFormat="1" applyFont="1" applyFill="1"/>
    <xf numFmtId="0" fontId="21" fillId="0" borderId="0" xfId="0" applyFont="1" applyFill="1"/>
    <xf numFmtId="20" fontId="21" fillId="0" borderId="0" xfId="0" applyNumberFormat="1" applyFont="1"/>
    <xf numFmtId="164" fontId="22" fillId="37" borderId="1" xfId="0" applyNumberFormat="1" applyFont="1" applyFill="1" applyBorder="1"/>
    <xf numFmtId="0" fontId="22" fillId="36" borderId="21" xfId="0" applyFont="1" applyFill="1" applyBorder="1"/>
    <xf numFmtId="165" fontId="22" fillId="36" borderId="18" xfId="0" applyNumberFormat="1" applyFont="1" applyFill="1" applyBorder="1"/>
    <xf numFmtId="20" fontId="22" fillId="36" borderId="18" xfId="0" applyNumberFormat="1" applyFont="1" applyFill="1" applyBorder="1"/>
    <xf numFmtId="20" fontId="22" fillId="37" borderId="19" xfId="0" applyNumberFormat="1" applyFont="1" applyFill="1" applyBorder="1"/>
    <xf numFmtId="20" fontId="22" fillId="36" borderId="20" xfId="0" applyNumberFormat="1" applyFont="1" applyFill="1" applyBorder="1"/>
    <xf numFmtId="20" fontId="22" fillId="37" borderId="20" xfId="0" applyNumberFormat="1" applyFont="1" applyFill="1" applyBorder="1"/>
    <xf numFmtId="20" fontId="22" fillId="36" borderId="21" xfId="0" applyNumberFormat="1" applyFont="1" applyFill="1" applyBorder="1"/>
    <xf numFmtId="164" fontId="22" fillId="36" borderId="21" xfId="0" applyNumberFormat="1" applyFont="1" applyFill="1" applyBorder="1"/>
    <xf numFmtId="0" fontId="31" fillId="0" borderId="0" xfId="0" applyFont="1"/>
    <xf numFmtId="0" fontId="31" fillId="0" borderId="0" xfId="0" applyFont="1" applyAlignment="1">
      <alignment horizontal="left"/>
    </xf>
    <xf numFmtId="0" fontId="32" fillId="0" borderId="0" xfId="0" applyFont="1"/>
    <xf numFmtId="0" fontId="32" fillId="0" borderId="22" xfId="0" applyFont="1" applyBorder="1"/>
    <xf numFmtId="0" fontId="33" fillId="0" borderId="0" xfId="0" applyFont="1"/>
    <xf numFmtId="2" fontId="22" fillId="37" borderId="1" xfId="0" applyNumberFormat="1" applyFont="1" applyFill="1" applyBorder="1"/>
    <xf numFmtId="20" fontId="22" fillId="34" borderId="16" xfId="0" applyNumberFormat="1" applyFont="1" applyFill="1" applyBorder="1"/>
    <xf numFmtId="20" fontId="29" fillId="38" borderId="0" xfId="0" applyNumberFormat="1" applyFont="1" applyFill="1" applyBorder="1"/>
    <xf numFmtId="20" fontId="29" fillId="38" borderId="1" xfId="0" applyNumberFormat="1" applyFont="1" applyFill="1" applyBorder="1"/>
    <xf numFmtId="0" fontId="29" fillId="39" borderId="1" xfId="0" applyFont="1" applyFill="1" applyBorder="1"/>
    <xf numFmtId="20" fontId="29" fillId="38" borderId="15" xfId="0" applyNumberFormat="1" applyFont="1" applyFill="1" applyBorder="1"/>
    <xf numFmtId="0" fontId="21" fillId="41" borderId="0" xfId="0" applyFont="1" applyFill="1"/>
  </cellXfs>
  <cellStyles count="43">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te 2" xfId="38" xr:uid="{00000000-0005-0000-0000-000026000000}"/>
    <cellStyle name="Output 2" xfId="39" xr:uid="{00000000-0005-0000-0000-000027000000}"/>
    <cellStyle name="Título" xfId="40" builtinId="15" customBuiltin="1"/>
    <cellStyle name="Total 2" xfId="41" xr:uid="{00000000-0005-0000-0000-000029000000}"/>
    <cellStyle name="Warning Text 2" xfId="42" xr:uid="{00000000-0005-0000-0000-00002A000000}"/>
  </cellStyles>
  <dxfs count="243">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patternType="solid">
          <bgColor indexed="43"/>
        </patternFill>
      </fill>
    </dxf>
    <dxf>
      <fill>
        <patternFill patternType="solid">
          <bgColor indexed="43"/>
        </patternFill>
      </fill>
    </dxf>
    <dxf>
      <fill>
        <patternFill>
          <bgColor indexed="10"/>
        </patternFill>
      </fill>
    </dxf>
    <dxf>
      <fill>
        <patternFill patternType="solid">
          <bgColor indexed="43"/>
        </patternFill>
      </fill>
    </dxf>
    <dxf>
      <fill>
        <patternFill patternType="solid">
          <bgColor indexed="43"/>
        </patternFill>
      </fill>
    </dxf>
    <dxf>
      <fill>
        <patternFill>
          <bgColor indexed="10"/>
        </patternFill>
      </fill>
    </dxf>
    <dxf>
      <fill>
        <patternFill>
          <bgColor indexed="52"/>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2" defaultPivotStyle="PivotStyleLight16"/>
  <colors>
    <mruColors>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search/local/ws/rest/v1'">
  <Schema ID="Schema1" Namespace="http://schemas.microsoft.com/search/local/ws/rest/v1">
    <xsd:schema xmlns:xsd="http://www.w3.org/2001/XMLSchema" xmlns:ns0="http://schemas.microsoft.com/search/local/ws/rest/v1" xmlns="" targetNamespace="http://schemas.microsoft.com/search/local/ws/rest/v1">
      <xsd:element nillable="true" name="Response">
        <xsd:complexType>
          <xsd:sequence minOccurs="0">
            <xsd:element minOccurs="0" nillable="true" type="xsd:string" name="Copyright" form="qualified"/>
            <xsd:element minOccurs="0" nillable="true" type="xsd:anyURI" name="BrandLogoUri" form="qualified"/>
            <xsd:element minOccurs="0" nillable="true" type="xsd:integer" name="StatusCode" form="qualified"/>
            <xsd:element minOccurs="0" nillable="true" type="xsd:string" name="StatusDescription" form="qualified"/>
            <xsd:element minOccurs="0" nillable="true" type="xsd:string" name="AuthenticationResultCode" form="qualified"/>
            <xsd:element minOccurs="0" nillable="true" type="xsd:string" name="TraceId" form="qualified"/>
            <xsd:element minOccurs="0" nillable="true" name="ResourceSets" form="qualified">
              <xsd:complexType>
                <xsd:sequence minOccurs="0">
                  <xsd:element minOccurs="0" nillable="true" name="ResourceSet" form="qualified">
                    <xsd:complexType>
                      <xsd:sequence minOccurs="0">
                        <xsd:element minOccurs="0" nillable="true" type="xsd:integer" name="EstimatedTotal" form="qualified"/>
                        <xsd:element minOccurs="0" nillable="true" name="Resources" form="qualified">
                          <xsd:complexType>
                            <xsd:sequence minOccurs="0">
                              <xsd:element minOccurs="0" nillable="true" name="Route" form="qualified">
                                <xsd:complexType>
                                  <xsd:sequence minOccurs="0">
                                    <xsd:element minOccurs="0" nillable="true" type="xsd:string" name="Id" form="qualified"/>
                                    <xsd:element minOccurs="0" nillable="true" name="BoundingBox" form="qualified">
                                      <xsd:complexType>
                                        <xsd:sequence minOccurs="0">
                                          <xsd:element minOccurs="0" nillable="true" type="xsd:double" name="SouthLatitude" form="qualified"/>
                                          <xsd:element minOccurs="0" nillable="true" type="xsd:double" name="WestLongitude" form="qualified"/>
                                          <xsd:element minOccurs="0" nillable="true" type="xsd:double" name="NorthLatitude" form="qualified"/>
                                          <xsd:element minOccurs="0" nillable="true" type="xsd:double" name="EastLongitude" form="qualified"/>
                                        </xsd:sequence>
                                      </xsd:complexType>
                                    </xsd:element>
                                    <xsd:element minOccurs="0" nillable="true" type="xsd:string" name="DistanceUnit" form="qualified"/>
                                    <xsd:element minOccurs="0" nillable="true" type="xsd:string" name="DurationUnit" form="qualified"/>
                                    <xsd:element minOccurs="0" nillable="true" type="xsd:double" name="TravelDistance" form="qualified"/>
                                    <xsd:element minOccurs="0" nillable="true" type="xsd:integer" name="TravelDuration" form="qualified"/>
                                    <xsd:element minOccurs="0" nillable="true" type="xsd:integer" name="TravelDurationTraffic" form="qualified"/>
                                    <xsd:element minOccurs="0" nillable="true" name="RouteLeg" form="qualified">
                                      <xsd:complexType>
                                        <xsd:sequence minOccurs="0">
                                          <xsd:element minOccurs="0" nillable="true" type="xsd:double" name="TravelDistance" form="qualified"/>
                                          <xsd:element minOccurs="0" nillable="true" type="xsd:integer" name="TravelDuration" form="qualified"/>
                                          <xsd:element minOccurs="0" nillable="true" type="xsd:integer" name="Cost" form="qualified"/>
                                          <xsd:element minOccurs="0" nillable="true" name="ActualStar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ActualEnd" form="qualified">
                                            <xsd:complexType>
                                              <xsd:sequence minOccurs="0">
                                                <xsd:element minOccurs="0" nillable="true" type="xsd:double" name="Latitude" form="qualified"/>
                                                <xsd:element minOccurs="0" nillable="true" type="xsd:double" name="Longitude" form="qualified"/>
                                              </xsd:sequence>
                                            </xsd:complexType>
                                          </xsd:element>
                                          <xsd:element minOccurs="0" maxOccurs="unbounded" nillable="true" name="ItineraryItem" form="qualified">
                                            <xsd:complexType>
                                              <xsd:sequence minOccurs="0" maxOccurs="unbounded">
                                                <xsd:element minOccurs="0" nillable="true" type="xsd:string" name="TravelMode" form="qualified"/>
                                                <xsd:element minOccurs="0" nillable="true" type="xsd:double" name="TravelDistance" form="qualified"/>
                                                <xsd:element minOccurs="0" nillable="true" type="xsd:integer" name="TravelDuration" form="qualified"/>
                                                <xsd:element minOccurs="0" nillable="true" name="ManeuverPoin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Instruction" form="qualified">
                                                  <xsd:complexType>
                                                    <xsd:simpleContent>
                                                      <xsd:extension base="xsd:string">
                                                        <xsd:attribute name="maneuverType" form="unqualified" type="xsd:string"/>
                                                      </xsd:extension>
                                                    </xsd:simpleContent>
                                                  </xsd:complexType>
                                                </xsd:element>
                                                <xsd:element minOccurs="0" nillable="true" type="xsd:string" name="CompassDirection" form="qualified"/>
                                                <xsd:element minOccurs="0" nillable="true" name="Warning" form="qualified">
                                                  <xsd:complexType>
                                                    <xsd:simpleContent>
                                                      <xsd:extension base="xsd:string">
                                                        <xsd:attribute name="warningType" form="unqualified" type="xsd:string"/>
                                                        <xsd:attribute name="severity" form="unqualified" type="xsd:string"/>
                                                      </xsd:extension>
                                                    </xsd:simpleContent>
                                                  </xsd:complexType>
                                                </xsd:element>
                                                <xsd:element minOccurs="0" maxOccurs="unbounded" nillable="true" name="Detail" form="qualified">
                                                  <xsd:complexType>
                                                    <xsd:sequence minOccurs="0" maxOccurs="unbounded">
                                                      <xsd:element minOccurs="0" nillable="true" type="xsd:string" name="ManeuverType" form="qualified"/>
                                                      <xsd:element minOccurs="0" nillable="true" type="xsd:integer" name="StartPathIndex" form="qualified"/>
                                                      <xsd:element minOccurs="0" nillable="true" type="xsd:integer" name="EndPathIndex" form="qualified"/>
                                                      <xsd:element minOccurs="0" nillable="true" type="xsd:string" name="Name" form="qualified"/>
                                                      <xsd:element minOccurs="0" nillable="true" type="xsd:integer" name="CompassDegrees" form="qualified"/>
                                                      <xsd:element minOccurs="0" nillable="true" type="xsd:string" name="Mode" form="qualified"/>
                                                      <xsd:element minOccurs="0" nillable="true" type="xsd:integer" name="PreviousEntityId" form="qualified"/>
                                                      <xsd:element minOccurs="0" nillable="true" type="xsd:integer" name="NextEntityId" form="qualified"/>
                                                      <xsd:element minOccurs="0" nillable="true" type="xsd:string" name="RoadType" form="qualified"/>
                                                      <xsd:element minOccurs="0" nillable="true" name="RoadShieldRequestParameters" form="qualified">
                                                        <xsd:complexType>
                                                          <xsd:sequence minOccurs="0">
                                                            <xsd:element minOccurs="0" nillable="true" type="xsd:integer" name="Bucket" form="qualified"/>
                                                            <xsd:element minOccurs="0" nillable="true" name="Shield" form="qualified">
                                                              <xsd:complexType>
                                                                <xsd:sequence minOccurs="0">
                                                                  <xsd:element minOccurs="0" nillable="true" type="xsd:integer" name="RoadShieldType" form="qualified"/>
                                                                  <xsd:element minOccurs="0" nillable="true" type="xsd:string" name="Label" form="qualified"/>
                                                                </xsd:sequence>
                                                              </xsd:complexType>
                                                            </xsd:element>
                                                          </xsd:sequence>
                                                        </xsd:complexType>
                                                      </xsd:element>
                                                      <xsd:element minOccurs="0" maxOccurs="unbounded" nillable="true" type="xsd:string" name="LocationCode" form="qualified"/>
                                                    </xsd:sequence>
                                                  </xsd:complexType>
                                                </xsd:element>
                                                <xsd:element minOccurs="0" nillable="true" type="xsd:string" name="Exit" form="qualified"/>
                                                <xsd:element minOccurs="0" nillable="true" type="xsd:string" name="TollZone" form="qualified"/>
                                                <xsd:element minOccurs="0" nillable="true" type="xsd:string" name="TransitTerminus" form="qualified"/>
                                                <xsd:element minOccurs="0" nillable="true" type="xsd:integer" name="TripId" form="qualified"/>
                                                <xsd:element minOccurs="0" nillable="true" type="xsd:string" name="IconType" form="qualified"/>
                                                <xsd:element minOccurs="0" nillable="true" type="xsd:dateTime" name="Time" form="qualified"/>
                                                <xsd:element minOccurs="0" nillable="true" type="xsd:integer" name="TransitStopId" form="qualified"/>
                                                <xsd:element minOccurs="0" nillable="true" type="xsd:string" name="TowardsRoadName" form="qualified"/>
                                                <xsd:element minOccurs="0" nillable="true" type="xsd:string" name="SideOfStreet" form="qualified"/>
                                                <xsd:element minOccurs="0" maxOccurs="unbounded" nillable="true" type="xsd:string" name="Sign" form="qualified"/>
                                                <xsd:element minOccurs="0" maxOccurs="unbounded" nillable="true" type="xsd:string" name="Hint" form="qualified"/>
                                              </xsd:sequence>
                                            </xsd:complexType>
                                          </xsd:element>
                                          <xsd:element minOccurs="0" nillable="true" type="xsd:dateTime" name="StartTime" form="qualified"/>
                                          <xsd:element minOccurs="0" nillable="true" type="xsd:dateTime" name="EndTime" form="qualified"/>
                                          <xsd:element minOccurs="0" nillable="true" type="xsd:string" name="Description" form="qualified"/>
                                          <xsd:element minOccurs="0" nillable="true" type="xsd:string" name="RouteRegion" form="qualified"/>
                                        </xsd:sequence>
                                      </xsd:complexType>
                                    </xsd:element>
                                  </xsd:sequence>
                                </xsd:complexType>
                              </xsd:element>
                            </xsd:sequence>
                          </xsd:complexType>
                        </xsd:element>
                      </xsd:sequence>
                    </xsd:complexType>
                  </xsd:element>
                </xsd:sequence>
              </xsd:complexType>
            </xsd:element>
          </xsd:sequence>
        </xsd:complexType>
      </xsd:element>
    </xsd:schema>
  </Schema>
  <Map ID="1" Name="Response_Map" RootElement="Respons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xmlMaps" Target="xmlMaps.xml"/></Relationships>
</file>

<file path=xl/charts/_rels/chart1.xml.rels><?xml version="1.0" encoding="UTF-8" standalone="yes"?>
<Relationships xmlns="http://schemas.openxmlformats.org/package/2006/relationships"><Relationship Id="rId1" Type="http://schemas.openxmlformats.org/officeDocument/2006/relationships/image" Target="../media/image1.jpe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8.0000000000000002E-3"/>
          <c:y val="1.020408163265306E-2"/>
          <c:w val="0.77200000000000002"/>
          <c:h val="0.98469387755102045"/>
        </c:manualLayout>
      </c:layout>
      <c:scatterChart>
        <c:scatterStyle val="lineMarker"/>
        <c:varyColors val="0"/>
        <c:ser>
          <c:idx val="0"/>
          <c:order val="0"/>
          <c:spPr>
            <a:ln w="28575">
              <a:noFill/>
            </a:ln>
          </c:spPr>
          <c:marker>
            <c:symbol val="circle"/>
            <c:size val="7"/>
          </c:marker>
          <c:dPt>
            <c:idx val="0"/>
            <c:marker>
              <c:symbol val="square"/>
              <c:size val="7"/>
              <c:spPr>
                <a:solidFill>
                  <a:srgbClr val="000000"/>
                </a:solidFill>
                <a:ln>
                  <a:solidFill>
                    <a:srgbClr val="000000"/>
                  </a:solidFill>
                  <a:prstDash val="solid"/>
                </a:ln>
              </c:spPr>
            </c:marker>
            <c:bubble3D val="0"/>
            <c:extLst>
              <c:ext xmlns:c16="http://schemas.microsoft.com/office/drawing/2014/chart" uri="{C3380CC4-5D6E-409C-BE32-E72D297353CC}">
                <c16:uniqueId val="{00000001-F2CE-4EB0-B3A5-D818EC0B3152}"/>
              </c:ext>
            </c:extLst>
          </c:dPt>
          <c:dPt>
            <c:idx val="1"/>
            <c:marker>
              <c:spPr>
                <a:solidFill>
                  <a:srgbClr val="339966"/>
                </a:solidFill>
                <a:ln>
                  <a:solidFill>
                    <a:srgbClr val="339966"/>
                  </a:solidFill>
                  <a:prstDash val="solid"/>
                </a:ln>
              </c:spPr>
            </c:marker>
            <c:bubble3D val="0"/>
            <c:extLst>
              <c:ext xmlns:c16="http://schemas.microsoft.com/office/drawing/2014/chart" uri="{C3380CC4-5D6E-409C-BE32-E72D297353CC}">
                <c16:uniqueId val="{00000002-F2CE-4EB0-B3A5-D818EC0B3152}"/>
              </c:ext>
            </c:extLst>
          </c:dPt>
          <c:dPt>
            <c:idx val="2"/>
            <c:marker>
              <c:spPr>
                <a:solidFill>
                  <a:srgbClr val="00FF00"/>
                </a:solidFill>
                <a:ln>
                  <a:solidFill>
                    <a:srgbClr val="00FF00"/>
                  </a:solidFill>
                  <a:prstDash val="solid"/>
                </a:ln>
              </c:spPr>
            </c:marker>
            <c:bubble3D val="0"/>
            <c:extLst>
              <c:ext xmlns:c16="http://schemas.microsoft.com/office/drawing/2014/chart" uri="{C3380CC4-5D6E-409C-BE32-E72D297353CC}">
                <c16:uniqueId val="{00000003-F2CE-4EB0-B3A5-D818EC0B3152}"/>
              </c:ext>
            </c:extLst>
          </c:dPt>
          <c:dPt>
            <c:idx val="3"/>
            <c:marker>
              <c:spPr>
                <a:solidFill>
                  <a:srgbClr val="339966"/>
                </a:solidFill>
                <a:ln>
                  <a:solidFill>
                    <a:srgbClr val="339966"/>
                  </a:solidFill>
                  <a:prstDash val="solid"/>
                </a:ln>
              </c:spPr>
            </c:marker>
            <c:bubble3D val="0"/>
            <c:extLst>
              <c:ext xmlns:c16="http://schemas.microsoft.com/office/drawing/2014/chart" uri="{C3380CC4-5D6E-409C-BE32-E72D297353CC}">
                <c16:uniqueId val="{00000004-F2CE-4EB0-B3A5-D818EC0B3152}"/>
              </c:ext>
            </c:extLst>
          </c:dPt>
          <c:dPt>
            <c:idx val="4"/>
            <c:marker>
              <c:spPr>
                <a:solidFill>
                  <a:srgbClr val="00FF00"/>
                </a:solidFill>
                <a:ln>
                  <a:solidFill>
                    <a:srgbClr val="00FF00"/>
                  </a:solidFill>
                  <a:prstDash val="solid"/>
                </a:ln>
              </c:spPr>
            </c:marker>
            <c:bubble3D val="0"/>
            <c:extLst>
              <c:ext xmlns:c16="http://schemas.microsoft.com/office/drawing/2014/chart" uri="{C3380CC4-5D6E-409C-BE32-E72D297353CC}">
                <c16:uniqueId val="{00000005-F2CE-4EB0-B3A5-D818EC0B3152}"/>
              </c:ext>
            </c:extLst>
          </c:dPt>
          <c:dPt>
            <c:idx val="5"/>
            <c:marker>
              <c:spPr>
                <a:solidFill>
                  <a:srgbClr val="00FF00"/>
                </a:solidFill>
                <a:ln>
                  <a:solidFill>
                    <a:srgbClr val="00FF00"/>
                  </a:solidFill>
                  <a:prstDash val="solid"/>
                </a:ln>
              </c:spPr>
            </c:marker>
            <c:bubble3D val="0"/>
            <c:extLst>
              <c:ext xmlns:c16="http://schemas.microsoft.com/office/drawing/2014/chart" uri="{C3380CC4-5D6E-409C-BE32-E72D297353CC}">
                <c16:uniqueId val="{00000006-F2CE-4EB0-B3A5-D818EC0B3152}"/>
              </c:ext>
            </c:extLst>
          </c:dPt>
          <c:dPt>
            <c:idx val="6"/>
            <c:marker>
              <c:spPr>
                <a:solidFill>
                  <a:srgbClr val="00FF00"/>
                </a:solidFill>
                <a:ln>
                  <a:solidFill>
                    <a:srgbClr val="00FF00"/>
                  </a:solidFill>
                  <a:prstDash val="solid"/>
                </a:ln>
              </c:spPr>
            </c:marker>
            <c:bubble3D val="0"/>
            <c:extLst>
              <c:ext xmlns:c16="http://schemas.microsoft.com/office/drawing/2014/chart" uri="{C3380CC4-5D6E-409C-BE32-E72D297353CC}">
                <c16:uniqueId val="{00000007-F2CE-4EB0-B3A5-D818EC0B3152}"/>
              </c:ext>
            </c:extLst>
          </c:dPt>
          <c:dPt>
            <c:idx val="7"/>
            <c:marker>
              <c:spPr>
                <a:solidFill>
                  <a:srgbClr val="00FF00"/>
                </a:solidFill>
                <a:ln>
                  <a:solidFill>
                    <a:srgbClr val="00FF00"/>
                  </a:solidFill>
                  <a:prstDash val="solid"/>
                </a:ln>
              </c:spPr>
            </c:marker>
            <c:bubble3D val="0"/>
            <c:extLst>
              <c:ext xmlns:c16="http://schemas.microsoft.com/office/drawing/2014/chart" uri="{C3380CC4-5D6E-409C-BE32-E72D297353CC}">
                <c16:uniqueId val="{00000008-F2CE-4EB0-B3A5-D818EC0B3152}"/>
              </c:ext>
            </c:extLst>
          </c:dPt>
          <c:dPt>
            <c:idx val="8"/>
            <c:marker>
              <c:spPr>
                <a:solidFill>
                  <a:srgbClr val="00FF00"/>
                </a:solidFill>
                <a:ln>
                  <a:solidFill>
                    <a:srgbClr val="00FF00"/>
                  </a:solidFill>
                  <a:prstDash val="solid"/>
                </a:ln>
              </c:spPr>
            </c:marker>
            <c:bubble3D val="0"/>
            <c:extLst>
              <c:ext xmlns:c16="http://schemas.microsoft.com/office/drawing/2014/chart" uri="{C3380CC4-5D6E-409C-BE32-E72D297353CC}">
                <c16:uniqueId val="{00000009-F2CE-4EB0-B3A5-D818EC0B3152}"/>
              </c:ext>
            </c:extLst>
          </c:dPt>
          <c:dPt>
            <c:idx val="9"/>
            <c:marker>
              <c:spPr>
                <a:solidFill>
                  <a:srgbClr val="00FF00"/>
                </a:solidFill>
                <a:ln>
                  <a:solidFill>
                    <a:srgbClr val="00FF00"/>
                  </a:solidFill>
                  <a:prstDash val="solid"/>
                </a:ln>
              </c:spPr>
            </c:marker>
            <c:bubble3D val="0"/>
            <c:extLst>
              <c:ext xmlns:c16="http://schemas.microsoft.com/office/drawing/2014/chart" uri="{C3380CC4-5D6E-409C-BE32-E72D297353CC}">
                <c16:uniqueId val="{0000000A-F2CE-4EB0-B3A5-D818EC0B3152}"/>
              </c:ext>
            </c:extLst>
          </c:dPt>
          <c:dPt>
            <c:idx val="10"/>
            <c:marker>
              <c:spPr>
                <a:solidFill>
                  <a:srgbClr val="00FF00"/>
                </a:solidFill>
                <a:ln>
                  <a:solidFill>
                    <a:srgbClr val="00FF00"/>
                  </a:solidFill>
                  <a:prstDash val="solid"/>
                </a:ln>
              </c:spPr>
            </c:marker>
            <c:bubble3D val="0"/>
            <c:extLst>
              <c:ext xmlns:c16="http://schemas.microsoft.com/office/drawing/2014/chart" uri="{C3380CC4-5D6E-409C-BE32-E72D297353CC}">
                <c16:uniqueId val="{0000000B-F2CE-4EB0-B3A5-D818EC0B3152}"/>
              </c:ext>
            </c:extLst>
          </c:dPt>
          <c:dPt>
            <c:idx val="11"/>
            <c:marker>
              <c:spPr>
                <a:solidFill>
                  <a:srgbClr val="339966"/>
                </a:solidFill>
                <a:ln>
                  <a:solidFill>
                    <a:srgbClr val="339966"/>
                  </a:solidFill>
                  <a:prstDash val="solid"/>
                </a:ln>
              </c:spPr>
            </c:marker>
            <c:bubble3D val="0"/>
            <c:extLst>
              <c:ext xmlns:c16="http://schemas.microsoft.com/office/drawing/2014/chart" uri="{C3380CC4-5D6E-409C-BE32-E72D297353CC}">
                <c16:uniqueId val="{0000000C-F2CE-4EB0-B3A5-D818EC0B3152}"/>
              </c:ext>
            </c:extLst>
          </c:dPt>
          <c:dPt>
            <c:idx val="12"/>
            <c:marker>
              <c:spPr>
                <a:solidFill>
                  <a:srgbClr val="00FF00"/>
                </a:solidFill>
                <a:ln>
                  <a:solidFill>
                    <a:srgbClr val="00FF00"/>
                  </a:solidFill>
                  <a:prstDash val="solid"/>
                </a:ln>
              </c:spPr>
            </c:marker>
            <c:bubble3D val="0"/>
            <c:extLst>
              <c:ext xmlns:c16="http://schemas.microsoft.com/office/drawing/2014/chart" uri="{C3380CC4-5D6E-409C-BE32-E72D297353CC}">
                <c16:uniqueId val="{0000000D-F2CE-4EB0-B3A5-D818EC0B3152}"/>
              </c:ext>
            </c:extLst>
          </c:dPt>
          <c:dPt>
            <c:idx val="13"/>
            <c:marker>
              <c:spPr>
                <a:solidFill>
                  <a:srgbClr val="00FF00"/>
                </a:solidFill>
                <a:ln>
                  <a:solidFill>
                    <a:srgbClr val="00FF00"/>
                  </a:solidFill>
                  <a:prstDash val="solid"/>
                </a:ln>
              </c:spPr>
            </c:marker>
            <c:bubble3D val="0"/>
            <c:extLst>
              <c:ext xmlns:c16="http://schemas.microsoft.com/office/drawing/2014/chart" uri="{C3380CC4-5D6E-409C-BE32-E72D297353CC}">
                <c16:uniqueId val="{0000000E-F2CE-4EB0-B3A5-D818EC0B3152}"/>
              </c:ext>
            </c:extLst>
          </c:dPt>
          <c:dPt>
            <c:idx val="14"/>
            <c:marker>
              <c:spPr>
                <a:solidFill>
                  <a:srgbClr val="00FF00"/>
                </a:solidFill>
                <a:ln>
                  <a:solidFill>
                    <a:srgbClr val="00FF00"/>
                  </a:solidFill>
                  <a:prstDash val="solid"/>
                </a:ln>
              </c:spPr>
            </c:marker>
            <c:bubble3D val="0"/>
            <c:extLst>
              <c:ext xmlns:c16="http://schemas.microsoft.com/office/drawing/2014/chart" uri="{C3380CC4-5D6E-409C-BE32-E72D297353CC}">
                <c16:uniqueId val="{0000000F-F2CE-4EB0-B3A5-D818EC0B3152}"/>
              </c:ext>
            </c:extLst>
          </c:dPt>
          <c:dPt>
            <c:idx val="15"/>
            <c:marker>
              <c:spPr>
                <a:solidFill>
                  <a:srgbClr val="00FF00"/>
                </a:solidFill>
                <a:ln>
                  <a:solidFill>
                    <a:srgbClr val="00FF00"/>
                  </a:solidFill>
                  <a:prstDash val="solid"/>
                </a:ln>
              </c:spPr>
            </c:marker>
            <c:bubble3D val="0"/>
            <c:extLst>
              <c:ext xmlns:c16="http://schemas.microsoft.com/office/drawing/2014/chart" uri="{C3380CC4-5D6E-409C-BE32-E72D297353CC}">
                <c16:uniqueId val="{00000010-F2CE-4EB0-B3A5-D818EC0B3152}"/>
              </c:ext>
            </c:extLst>
          </c:dPt>
          <c:dPt>
            <c:idx val="16"/>
            <c:marker>
              <c:spPr>
                <a:solidFill>
                  <a:srgbClr val="00FF00"/>
                </a:solidFill>
                <a:ln>
                  <a:solidFill>
                    <a:srgbClr val="00FF00"/>
                  </a:solidFill>
                  <a:prstDash val="solid"/>
                </a:ln>
              </c:spPr>
            </c:marker>
            <c:bubble3D val="0"/>
            <c:extLst>
              <c:ext xmlns:c16="http://schemas.microsoft.com/office/drawing/2014/chart" uri="{C3380CC4-5D6E-409C-BE32-E72D297353CC}">
                <c16:uniqueId val="{00000011-F2CE-4EB0-B3A5-D818EC0B3152}"/>
              </c:ext>
            </c:extLst>
          </c:dPt>
          <c:dPt>
            <c:idx val="17"/>
            <c:marker>
              <c:spPr>
                <a:solidFill>
                  <a:srgbClr val="339966"/>
                </a:solidFill>
                <a:ln>
                  <a:solidFill>
                    <a:srgbClr val="339966"/>
                  </a:solidFill>
                  <a:prstDash val="solid"/>
                </a:ln>
              </c:spPr>
            </c:marker>
            <c:bubble3D val="0"/>
            <c:extLst>
              <c:ext xmlns:c16="http://schemas.microsoft.com/office/drawing/2014/chart" uri="{C3380CC4-5D6E-409C-BE32-E72D297353CC}">
                <c16:uniqueId val="{00000012-F2CE-4EB0-B3A5-D818EC0B3152}"/>
              </c:ext>
            </c:extLst>
          </c:dPt>
          <c:dPt>
            <c:idx val="18"/>
            <c:marker>
              <c:spPr>
                <a:solidFill>
                  <a:srgbClr val="00FF00"/>
                </a:solidFill>
                <a:ln>
                  <a:solidFill>
                    <a:srgbClr val="00FF00"/>
                  </a:solidFill>
                  <a:prstDash val="solid"/>
                </a:ln>
              </c:spPr>
            </c:marker>
            <c:bubble3D val="0"/>
            <c:extLst>
              <c:ext xmlns:c16="http://schemas.microsoft.com/office/drawing/2014/chart" uri="{C3380CC4-5D6E-409C-BE32-E72D297353CC}">
                <c16:uniqueId val="{00000013-F2CE-4EB0-B3A5-D818EC0B3152}"/>
              </c:ext>
            </c:extLst>
          </c:dPt>
          <c:dPt>
            <c:idx val="19"/>
            <c:marker>
              <c:spPr>
                <a:solidFill>
                  <a:srgbClr val="00FF00"/>
                </a:solidFill>
                <a:ln>
                  <a:solidFill>
                    <a:srgbClr val="00FF00"/>
                  </a:solidFill>
                  <a:prstDash val="solid"/>
                </a:ln>
              </c:spPr>
            </c:marker>
            <c:bubble3D val="0"/>
            <c:extLst>
              <c:ext xmlns:c16="http://schemas.microsoft.com/office/drawing/2014/chart" uri="{C3380CC4-5D6E-409C-BE32-E72D297353CC}">
                <c16:uniqueId val="{00000014-F2CE-4EB0-B3A5-D818EC0B3152}"/>
              </c:ext>
            </c:extLst>
          </c:dPt>
          <c:dPt>
            <c:idx val="20"/>
            <c:marker>
              <c:spPr>
                <a:solidFill>
                  <a:srgbClr val="00FF00"/>
                </a:solidFill>
                <a:ln>
                  <a:solidFill>
                    <a:srgbClr val="00FF00"/>
                  </a:solidFill>
                  <a:prstDash val="solid"/>
                </a:ln>
              </c:spPr>
            </c:marker>
            <c:bubble3D val="0"/>
            <c:extLst>
              <c:ext xmlns:c16="http://schemas.microsoft.com/office/drawing/2014/chart" uri="{C3380CC4-5D6E-409C-BE32-E72D297353CC}">
                <c16:uniqueId val="{00000015-F2CE-4EB0-B3A5-D818EC0B3152}"/>
              </c:ext>
            </c:extLst>
          </c:dPt>
          <c:dPt>
            <c:idx val="21"/>
            <c:marker>
              <c:spPr>
                <a:solidFill>
                  <a:srgbClr val="00FF00"/>
                </a:solidFill>
                <a:ln>
                  <a:solidFill>
                    <a:srgbClr val="00FF00"/>
                  </a:solidFill>
                  <a:prstDash val="solid"/>
                </a:ln>
              </c:spPr>
            </c:marker>
            <c:bubble3D val="0"/>
            <c:extLst>
              <c:ext xmlns:c16="http://schemas.microsoft.com/office/drawing/2014/chart" uri="{C3380CC4-5D6E-409C-BE32-E72D297353CC}">
                <c16:uniqueId val="{00000016-F2CE-4EB0-B3A5-D818EC0B3152}"/>
              </c:ext>
            </c:extLst>
          </c:dPt>
          <c:dPt>
            <c:idx val="22"/>
            <c:marker>
              <c:spPr>
                <a:solidFill>
                  <a:srgbClr val="339966"/>
                </a:solidFill>
                <a:ln>
                  <a:solidFill>
                    <a:srgbClr val="339966"/>
                  </a:solidFill>
                  <a:prstDash val="solid"/>
                </a:ln>
              </c:spPr>
            </c:marker>
            <c:bubble3D val="0"/>
            <c:extLst>
              <c:ext xmlns:c16="http://schemas.microsoft.com/office/drawing/2014/chart" uri="{C3380CC4-5D6E-409C-BE32-E72D297353CC}">
                <c16:uniqueId val="{00000017-F2CE-4EB0-B3A5-D818EC0B3152}"/>
              </c:ext>
            </c:extLst>
          </c:dPt>
          <c:dLbls>
            <c:dLbl>
              <c:idx val="0"/>
              <c:tx>
                <c:rich>
                  <a:bodyPr/>
                  <a:lstStyle/>
                  <a:p>
                    <a:r>
                      <a:rPr lang="en-US"/>
                      <a:t>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2CE-4EB0-B3A5-D818EC0B3152}"/>
                </c:ext>
              </c:extLst>
            </c:dLbl>
            <c:dLbl>
              <c:idx val="1"/>
              <c:tx>
                <c:rich>
                  <a:bodyPr/>
                  <a:lstStyle/>
                  <a:p>
                    <a:r>
                      <a:rPr lang="en-US"/>
                      <a:t>1</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2CE-4EB0-B3A5-D818EC0B3152}"/>
                </c:ext>
              </c:extLst>
            </c:dLbl>
            <c:dLbl>
              <c:idx val="2"/>
              <c:tx>
                <c:rich>
                  <a:bodyPr/>
                  <a:lstStyle/>
                  <a:p>
                    <a:r>
                      <a:rPr lang="en-US"/>
                      <a:t>2</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2CE-4EB0-B3A5-D818EC0B3152}"/>
                </c:ext>
              </c:extLst>
            </c:dLbl>
            <c:dLbl>
              <c:idx val="3"/>
              <c:tx>
                <c:rich>
                  <a:bodyPr/>
                  <a:lstStyle/>
                  <a:p>
                    <a:r>
                      <a:rPr lang="en-US"/>
                      <a:t>3</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2CE-4EB0-B3A5-D818EC0B3152}"/>
                </c:ext>
              </c:extLst>
            </c:dLbl>
            <c:dLbl>
              <c:idx val="4"/>
              <c:tx>
                <c:rich>
                  <a:bodyPr/>
                  <a:lstStyle/>
                  <a:p>
                    <a:r>
                      <a:rPr lang="en-US"/>
                      <a:t>4</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2CE-4EB0-B3A5-D818EC0B3152}"/>
                </c:ext>
              </c:extLst>
            </c:dLbl>
            <c:dLbl>
              <c:idx val="5"/>
              <c:tx>
                <c:rich>
                  <a:bodyPr/>
                  <a:lstStyle/>
                  <a:p>
                    <a:r>
                      <a:rPr lang="en-US"/>
                      <a:t>5</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2CE-4EB0-B3A5-D818EC0B3152}"/>
                </c:ext>
              </c:extLst>
            </c:dLbl>
            <c:dLbl>
              <c:idx val="6"/>
              <c:tx>
                <c:rich>
                  <a:bodyPr/>
                  <a:lstStyle/>
                  <a:p>
                    <a:r>
                      <a:rPr lang="en-US"/>
                      <a:t>6</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F2CE-4EB0-B3A5-D818EC0B3152}"/>
                </c:ext>
              </c:extLst>
            </c:dLbl>
            <c:dLbl>
              <c:idx val="7"/>
              <c:tx>
                <c:rich>
                  <a:bodyPr/>
                  <a:lstStyle/>
                  <a:p>
                    <a:r>
                      <a:rPr lang="en-US"/>
                      <a:t>7</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F2CE-4EB0-B3A5-D818EC0B3152}"/>
                </c:ext>
              </c:extLst>
            </c:dLbl>
            <c:dLbl>
              <c:idx val="8"/>
              <c:tx>
                <c:rich>
                  <a:bodyPr/>
                  <a:lstStyle/>
                  <a:p>
                    <a:r>
                      <a:rPr lang="en-US"/>
                      <a:t>8</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F2CE-4EB0-B3A5-D818EC0B3152}"/>
                </c:ext>
              </c:extLst>
            </c:dLbl>
            <c:dLbl>
              <c:idx val="9"/>
              <c:tx>
                <c:rich>
                  <a:bodyPr/>
                  <a:lstStyle/>
                  <a:p>
                    <a:r>
                      <a:rPr lang="en-US"/>
                      <a:t>9</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F2CE-4EB0-B3A5-D818EC0B3152}"/>
                </c:ext>
              </c:extLst>
            </c:dLbl>
            <c:dLbl>
              <c:idx val="10"/>
              <c:tx>
                <c:rich>
                  <a:bodyPr/>
                  <a:lstStyle/>
                  <a:p>
                    <a:r>
                      <a:rPr lang="en-US"/>
                      <a:t>10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F2CE-4EB0-B3A5-D818EC0B3152}"/>
                </c:ext>
              </c:extLst>
            </c:dLbl>
            <c:dLbl>
              <c:idx val="11"/>
              <c:tx>
                <c:rich>
                  <a:bodyPr/>
                  <a:lstStyle/>
                  <a:p>
                    <a:r>
                      <a:rPr lang="en-US"/>
                      <a:t>11</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F2CE-4EB0-B3A5-D818EC0B3152}"/>
                </c:ext>
              </c:extLst>
            </c:dLbl>
            <c:dLbl>
              <c:idx val="12"/>
              <c:tx>
                <c:rich>
                  <a:bodyPr/>
                  <a:lstStyle/>
                  <a:p>
                    <a:r>
                      <a:rPr lang="en-US"/>
                      <a:t>12</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F2CE-4EB0-B3A5-D818EC0B3152}"/>
                </c:ext>
              </c:extLst>
            </c:dLbl>
            <c:dLbl>
              <c:idx val="13"/>
              <c:tx>
                <c:rich>
                  <a:bodyPr/>
                  <a:lstStyle/>
                  <a:p>
                    <a:r>
                      <a:rPr lang="en-US"/>
                      <a:t>13</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F2CE-4EB0-B3A5-D818EC0B3152}"/>
                </c:ext>
              </c:extLst>
            </c:dLbl>
            <c:dLbl>
              <c:idx val="14"/>
              <c:tx>
                <c:rich>
                  <a:bodyPr/>
                  <a:lstStyle/>
                  <a:p>
                    <a:r>
                      <a:rPr lang="en-US"/>
                      <a:t>14</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F2CE-4EB0-B3A5-D818EC0B3152}"/>
                </c:ext>
              </c:extLst>
            </c:dLbl>
            <c:dLbl>
              <c:idx val="15"/>
              <c:tx>
                <c:rich>
                  <a:bodyPr/>
                  <a:lstStyle/>
                  <a:p>
                    <a:r>
                      <a:rPr lang="en-US"/>
                      <a:t>15</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F2CE-4EB0-B3A5-D818EC0B3152}"/>
                </c:ext>
              </c:extLst>
            </c:dLbl>
            <c:dLbl>
              <c:idx val="16"/>
              <c:tx>
                <c:rich>
                  <a:bodyPr/>
                  <a:lstStyle/>
                  <a:p>
                    <a:r>
                      <a:rPr lang="en-US"/>
                      <a:t>16</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F2CE-4EB0-B3A5-D818EC0B3152}"/>
                </c:ext>
              </c:extLst>
            </c:dLbl>
            <c:dLbl>
              <c:idx val="17"/>
              <c:tx>
                <c:rich>
                  <a:bodyPr/>
                  <a:lstStyle/>
                  <a:p>
                    <a:r>
                      <a:rPr lang="en-US"/>
                      <a:t>17</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F2CE-4EB0-B3A5-D818EC0B3152}"/>
                </c:ext>
              </c:extLst>
            </c:dLbl>
            <c:dLbl>
              <c:idx val="18"/>
              <c:tx>
                <c:rich>
                  <a:bodyPr/>
                  <a:lstStyle/>
                  <a:p>
                    <a:r>
                      <a:rPr lang="en-US"/>
                      <a:t>18</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F2CE-4EB0-B3A5-D818EC0B3152}"/>
                </c:ext>
              </c:extLst>
            </c:dLbl>
            <c:dLbl>
              <c:idx val="19"/>
              <c:tx>
                <c:rich>
                  <a:bodyPr/>
                  <a:lstStyle/>
                  <a:p>
                    <a:r>
                      <a:rPr lang="en-US"/>
                      <a:t>19</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F2CE-4EB0-B3A5-D818EC0B3152}"/>
                </c:ext>
              </c:extLst>
            </c:dLbl>
            <c:dLbl>
              <c:idx val="20"/>
              <c:tx>
                <c:rich>
                  <a:bodyPr/>
                  <a:lstStyle/>
                  <a:p>
                    <a:r>
                      <a:rPr lang="en-US"/>
                      <a:t>20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F2CE-4EB0-B3A5-D818EC0B3152}"/>
                </c:ext>
              </c:extLst>
            </c:dLbl>
            <c:dLbl>
              <c:idx val="21"/>
              <c:tx>
                <c:rich>
                  <a:bodyPr/>
                  <a:lstStyle/>
                  <a:p>
                    <a:r>
                      <a:rPr lang="en-US"/>
                      <a:t>21</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F2CE-4EB0-B3A5-D818EC0B3152}"/>
                </c:ext>
              </c:extLst>
            </c:dLbl>
            <c:dLbl>
              <c:idx val="22"/>
              <c:tx>
                <c:rich>
                  <a:bodyPr/>
                  <a:lstStyle/>
                  <a:p>
                    <a:r>
                      <a:rPr lang="en-US"/>
                      <a:t>22</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F2CE-4EB0-B3A5-D818EC0B3152}"/>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'1. Locais'!$E$2:$E$24</c:f>
              <c:numCache>
                <c:formatCode>General</c:formatCode>
                <c:ptCount val="23"/>
                <c:pt idx="0" formatCode="0.0000000">
                  <c:v>-48.298583999999998</c:v>
                </c:pt>
                <c:pt idx="1">
                  <c:v>-48.293768</c:v>
                </c:pt>
                <c:pt idx="2">
                  <c:v>-48.290249000000003</c:v>
                </c:pt>
                <c:pt idx="3">
                  <c:v>-48.293022000000001</c:v>
                </c:pt>
                <c:pt idx="4">
                  <c:v>-48.282004000000001</c:v>
                </c:pt>
                <c:pt idx="5">
                  <c:v>-48.294384999999998</c:v>
                </c:pt>
                <c:pt idx="6">
                  <c:v>-48.293768</c:v>
                </c:pt>
                <c:pt idx="7">
                  <c:v>-48.296253</c:v>
                </c:pt>
                <c:pt idx="8">
                  <c:v>-48.298287600000002</c:v>
                </c:pt>
                <c:pt idx="9">
                  <c:v>-48.298969</c:v>
                </c:pt>
                <c:pt idx="10">
                  <c:v>-48.298056600000002</c:v>
                </c:pt>
                <c:pt idx="11">
                  <c:v>-48.301355899999997</c:v>
                </c:pt>
                <c:pt idx="12">
                  <c:v>-48.392023399999999</c:v>
                </c:pt>
                <c:pt idx="13">
                  <c:v>-48.392023399999999</c:v>
                </c:pt>
                <c:pt idx="14">
                  <c:v>-48.392023399999999</c:v>
                </c:pt>
                <c:pt idx="15">
                  <c:v>-48.392023399999999</c:v>
                </c:pt>
                <c:pt idx="16">
                  <c:v>-48.304425999999999</c:v>
                </c:pt>
                <c:pt idx="17">
                  <c:v>-48.295870000000001</c:v>
                </c:pt>
                <c:pt idx="18">
                  <c:v>-48.299523999999998</c:v>
                </c:pt>
                <c:pt idx="19">
                  <c:v>-48.294383099999997</c:v>
                </c:pt>
                <c:pt idx="20">
                  <c:v>-48.303457000000002</c:v>
                </c:pt>
                <c:pt idx="21">
                  <c:v>-48.3977352</c:v>
                </c:pt>
                <c:pt idx="22">
                  <c:v>-48.298139999999997</c:v>
                </c:pt>
              </c:numCache>
            </c:numRef>
          </c:xVal>
          <c:yVal>
            <c:numRef>
              <c:f>'1. Locais'!$D$2:$D$24</c:f>
              <c:numCache>
                <c:formatCode>General</c:formatCode>
                <c:ptCount val="23"/>
                <c:pt idx="0" formatCode="0.0000000">
                  <c:v>-10.3485839</c:v>
                </c:pt>
                <c:pt idx="1">
                  <c:v>-10.344564</c:v>
                </c:pt>
                <c:pt idx="2">
                  <c:v>-10.350031</c:v>
                </c:pt>
                <c:pt idx="3">
                  <c:v>-10.33384</c:v>
                </c:pt>
                <c:pt idx="4">
                  <c:v>-10.3452819</c:v>
                </c:pt>
                <c:pt idx="5">
                  <c:v>-10.349429000000001</c:v>
                </c:pt>
                <c:pt idx="6">
                  <c:v>-10.344564</c:v>
                </c:pt>
                <c:pt idx="7">
                  <c:v>-10.340785</c:v>
                </c:pt>
                <c:pt idx="8">
                  <c:v>-10.3339122</c:v>
                </c:pt>
                <c:pt idx="9">
                  <c:v>-10.333536</c:v>
                </c:pt>
                <c:pt idx="10">
                  <c:v>-10.3582036</c:v>
                </c:pt>
                <c:pt idx="11">
                  <c:v>-10.354574899999999</c:v>
                </c:pt>
                <c:pt idx="12">
                  <c:v>-10.686169899999999</c:v>
                </c:pt>
                <c:pt idx="13">
                  <c:v>-10.686169899999999</c:v>
                </c:pt>
                <c:pt idx="14">
                  <c:v>-10.686169899999999</c:v>
                </c:pt>
                <c:pt idx="15">
                  <c:v>-10.686169899999999</c:v>
                </c:pt>
                <c:pt idx="16">
                  <c:v>-10.371456</c:v>
                </c:pt>
                <c:pt idx="17">
                  <c:v>-10.33765</c:v>
                </c:pt>
                <c:pt idx="18">
                  <c:v>-10.338210999999999</c:v>
                </c:pt>
                <c:pt idx="19">
                  <c:v>-10.3352176</c:v>
                </c:pt>
                <c:pt idx="20">
                  <c:v>-10.354293</c:v>
                </c:pt>
                <c:pt idx="21">
                  <c:v>-10.670123500000001</c:v>
                </c:pt>
                <c:pt idx="22">
                  <c:v>-10.332970400000001</c:v>
                </c:pt>
              </c:numCache>
            </c:numRef>
          </c:yVal>
          <c:smooth val="0"/>
          <c:extLst>
            <c:ext xmlns:c16="http://schemas.microsoft.com/office/drawing/2014/chart" uri="{C3380CC4-5D6E-409C-BE32-E72D297353CC}">
              <c16:uniqueId val="{00000000-F2CE-4EB0-B3A5-D818EC0B3152}"/>
            </c:ext>
          </c:extLst>
        </c:ser>
        <c:ser>
          <c:idx val="1"/>
          <c:order val="1"/>
          <c:tx>
            <c:strRef>
              <c:f>'4. Solução'!$B$3</c:f>
              <c:strCache>
                <c:ptCount val="1"/>
                <c:pt idx="0">
                  <c:v>V1</c:v>
                </c:pt>
              </c:strCache>
            </c:strRef>
          </c:tx>
          <c:spPr>
            <a:ln w="22225"/>
          </c:spPr>
          <c:marker>
            <c:symbol val="none"/>
          </c:marker>
          <c:xVal>
            <c:numRef>
              <c:f>'4. Solução'!$E$5:$E$28</c:f>
              <c:numCache>
                <c:formatCode>General</c:formatCode>
                <c:ptCount val="24"/>
                <c:pt idx="0">
                  <c:v>-48.298583999999998</c:v>
                </c:pt>
                <c:pt idx="1">
                  <c:v>-48.301355899999997</c:v>
                </c:pt>
                <c:pt idx="2">
                  <c:v>-48.293768</c:v>
                </c:pt>
                <c:pt idx="3">
                  <c:v>-48.295870000000001</c:v>
                </c:pt>
                <c:pt idx="4">
                  <c:v>-48.293022000000001</c:v>
                </c:pt>
                <c:pt idx="5">
                  <c:v>-48.298139999999997</c:v>
                </c:pt>
                <c:pt idx="6">
                  <c:v>-48.298583999999998</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xVal>
          <c:yVal>
            <c:numRef>
              <c:f>'4. Solução'!$D$5:$D$28</c:f>
              <c:numCache>
                <c:formatCode>General</c:formatCode>
                <c:ptCount val="24"/>
                <c:pt idx="0">
                  <c:v>-10.3485839</c:v>
                </c:pt>
                <c:pt idx="1">
                  <c:v>-10.354574899999999</c:v>
                </c:pt>
                <c:pt idx="2">
                  <c:v>-10.344564</c:v>
                </c:pt>
                <c:pt idx="3">
                  <c:v>-10.33765</c:v>
                </c:pt>
                <c:pt idx="4">
                  <c:v>-10.33384</c:v>
                </c:pt>
                <c:pt idx="5">
                  <c:v>-10.332970400000001</c:v>
                </c:pt>
                <c:pt idx="6">
                  <c:v>-10.3485839</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yVal>
          <c:smooth val="0"/>
          <c:extLst>
            <c:ext xmlns:c16="http://schemas.microsoft.com/office/drawing/2014/chart" uri="{C3380CC4-5D6E-409C-BE32-E72D297353CC}">
              <c16:uniqueId val="{00000018-F2CE-4EB0-B3A5-D818EC0B3152}"/>
            </c:ext>
          </c:extLst>
        </c:ser>
        <c:dLbls>
          <c:showLegendKey val="0"/>
          <c:showVal val="0"/>
          <c:showCatName val="0"/>
          <c:showSerName val="0"/>
          <c:showPercent val="0"/>
          <c:showBubbleSize val="0"/>
        </c:dLbls>
        <c:axId val="599050831"/>
        <c:axId val="599051247"/>
      </c:scatterChart>
      <c:valAx>
        <c:axId val="599050831"/>
        <c:scaling>
          <c:orientation val="minMax"/>
          <c:max val="-47.877044677734375"/>
          <c:min val="-48.755950927734375"/>
        </c:scaling>
        <c:delete val="1"/>
        <c:axPos val="b"/>
        <c:numFmt formatCode="0.0000000" sourceLinked="1"/>
        <c:majorTickMark val="out"/>
        <c:minorTickMark val="none"/>
        <c:tickLblPos val="nextTo"/>
        <c:crossAx val="599051247"/>
        <c:crosses val="autoZero"/>
        <c:crossBetween val="midCat"/>
      </c:valAx>
      <c:valAx>
        <c:axId val="599051247"/>
        <c:scaling>
          <c:orientation val="minMax"/>
          <c:max val="-9.9864333761704298"/>
          <c:min val="-10.85084008369075"/>
        </c:scaling>
        <c:delete val="1"/>
        <c:axPos val="l"/>
        <c:numFmt formatCode="0.0000000" sourceLinked="1"/>
        <c:majorTickMark val="out"/>
        <c:minorTickMark val="none"/>
        <c:tickLblPos val="nextTo"/>
        <c:crossAx val="599050831"/>
        <c:crosses val="autoZero"/>
        <c:crossBetween val="midCat"/>
      </c:valAx>
      <c:spPr>
        <a:blipFill dpi="0" rotWithShape="1">
          <a:blip xmlns:r="http://schemas.openxmlformats.org/officeDocument/2006/relationships" r:embed="rId1">
            <a:alphaModFix amt="50000"/>
          </a:blip>
          <a:srcRect/>
          <a:stretch>
            <a:fillRect/>
          </a:stretch>
        </a:blipFill>
        <a:ln w="38100">
          <a:solidFill>
            <a:srgbClr val="FFC000"/>
          </a:solidFill>
        </a:ln>
      </c:spPr>
    </c:plotArea>
    <c:legend>
      <c:legendPos val="r"/>
      <c:legendEntry>
        <c:idx val="0"/>
        <c:delete val="1"/>
      </c:legendEntry>
      <c:layout>
        <c:manualLayout>
          <c:xMode val="edge"/>
          <c:yMode val="edge"/>
          <c:x val="0.90650992125984253"/>
          <c:y val="1.020408163265306E-2"/>
          <c:w val="8.1490078740157484E-2"/>
          <c:h val="0.98469387755102045"/>
        </c:manualLayout>
      </c:layout>
      <c:overlay val="0"/>
    </c:legend>
    <c:plotVisOnly val="0"/>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254000</xdr:colOff>
      <xdr:row>26</xdr:row>
      <xdr:rowOff>25400</xdr:rowOff>
    </xdr:to>
    <xdr:graphicFrame macro="">
      <xdr:nvGraphicFramePr>
        <xdr:cNvPr id="2" name="Gráfico 1">
          <a:extLst>
            <a:ext uri="{FF2B5EF4-FFF2-40B4-BE49-F238E27FC236}">
              <a16:creationId xmlns:a16="http://schemas.microsoft.com/office/drawing/2014/main" id="{B50C3AB3-83CE-40DF-A4EE-48A6815FB91A}"/>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bingmapsportal.com/%20adresinden%20&#252;cretsiz%20deneme%20anahtar&#305;%20edinebilirsiniz."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6"/>
  <sheetViews>
    <sheetView topLeftCell="A4" zoomScaleNormal="100" workbookViewId="0">
      <selection activeCell="C17" sqref="C17"/>
    </sheetView>
  </sheetViews>
  <sheetFormatPr defaultRowHeight="15" x14ac:dyDescent="0.25"/>
  <cols>
    <col min="1" max="1" width="23.7109375" bestFit="1" customWidth="1"/>
    <col min="2" max="2" width="37.7109375" bestFit="1" customWidth="1"/>
    <col min="3" max="3" width="72" bestFit="1" customWidth="1"/>
    <col min="4" max="4" width="77.7109375" bestFit="1" customWidth="1"/>
  </cols>
  <sheetData>
    <row r="1" spans="1:4" s="5" customFormat="1" x14ac:dyDescent="0.25">
      <c r="A1" s="1" t="s">
        <v>134</v>
      </c>
      <c r="B1" s="1" t="s">
        <v>140</v>
      </c>
      <c r="C1" s="1" t="s">
        <v>144</v>
      </c>
      <c r="D1" s="1" t="s">
        <v>153</v>
      </c>
    </row>
    <row r="2" spans="1:4" x14ac:dyDescent="0.25">
      <c r="A2" s="14" t="s">
        <v>1081</v>
      </c>
      <c r="B2" s="15" t="s">
        <v>114</v>
      </c>
      <c r="C2" s="16" t="s">
        <v>45</v>
      </c>
      <c r="D2" s="15" t="s">
        <v>119</v>
      </c>
    </row>
    <row r="3" spans="1:4" x14ac:dyDescent="0.25">
      <c r="A3" s="3"/>
      <c r="B3" s="3" t="s">
        <v>1608</v>
      </c>
      <c r="C3" s="6" t="s">
        <v>4002</v>
      </c>
      <c r="D3" s="3" t="s">
        <v>1761</v>
      </c>
    </row>
    <row r="5" spans="1:4" x14ac:dyDescent="0.25">
      <c r="A5" s="4" t="s">
        <v>1085</v>
      </c>
      <c r="B5" s="3" t="s">
        <v>1387</v>
      </c>
      <c r="C5" s="6">
        <v>1</v>
      </c>
      <c r="D5" s="3" t="s">
        <v>24</v>
      </c>
    </row>
    <row r="6" spans="1:4" x14ac:dyDescent="0.25">
      <c r="A6" s="2"/>
      <c r="B6" s="2" t="s">
        <v>1603</v>
      </c>
      <c r="C6" s="7">
        <v>22</v>
      </c>
      <c r="D6" s="2" t="s">
        <v>22</v>
      </c>
    </row>
    <row r="8" spans="1:4" x14ac:dyDescent="0.25">
      <c r="A8" s="4" t="s">
        <v>460</v>
      </c>
      <c r="B8" s="3" t="s">
        <v>1123</v>
      </c>
      <c r="C8" s="6" t="s">
        <v>1106</v>
      </c>
      <c r="D8" s="3" t="s">
        <v>1618</v>
      </c>
    </row>
    <row r="9" spans="1:4" x14ac:dyDescent="0.25">
      <c r="A9" s="2"/>
      <c r="B9" s="2" t="s">
        <v>1134</v>
      </c>
      <c r="C9" s="7" t="s">
        <v>1105</v>
      </c>
      <c r="D9" s="2"/>
    </row>
    <row r="10" spans="1:4" x14ac:dyDescent="0.25">
      <c r="A10" s="2"/>
      <c r="B10" s="2" t="s">
        <v>1109</v>
      </c>
      <c r="C10" s="7" t="s">
        <v>1139</v>
      </c>
      <c r="D10" s="2" t="s">
        <v>1617</v>
      </c>
    </row>
    <row r="11" spans="1:4" x14ac:dyDescent="0.25">
      <c r="A11" s="2"/>
      <c r="B11" s="2" t="s">
        <v>1105</v>
      </c>
      <c r="C11" s="7">
        <v>60</v>
      </c>
      <c r="D11" s="2"/>
    </row>
    <row r="13" spans="1:4" x14ac:dyDescent="0.25">
      <c r="A13" s="4" t="s">
        <v>463</v>
      </c>
      <c r="B13" s="3" t="s">
        <v>1604</v>
      </c>
      <c r="C13" s="6">
        <v>1</v>
      </c>
      <c r="D13" s="3"/>
    </row>
    <row r="15" spans="1:4" x14ac:dyDescent="0.25">
      <c r="A15" s="4" t="s">
        <v>466</v>
      </c>
      <c r="B15" s="3" t="s">
        <v>1129</v>
      </c>
      <c r="C15" s="6" t="s">
        <v>1760</v>
      </c>
      <c r="D15" s="3"/>
    </row>
    <row r="16" spans="1:4" x14ac:dyDescent="0.25">
      <c r="A16" s="2"/>
      <c r="B16" s="2" t="s">
        <v>1643</v>
      </c>
      <c r="C16" s="7" t="s">
        <v>880</v>
      </c>
      <c r="D16" s="2"/>
    </row>
    <row r="17" spans="1:4" x14ac:dyDescent="0.25">
      <c r="A17" s="2"/>
      <c r="B17" s="2" t="s">
        <v>25</v>
      </c>
      <c r="C17" s="7" t="s">
        <v>1760</v>
      </c>
      <c r="D17" s="2" t="s">
        <v>1142</v>
      </c>
    </row>
    <row r="19" spans="1:4" x14ac:dyDescent="0.25">
      <c r="A19" s="4" t="s">
        <v>1092</v>
      </c>
      <c r="B19" s="3" t="s">
        <v>1649</v>
      </c>
      <c r="C19" s="6" t="s">
        <v>28</v>
      </c>
      <c r="D19" s="3"/>
    </row>
    <row r="20" spans="1:4" x14ac:dyDescent="0.25">
      <c r="A20" s="2"/>
      <c r="B20" s="2" t="s">
        <v>1146</v>
      </c>
      <c r="C20" s="7" t="s">
        <v>1145</v>
      </c>
      <c r="D20" s="2"/>
    </row>
    <row r="22" spans="1:4" x14ac:dyDescent="0.25">
      <c r="A22" s="4" t="s">
        <v>416</v>
      </c>
      <c r="B22" s="3" t="s">
        <v>1651</v>
      </c>
      <c r="C22" s="6" t="s">
        <v>1758</v>
      </c>
      <c r="D22" s="3"/>
    </row>
    <row r="23" spans="1:4" x14ac:dyDescent="0.25">
      <c r="A23" s="2"/>
      <c r="B23" s="2" t="s">
        <v>1627</v>
      </c>
      <c r="C23" s="7" t="s">
        <v>171</v>
      </c>
      <c r="D23" s="2"/>
    </row>
    <row r="24" spans="1:4" x14ac:dyDescent="0.25">
      <c r="A24" s="2"/>
      <c r="B24" s="2" t="s">
        <v>178</v>
      </c>
      <c r="C24" s="7">
        <v>60</v>
      </c>
      <c r="D24" s="2" t="str">
        <f>CONCATENATE("Recomendação: pelo menos", 60 * CEILING(C6 * C6 * C6 / 100000, 1),"  segundos")</f>
        <v>Recomendação: pelo menos60  segundos</v>
      </c>
    </row>
    <row r="26" spans="1:4" x14ac:dyDescent="0.25">
      <c r="A26" s="18"/>
    </row>
  </sheetData>
  <phoneticPr fontId="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86527-8046-4C47-8ABB-BB74C5776732}">
  <sheetPr codeName="Sheet2"/>
  <dimension ref="A1:O26"/>
  <sheetViews>
    <sheetView topLeftCell="K1" workbookViewId="0">
      <selection activeCell="J1" sqref="J1:O1"/>
    </sheetView>
  </sheetViews>
  <sheetFormatPr defaultColWidth="40.7109375" defaultRowHeight="15" x14ac:dyDescent="0.25"/>
  <cols>
    <col min="1" max="1" width="19.28515625" bestFit="1" customWidth="1"/>
    <col min="2" max="2" width="42.5703125" bestFit="1" customWidth="1"/>
    <col min="3" max="3" width="45.28515625" bestFit="1" customWidth="1"/>
    <col min="4" max="4" width="59.28515625" bestFit="1" customWidth="1"/>
    <col min="5" max="5" width="66" bestFit="1" customWidth="1"/>
    <col min="6" max="6" width="66" customWidth="1"/>
    <col min="7" max="7" width="49.28515625" bestFit="1" customWidth="1"/>
    <col min="8" max="8" width="50.85546875" bestFit="1" customWidth="1"/>
  </cols>
  <sheetData>
    <row r="1" spans="1:15" ht="15.75" thickBot="1" x14ac:dyDescent="0.3">
      <c r="A1" s="8" t="s">
        <v>38</v>
      </c>
      <c r="B1" s="8" t="s">
        <v>39</v>
      </c>
      <c r="C1" s="9" t="s">
        <v>40</v>
      </c>
      <c r="D1" s="9" t="s">
        <v>41</v>
      </c>
      <c r="E1" s="9" t="s">
        <v>42</v>
      </c>
      <c r="F1" s="9" t="s">
        <v>43</v>
      </c>
      <c r="G1" s="9" t="s">
        <v>44</v>
      </c>
      <c r="H1" s="9" t="s">
        <v>45</v>
      </c>
      <c r="I1" s="9" t="s">
        <v>46</v>
      </c>
      <c r="J1" s="9" t="s">
        <v>2304</v>
      </c>
      <c r="K1" s="9" t="s">
        <v>2305</v>
      </c>
      <c r="L1" s="9" t="s">
        <v>2306</v>
      </c>
      <c r="M1" s="9" t="s">
        <v>2307</v>
      </c>
      <c r="N1" s="9" t="s">
        <v>3467</v>
      </c>
      <c r="O1" s="9" t="s">
        <v>3468</v>
      </c>
    </row>
    <row r="2" spans="1:15" x14ac:dyDescent="0.25">
      <c r="A2" s="10" t="s">
        <v>341</v>
      </c>
      <c r="B2" s="10" t="s">
        <v>342</v>
      </c>
      <c r="C2" s="6" t="s">
        <v>377</v>
      </c>
      <c r="D2" s="6" t="s">
        <v>342</v>
      </c>
      <c r="E2" s="6" t="s">
        <v>401</v>
      </c>
      <c r="F2" s="6" t="s">
        <v>420</v>
      </c>
      <c r="G2" s="6" t="s">
        <v>437</v>
      </c>
      <c r="H2" s="6" t="s">
        <v>342</v>
      </c>
      <c r="I2" s="6" t="s">
        <v>342</v>
      </c>
      <c r="J2" s="6" t="s">
        <v>342</v>
      </c>
      <c r="K2" s="6" t="s">
        <v>2338</v>
      </c>
      <c r="L2" s="6" t="s">
        <v>2362</v>
      </c>
      <c r="M2" s="6" t="s">
        <v>2387</v>
      </c>
      <c r="N2" s="6" t="s">
        <v>3792</v>
      </c>
      <c r="O2" s="6" t="s">
        <v>3895</v>
      </c>
    </row>
    <row r="3" spans="1:15" x14ac:dyDescent="0.25">
      <c r="A3" s="10" t="s">
        <v>64</v>
      </c>
      <c r="B3" s="10" t="s">
        <v>47</v>
      </c>
      <c r="C3" s="6" t="s">
        <v>48</v>
      </c>
      <c r="D3" s="6" t="s">
        <v>49</v>
      </c>
      <c r="E3" s="6" t="s">
        <v>50</v>
      </c>
      <c r="F3" s="6" t="s">
        <v>51</v>
      </c>
      <c r="G3" s="6" t="s">
        <v>52</v>
      </c>
      <c r="H3" s="6" t="s">
        <v>53</v>
      </c>
      <c r="I3" s="6" t="s">
        <v>54</v>
      </c>
      <c r="J3" s="6" t="s">
        <v>2315</v>
      </c>
      <c r="K3" s="6" t="s">
        <v>2339</v>
      </c>
      <c r="L3" s="6" t="s">
        <v>2363</v>
      </c>
      <c r="M3" s="6" t="s">
        <v>2388</v>
      </c>
      <c r="N3" s="6" t="s">
        <v>3968</v>
      </c>
      <c r="O3" s="6" t="s">
        <v>3984</v>
      </c>
    </row>
    <row r="4" spans="1:15" x14ac:dyDescent="0.25">
      <c r="A4" s="10" t="s">
        <v>55</v>
      </c>
      <c r="B4" s="10" t="s">
        <v>56</v>
      </c>
      <c r="C4" s="6" t="s">
        <v>57</v>
      </c>
      <c r="D4" s="6" t="s">
        <v>58</v>
      </c>
      <c r="E4" s="6" t="s">
        <v>59</v>
      </c>
      <c r="F4" s="6" t="s">
        <v>60</v>
      </c>
      <c r="G4" s="6" t="s">
        <v>61</v>
      </c>
      <c r="H4" s="6" t="s">
        <v>62</v>
      </c>
      <c r="I4" s="6" t="s">
        <v>63</v>
      </c>
      <c r="J4" s="6" t="s">
        <v>2316</v>
      </c>
      <c r="K4" s="6" t="s">
        <v>2340</v>
      </c>
      <c r="L4" s="6" t="s">
        <v>2364</v>
      </c>
      <c r="M4" s="6" t="s">
        <v>2389</v>
      </c>
      <c r="N4" s="6" t="s">
        <v>3969</v>
      </c>
      <c r="O4" s="6" t="s">
        <v>3985</v>
      </c>
    </row>
    <row r="5" spans="1:15" x14ac:dyDescent="0.25">
      <c r="A5" s="10" t="s">
        <v>68</v>
      </c>
      <c r="B5" s="10" t="s">
        <v>343</v>
      </c>
      <c r="C5" s="6" t="s">
        <v>365</v>
      </c>
      <c r="D5" s="6" t="s">
        <v>383</v>
      </c>
      <c r="E5" s="6" t="s">
        <v>402</v>
      </c>
      <c r="F5" s="6" t="s">
        <v>421</v>
      </c>
      <c r="G5" s="6" t="s">
        <v>438</v>
      </c>
      <c r="H5" s="6" t="s">
        <v>456</v>
      </c>
      <c r="I5" s="6" t="s">
        <v>472</v>
      </c>
      <c r="J5" s="6" t="s">
        <v>2317</v>
      </c>
      <c r="K5" s="6" t="s">
        <v>2341</v>
      </c>
      <c r="L5" s="6" t="s">
        <v>2365</v>
      </c>
      <c r="M5" s="6" t="s">
        <v>2390</v>
      </c>
      <c r="N5" s="6" t="s">
        <v>3605</v>
      </c>
      <c r="O5" s="6" t="s">
        <v>2317</v>
      </c>
    </row>
    <row r="6" spans="1:15" x14ac:dyDescent="0.25">
      <c r="A6" s="10" t="s">
        <v>65</v>
      </c>
      <c r="B6" s="10" t="s">
        <v>344</v>
      </c>
      <c r="C6" s="6" t="s">
        <v>381</v>
      </c>
      <c r="D6" s="6" t="s">
        <v>384</v>
      </c>
      <c r="E6" s="6" t="s">
        <v>403</v>
      </c>
      <c r="F6" s="6" t="s">
        <v>422</v>
      </c>
      <c r="G6" s="6" t="s">
        <v>439</v>
      </c>
      <c r="H6" s="6" t="s">
        <v>457</v>
      </c>
      <c r="I6" s="6" t="s">
        <v>473</v>
      </c>
      <c r="J6" s="6" t="s">
        <v>2318</v>
      </c>
      <c r="K6" s="6" t="s">
        <v>2342</v>
      </c>
      <c r="L6" s="6" t="s">
        <v>2366</v>
      </c>
      <c r="M6" s="6" t="s">
        <v>2391</v>
      </c>
      <c r="N6" s="6" t="s">
        <v>3602</v>
      </c>
      <c r="O6" s="6" t="s">
        <v>3986</v>
      </c>
    </row>
    <row r="7" spans="1:15" x14ac:dyDescent="0.25">
      <c r="A7" s="10" t="s">
        <v>66</v>
      </c>
      <c r="B7" s="10" t="s">
        <v>346</v>
      </c>
      <c r="C7" s="6" t="s">
        <v>1843</v>
      </c>
      <c r="D7" s="6" t="s">
        <v>385</v>
      </c>
      <c r="E7" s="6" t="s">
        <v>404</v>
      </c>
      <c r="F7" s="6" t="s">
        <v>423</v>
      </c>
      <c r="G7" s="6" t="s">
        <v>440</v>
      </c>
      <c r="H7" s="6" t="s">
        <v>458</v>
      </c>
      <c r="I7" s="6" t="s">
        <v>474</v>
      </c>
      <c r="J7" s="6" t="s">
        <v>2319</v>
      </c>
      <c r="K7" s="6" t="s">
        <v>2343</v>
      </c>
      <c r="L7" s="6" t="s">
        <v>2367</v>
      </c>
      <c r="M7" s="6" t="s">
        <v>2392</v>
      </c>
      <c r="N7" s="6" t="s">
        <v>3970</v>
      </c>
      <c r="O7" s="6" t="s">
        <v>3987</v>
      </c>
    </row>
    <row r="8" spans="1:15" x14ac:dyDescent="0.25">
      <c r="A8" s="10" t="s">
        <v>67</v>
      </c>
      <c r="B8" s="10" t="s">
        <v>345</v>
      </c>
      <c r="C8" s="6" t="s">
        <v>366</v>
      </c>
      <c r="D8" s="6" t="s">
        <v>386</v>
      </c>
      <c r="E8" s="6" t="s">
        <v>405</v>
      </c>
      <c r="F8" s="6" t="s">
        <v>424</v>
      </c>
      <c r="G8" s="6" t="s">
        <v>441</v>
      </c>
      <c r="H8" s="6" t="s">
        <v>459</v>
      </c>
      <c r="I8" s="6" t="s">
        <v>475</v>
      </c>
      <c r="J8" s="6" t="s">
        <v>2320</v>
      </c>
      <c r="K8" s="6" t="s">
        <v>2344</v>
      </c>
      <c r="L8" s="6" t="s">
        <v>2368</v>
      </c>
      <c r="M8" s="6" t="s">
        <v>2393</v>
      </c>
      <c r="N8" s="6" t="s">
        <v>3971</v>
      </c>
      <c r="O8" s="6" t="s">
        <v>3988</v>
      </c>
    </row>
    <row r="9" spans="1:15" x14ac:dyDescent="0.25">
      <c r="A9" s="10" t="s">
        <v>72</v>
      </c>
      <c r="B9" s="10" t="s">
        <v>347</v>
      </c>
      <c r="C9" s="6" t="s">
        <v>367</v>
      </c>
      <c r="D9" s="6" t="s">
        <v>387</v>
      </c>
      <c r="E9" s="6" t="s">
        <v>406</v>
      </c>
      <c r="F9" s="6" t="s">
        <v>347</v>
      </c>
      <c r="G9" s="6" t="s">
        <v>442</v>
      </c>
      <c r="H9" s="6" t="s">
        <v>460</v>
      </c>
      <c r="I9" s="6" t="s">
        <v>476</v>
      </c>
      <c r="J9" s="6" t="s">
        <v>2321</v>
      </c>
      <c r="K9" s="6" t="s">
        <v>2345</v>
      </c>
      <c r="L9" s="6" t="s">
        <v>2369</v>
      </c>
      <c r="M9" s="6" t="s">
        <v>2394</v>
      </c>
      <c r="N9" s="6" t="s">
        <v>3608</v>
      </c>
      <c r="O9" s="6" t="s">
        <v>2321</v>
      </c>
    </row>
    <row r="10" spans="1:15" x14ac:dyDescent="0.25">
      <c r="A10" s="10" t="s">
        <v>69</v>
      </c>
      <c r="B10" s="10" t="s">
        <v>348</v>
      </c>
      <c r="C10" s="6" t="s">
        <v>382</v>
      </c>
      <c r="D10" s="6" t="s">
        <v>388</v>
      </c>
      <c r="E10" s="6" t="s">
        <v>407</v>
      </c>
      <c r="F10" s="6" t="s">
        <v>425</v>
      </c>
      <c r="G10" s="6" t="s">
        <v>443</v>
      </c>
      <c r="H10" s="6" t="s">
        <v>461</v>
      </c>
      <c r="I10" s="6" t="s">
        <v>477</v>
      </c>
      <c r="J10" s="6" t="s">
        <v>2322</v>
      </c>
      <c r="K10" s="6" t="s">
        <v>2346</v>
      </c>
      <c r="L10" s="6" t="s">
        <v>2370</v>
      </c>
      <c r="M10" s="6" t="s">
        <v>2395</v>
      </c>
      <c r="N10" s="6" t="s">
        <v>3972</v>
      </c>
      <c r="O10" s="6" t="s">
        <v>3989</v>
      </c>
    </row>
    <row r="11" spans="1:15" x14ac:dyDescent="0.25">
      <c r="A11" s="10" t="s">
        <v>70</v>
      </c>
      <c r="B11" s="10" t="s">
        <v>349</v>
      </c>
      <c r="C11" s="6" t="s">
        <v>1842</v>
      </c>
      <c r="D11" s="6" t="s">
        <v>389</v>
      </c>
      <c r="E11" s="6" t="s">
        <v>408</v>
      </c>
      <c r="F11" s="6" t="s">
        <v>426</v>
      </c>
      <c r="G11" s="6" t="s">
        <v>444</v>
      </c>
      <c r="H11" s="6" t="s">
        <v>462</v>
      </c>
      <c r="I11" s="6" t="s">
        <v>478</v>
      </c>
      <c r="J11" s="6" t="s">
        <v>2323</v>
      </c>
      <c r="K11" s="6" t="s">
        <v>2347</v>
      </c>
      <c r="L11" s="6" t="s">
        <v>2371</v>
      </c>
      <c r="M11" s="6" t="s">
        <v>2396</v>
      </c>
      <c r="N11" s="6" t="s">
        <v>3973</v>
      </c>
      <c r="O11" s="6" t="s">
        <v>3990</v>
      </c>
    </row>
    <row r="12" spans="1:15" x14ac:dyDescent="0.25">
      <c r="A12" s="10" t="s">
        <v>74</v>
      </c>
      <c r="B12" s="10" t="s">
        <v>350</v>
      </c>
      <c r="C12" s="6" t="s">
        <v>368</v>
      </c>
      <c r="D12" s="6" t="s">
        <v>390</v>
      </c>
      <c r="E12" s="6" t="s">
        <v>409</v>
      </c>
      <c r="F12" s="6" t="s">
        <v>427</v>
      </c>
      <c r="G12" s="6" t="s">
        <v>445</v>
      </c>
      <c r="H12" s="6" t="s">
        <v>463</v>
      </c>
      <c r="I12" s="6" t="s">
        <v>479</v>
      </c>
      <c r="J12" s="6" t="s">
        <v>2324</v>
      </c>
      <c r="K12" s="6" t="s">
        <v>2348</v>
      </c>
      <c r="L12" s="6" t="s">
        <v>2372</v>
      </c>
      <c r="M12" s="6" t="s">
        <v>2397</v>
      </c>
      <c r="N12" s="6" t="s">
        <v>3611</v>
      </c>
      <c r="O12" s="6" t="s">
        <v>3991</v>
      </c>
    </row>
    <row r="13" spans="1:15" x14ac:dyDescent="0.25">
      <c r="A13" s="10" t="s">
        <v>71</v>
      </c>
      <c r="B13" s="10" t="s">
        <v>352</v>
      </c>
      <c r="C13" s="6" t="s">
        <v>369</v>
      </c>
      <c r="D13" s="6" t="s">
        <v>391</v>
      </c>
      <c r="E13" s="6" t="s">
        <v>410</v>
      </c>
      <c r="F13" s="6" t="s">
        <v>428</v>
      </c>
      <c r="G13" s="6" t="s">
        <v>446</v>
      </c>
      <c r="H13" s="6" t="s">
        <v>464</v>
      </c>
      <c r="I13" s="6" t="s">
        <v>480</v>
      </c>
      <c r="J13" s="6" t="s">
        <v>2325</v>
      </c>
      <c r="K13" s="6" t="s">
        <v>2349</v>
      </c>
      <c r="L13" s="6" t="s">
        <v>2373</v>
      </c>
      <c r="M13" s="6" t="s">
        <v>2398</v>
      </c>
      <c r="N13" s="6" t="s">
        <v>3974</v>
      </c>
      <c r="O13" s="6" t="s">
        <v>3992</v>
      </c>
    </row>
    <row r="14" spans="1:15" x14ac:dyDescent="0.25">
      <c r="A14" s="10" t="s">
        <v>73</v>
      </c>
      <c r="B14" s="10" t="s">
        <v>351</v>
      </c>
      <c r="C14" s="6" t="s">
        <v>370</v>
      </c>
      <c r="D14" s="6" t="s">
        <v>392</v>
      </c>
      <c r="E14" s="6" t="s">
        <v>411</v>
      </c>
      <c r="F14" s="6" t="s">
        <v>429</v>
      </c>
      <c r="G14" s="6" t="s">
        <v>447</v>
      </c>
      <c r="H14" s="6" t="s">
        <v>465</v>
      </c>
      <c r="I14" s="6" t="s">
        <v>481</v>
      </c>
      <c r="J14" s="6" t="s">
        <v>2326</v>
      </c>
      <c r="K14" s="6" t="s">
        <v>2350</v>
      </c>
      <c r="L14" s="6" t="s">
        <v>2374</v>
      </c>
      <c r="M14" s="6" t="s">
        <v>2399</v>
      </c>
      <c r="N14" s="6" t="s">
        <v>3975</v>
      </c>
      <c r="O14" s="6" t="s">
        <v>3993</v>
      </c>
    </row>
    <row r="15" spans="1:15" x14ac:dyDescent="0.25">
      <c r="A15" s="10" t="s">
        <v>77</v>
      </c>
      <c r="B15" s="10" t="s">
        <v>353</v>
      </c>
      <c r="C15" s="6" t="s">
        <v>371</v>
      </c>
      <c r="D15" s="6" t="s">
        <v>393</v>
      </c>
      <c r="E15" s="6" t="s">
        <v>412</v>
      </c>
      <c r="F15" s="6" t="s">
        <v>353</v>
      </c>
      <c r="G15" s="6" t="s">
        <v>448</v>
      </c>
      <c r="H15" s="6" t="s">
        <v>466</v>
      </c>
      <c r="I15" s="6" t="s">
        <v>482</v>
      </c>
      <c r="J15" s="6" t="s">
        <v>2327</v>
      </c>
      <c r="K15" s="6" t="s">
        <v>2351</v>
      </c>
      <c r="L15" s="6" t="s">
        <v>2375</v>
      </c>
      <c r="M15" s="6" t="s">
        <v>2400</v>
      </c>
      <c r="N15" s="6" t="s">
        <v>3613</v>
      </c>
      <c r="O15" s="6" t="s">
        <v>3514</v>
      </c>
    </row>
    <row r="16" spans="1:15" x14ac:dyDescent="0.25">
      <c r="A16" s="10" t="s">
        <v>75</v>
      </c>
      <c r="B16" s="10" t="s">
        <v>357</v>
      </c>
      <c r="C16" s="6" t="s">
        <v>378</v>
      </c>
      <c r="D16" s="6" t="s">
        <v>394</v>
      </c>
      <c r="E16" s="6" t="s">
        <v>413</v>
      </c>
      <c r="F16" s="6" t="s">
        <v>430</v>
      </c>
      <c r="G16" s="6" t="s">
        <v>449</v>
      </c>
      <c r="H16" s="6" t="s">
        <v>467</v>
      </c>
      <c r="I16" s="6" t="s">
        <v>483</v>
      </c>
      <c r="J16" s="6" t="s">
        <v>2328</v>
      </c>
      <c r="K16" s="6" t="s">
        <v>2352</v>
      </c>
      <c r="L16" s="6" t="s">
        <v>2376</v>
      </c>
      <c r="M16" s="6" t="s">
        <v>2401</v>
      </c>
      <c r="N16" s="6" t="s">
        <v>3976</v>
      </c>
      <c r="O16" s="6" t="s">
        <v>3994</v>
      </c>
    </row>
    <row r="17" spans="1:15" x14ac:dyDescent="0.25">
      <c r="A17" s="10" t="s">
        <v>80</v>
      </c>
      <c r="B17" s="10" t="s">
        <v>355</v>
      </c>
      <c r="C17" s="6" t="s">
        <v>372</v>
      </c>
      <c r="D17" s="6" t="s">
        <v>395</v>
      </c>
      <c r="E17" s="6" t="s">
        <v>414</v>
      </c>
      <c r="F17" s="6" t="s">
        <v>354</v>
      </c>
      <c r="G17" s="6" t="s">
        <v>450</v>
      </c>
      <c r="H17" s="6" t="s">
        <v>468</v>
      </c>
      <c r="I17" s="6" t="s">
        <v>484</v>
      </c>
      <c r="J17" s="6" t="s">
        <v>2329</v>
      </c>
      <c r="K17" s="6" t="s">
        <v>2353</v>
      </c>
      <c r="L17" s="6" t="s">
        <v>2377</v>
      </c>
      <c r="M17" s="6" t="s">
        <v>2402</v>
      </c>
      <c r="N17" s="6" t="s">
        <v>3616</v>
      </c>
      <c r="O17" s="6" t="s">
        <v>2329</v>
      </c>
    </row>
    <row r="18" spans="1:15" x14ac:dyDescent="0.25">
      <c r="A18" s="10" t="s">
        <v>76</v>
      </c>
      <c r="B18" s="10" t="s">
        <v>356</v>
      </c>
      <c r="C18" s="6" t="s">
        <v>379</v>
      </c>
      <c r="D18" s="6" t="s">
        <v>396</v>
      </c>
      <c r="E18" s="6" t="s">
        <v>415</v>
      </c>
      <c r="F18" s="6" t="s">
        <v>431</v>
      </c>
      <c r="G18" s="6" t="s">
        <v>451</v>
      </c>
      <c r="H18" s="6" t="s">
        <v>469</v>
      </c>
      <c r="I18" s="6" t="s">
        <v>485</v>
      </c>
      <c r="J18" s="6" t="s">
        <v>2330</v>
      </c>
      <c r="K18" s="6" t="s">
        <v>2354</v>
      </c>
      <c r="L18" s="6" t="s">
        <v>2378</v>
      </c>
      <c r="M18" s="6" t="s">
        <v>2403</v>
      </c>
      <c r="N18" s="6" t="s">
        <v>3977</v>
      </c>
      <c r="O18" s="6" t="s">
        <v>3995</v>
      </c>
    </row>
    <row r="19" spans="1:15" x14ac:dyDescent="0.25">
      <c r="A19" s="10" t="s">
        <v>358</v>
      </c>
      <c r="B19" s="10" t="s">
        <v>359</v>
      </c>
      <c r="C19" s="6" t="s">
        <v>373</v>
      </c>
      <c r="D19" s="6" t="s">
        <v>397</v>
      </c>
      <c r="E19" s="6" t="s">
        <v>416</v>
      </c>
      <c r="F19" s="6" t="s">
        <v>432</v>
      </c>
      <c r="G19" s="6" t="s">
        <v>452</v>
      </c>
      <c r="H19" s="6" t="s">
        <v>359</v>
      </c>
      <c r="I19" s="6" t="s">
        <v>486</v>
      </c>
      <c r="J19" s="6" t="s">
        <v>2331</v>
      </c>
      <c r="K19" s="6" t="s">
        <v>2355</v>
      </c>
      <c r="L19" s="6" t="s">
        <v>2379</v>
      </c>
      <c r="M19" s="6" t="s">
        <v>359</v>
      </c>
      <c r="N19" s="6" t="s">
        <v>3978</v>
      </c>
      <c r="O19" s="6" t="s">
        <v>3996</v>
      </c>
    </row>
    <row r="20" spans="1:15" x14ac:dyDescent="0.25">
      <c r="A20" s="10" t="s">
        <v>78</v>
      </c>
      <c r="B20" s="10" t="s">
        <v>362</v>
      </c>
      <c r="C20" s="6" t="s">
        <v>380</v>
      </c>
      <c r="D20" s="6" t="s">
        <v>398</v>
      </c>
      <c r="E20" s="6" t="s">
        <v>417</v>
      </c>
      <c r="F20" s="6" t="s">
        <v>433</v>
      </c>
      <c r="G20" s="6" t="s">
        <v>453</v>
      </c>
      <c r="H20" s="6" t="s">
        <v>362</v>
      </c>
      <c r="I20" s="6" t="s">
        <v>487</v>
      </c>
      <c r="J20" s="6" t="s">
        <v>2332</v>
      </c>
      <c r="K20" s="6" t="s">
        <v>2356</v>
      </c>
      <c r="L20" s="6" t="s">
        <v>2380</v>
      </c>
      <c r="M20" s="6" t="s">
        <v>2404</v>
      </c>
      <c r="N20" s="6" t="s">
        <v>3979</v>
      </c>
      <c r="O20" s="6" t="s">
        <v>3997</v>
      </c>
    </row>
    <row r="21" spans="1:15" x14ac:dyDescent="0.25">
      <c r="A21" s="10" t="s">
        <v>79</v>
      </c>
      <c r="B21" s="10" t="s">
        <v>363</v>
      </c>
      <c r="C21" s="6" t="s">
        <v>374</v>
      </c>
      <c r="D21" s="6" t="s">
        <v>399</v>
      </c>
      <c r="E21" s="6" t="s">
        <v>418</v>
      </c>
      <c r="F21" s="6" t="s">
        <v>434</v>
      </c>
      <c r="G21" s="6" t="s">
        <v>454</v>
      </c>
      <c r="H21" s="6" t="s">
        <v>470</v>
      </c>
      <c r="I21" s="6" t="s">
        <v>488</v>
      </c>
      <c r="J21" s="6" t="s">
        <v>2333</v>
      </c>
      <c r="K21" s="6" t="s">
        <v>2357</v>
      </c>
      <c r="L21" s="6" t="s">
        <v>2381</v>
      </c>
      <c r="M21" s="6" t="s">
        <v>2405</v>
      </c>
      <c r="N21" s="6" t="s">
        <v>3980</v>
      </c>
      <c r="O21" s="6" t="s">
        <v>3998</v>
      </c>
    </row>
    <row r="22" spans="1:15" x14ac:dyDescent="0.25">
      <c r="A22" s="10" t="s">
        <v>87</v>
      </c>
      <c r="B22" s="10" t="s">
        <v>361</v>
      </c>
      <c r="C22" s="6" t="s">
        <v>375</v>
      </c>
      <c r="D22" s="6" t="s">
        <v>400</v>
      </c>
      <c r="E22" s="6" t="s">
        <v>419</v>
      </c>
      <c r="F22" s="6" t="s">
        <v>435</v>
      </c>
      <c r="G22" s="6" t="s">
        <v>455</v>
      </c>
      <c r="H22" s="6" t="s">
        <v>471</v>
      </c>
      <c r="I22" s="6" t="s">
        <v>489</v>
      </c>
      <c r="J22" s="6" t="s">
        <v>2334</v>
      </c>
      <c r="K22" s="6" t="s">
        <v>2358</v>
      </c>
      <c r="L22" s="6" t="s">
        <v>2382</v>
      </c>
      <c r="M22" s="6" t="s">
        <v>2406</v>
      </c>
      <c r="N22" s="6" t="s">
        <v>3981</v>
      </c>
      <c r="O22" s="6" t="s">
        <v>3999</v>
      </c>
    </row>
    <row r="23" spans="1:15" x14ac:dyDescent="0.25">
      <c r="A23" s="10" t="s">
        <v>360</v>
      </c>
      <c r="B23" s="10" t="s">
        <v>81</v>
      </c>
      <c r="C23" s="6" t="s">
        <v>82</v>
      </c>
      <c r="D23" s="6" t="s">
        <v>83</v>
      </c>
      <c r="E23" s="6" t="s">
        <v>81</v>
      </c>
      <c r="F23" s="6" t="s">
        <v>81</v>
      </c>
      <c r="G23" s="6" t="s">
        <v>84</v>
      </c>
      <c r="H23" s="6" t="s">
        <v>85</v>
      </c>
      <c r="I23" s="6" t="s">
        <v>86</v>
      </c>
      <c r="J23" s="6" t="s">
        <v>81</v>
      </c>
      <c r="K23" s="6" t="s">
        <v>86</v>
      </c>
      <c r="L23" s="6" t="s">
        <v>2383</v>
      </c>
      <c r="M23" s="6" t="s">
        <v>2407</v>
      </c>
      <c r="N23" s="6" t="s">
        <v>3982</v>
      </c>
      <c r="O23" s="6" t="s">
        <v>4000</v>
      </c>
    </row>
    <row r="24" spans="1:15" x14ac:dyDescent="0.25">
      <c r="A24" s="10" t="s">
        <v>88</v>
      </c>
      <c r="B24" s="10" t="s">
        <v>121</v>
      </c>
      <c r="C24" s="6" t="s">
        <v>122</v>
      </c>
      <c r="D24" s="6" t="s">
        <v>123</v>
      </c>
      <c r="E24" s="6" t="s">
        <v>124</v>
      </c>
      <c r="F24" s="6" t="s">
        <v>125</v>
      </c>
      <c r="G24" s="6" t="s">
        <v>126</v>
      </c>
      <c r="H24" s="6" t="s">
        <v>127</v>
      </c>
      <c r="I24" s="6" t="s">
        <v>128</v>
      </c>
      <c r="J24" s="6" t="s">
        <v>2335</v>
      </c>
      <c r="K24" s="6" t="s">
        <v>2359</v>
      </c>
      <c r="L24" s="6" t="s">
        <v>2384</v>
      </c>
      <c r="M24" s="6" t="s">
        <v>2408</v>
      </c>
      <c r="N24" s="6" t="s">
        <v>3983</v>
      </c>
      <c r="O24" s="6" t="s">
        <v>4001</v>
      </c>
    </row>
    <row r="25" spans="1:15" x14ac:dyDescent="0.25">
      <c r="A25" s="10" t="s">
        <v>96</v>
      </c>
      <c r="B25" s="10" t="s">
        <v>89</v>
      </c>
      <c r="C25" s="6" t="s">
        <v>376</v>
      </c>
      <c r="D25" s="6" t="s">
        <v>90</v>
      </c>
      <c r="E25" s="6" t="s">
        <v>91</v>
      </c>
      <c r="F25" s="6" t="s">
        <v>92</v>
      </c>
      <c r="G25" s="6" t="s">
        <v>93</v>
      </c>
      <c r="H25" s="6" t="s">
        <v>94</v>
      </c>
      <c r="I25" s="6" t="s">
        <v>95</v>
      </c>
      <c r="J25" s="6" t="s">
        <v>2336</v>
      </c>
      <c r="K25" s="6" t="s">
        <v>2360</v>
      </c>
      <c r="L25" s="6" t="s">
        <v>2385</v>
      </c>
      <c r="M25" s="6" t="s">
        <v>2409</v>
      </c>
      <c r="N25" s="6" t="s">
        <v>3947</v>
      </c>
      <c r="O25" s="6" t="s">
        <v>3912</v>
      </c>
    </row>
    <row r="26" spans="1:15" x14ac:dyDescent="0.25">
      <c r="A26" s="10" t="s">
        <v>364</v>
      </c>
      <c r="B26" s="10" t="s">
        <v>97</v>
      </c>
      <c r="C26" s="6" t="s">
        <v>98</v>
      </c>
      <c r="D26" s="6" t="s">
        <v>99</v>
      </c>
      <c r="E26" s="6" t="s">
        <v>100</v>
      </c>
      <c r="F26" s="6" t="s">
        <v>436</v>
      </c>
      <c r="G26" s="6" t="s">
        <v>101</v>
      </c>
      <c r="H26" s="6" t="s">
        <v>102</v>
      </c>
      <c r="I26" s="6" t="s">
        <v>103</v>
      </c>
      <c r="J26" s="6" t="s">
        <v>2337</v>
      </c>
      <c r="K26" s="6" t="s">
        <v>2361</v>
      </c>
      <c r="L26" s="6" t="s">
        <v>2386</v>
      </c>
      <c r="M26" s="6" t="s">
        <v>2410</v>
      </c>
      <c r="N26" s="6" t="s">
        <v>3624</v>
      </c>
      <c r="O26" s="6" t="s">
        <v>3524</v>
      </c>
    </row>
  </sheetData>
  <dataValidations count="1">
    <dataValidation type="list" allowBlank="1" showInputMessage="1" showErrorMessage="1" sqref="B1" xr:uid="{0C0DA8B4-4627-42E7-ADB6-391490BA13EF}">
      <formula1>$B$1:$D$1</formula1>
    </dataValidation>
  </dataValidation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3F545-F9FB-4A4A-BDC6-A2FAD30BB3DB}">
  <sheetPr codeName="Sheet3"/>
  <dimension ref="A1:XFA275"/>
  <sheetViews>
    <sheetView workbookViewId="0"/>
  </sheetViews>
  <sheetFormatPr defaultColWidth="65.7109375" defaultRowHeight="15" x14ac:dyDescent="0.25"/>
  <sheetData>
    <row r="1" spans="1:16381" ht="15.75" thickBot="1" x14ac:dyDescent="0.3">
      <c r="A1" s="8" t="s">
        <v>39</v>
      </c>
      <c r="B1" s="9" t="s">
        <v>40</v>
      </c>
      <c r="C1" s="9" t="s">
        <v>41</v>
      </c>
      <c r="D1" s="9" t="s">
        <v>42</v>
      </c>
      <c r="E1" s="9" t="s">
        <v>43</v>
      </c>
      <c r="F1" s="9" t="s">
        <v>44</v>
      </c>
      <c r="G1" s="9" t="s">
        <v>45</v>
      </c>
      <c r="H1" s="9" t="s">
        <v>46</v>
      </c>
      <c r="I1" s="9" t="s">
        <v>2304</v>
      </c>
      <c r="J1" s="9" t="s">
        <v>2305</v>
      </c>
      <c r="K1" s="9" t="s">
        <v>2306</v>
      </c>
      <c r="L1" s="9" t="s">
        <v>2307</v>
      </c>
      <c r="M1" s="9" t="s">
        <v>3467</v>
      </c>
      <c r="N1" s="9" t="s">
        <v>3468</v>
      </c>
    </row>
    <row r="2" spans="1:16381" x14ac:dyDescent="0.25">
      <c r="A2" s="10" t="s">
        <v>1886</v>
      </c>
      <c r="B2" s="6" t="s">
        <v>1929</v>
      </c>
      <c r="C2" s="6" t="s">
        <v>1972</v>
      </c>
      <c r="D2" s="6" t="s">
        <v>2017</v>
      </c>
      <c r="E2" s="6" t="s">
        <v>2062</v>
      </c>
      <c r="F2" s="6" t="s">
        <v>2107</v>
      </c>
      <c r="G2" s="6" t="s">
        <v>2151</v>
      </c>
      <c r="H2" s="6" t="s">
        <v>2196</v>
      </c>
      <c r="I2" s="6" t="s">
        <v>2723</v>
      </c>
      <c r="J2" s="6" t="s">
        <v>2620</v>
      </c>
      <c r="K2" s="6" t="s">
        <v>2515</v>
      </c>
      <c r="L2" s="6" t="s">
        <v>3563</v>
      </c>
      <c r="M2" s="6" t="s">
        <v>3565</v>
      </c>
      <c r="N2" s="6" t="s">
        <v>3564</v>
      </c>
    </row>
    <row r="3" spans="1:16381" x14ac:dyDescent="0.25">
      <c r="A3" s="10" t="s">
        <v>1870</v>
      </c>
      <c r="B3" s="6" t="s">
        <v>1914</v>
      </c>
      <c r="C3" s="6" t="s">
        <v>1956</v>
      </c>
      <c r="D3" s="6" t="s">
        <v>2001</v>
      </c>
      <c r="E3" s="6" t="s">
        <v>2046</v>
      </c>
      <c r="F3" s="6" t="s">
        <v>2091</v>
      </c>
      <c r="G3" s="6" t="s">
        <v>2135</v>
      </c>
      <c r="H3" s="6" t="s">
        <v>2180</v>
      </c>
      <c r="I3" s="6" t="s">
        <v>2724</v>
      </c>
      <c r="J3" s="6" t="s">
        <v>2621</v>
      </c>
      <c r="K3" s="6" t="s">
        <v>2516</v>
      </c>
      <c r="L3" s="6" t="s">
        <v>2411</v>
      </c>
      <c r="M3" s="6" t="s">
        <v>3566</v>
      </c>
      <c r="N3" s="6" t="s">
        <v>3469</v>
      </c>
    </row>
    <row r="4" spans="1:16381" x14ac:dyDescent="0.25">
      <c r="A4" s="10" t="s">
        <v>1869</v>
      </c>
      <c r="B4" s="6" t="s">
        <v>1913</v>
      </c>
      <c r="C4" s="6" t="s">
        <v>1955</v>
      </c>
      <c r="D4" s="6" t="s">
        <v>2000</v>
      </c>
      <c r="E4" s="6" t="s">
        <v>2045</v>
      </c>
      <c r="F4" s="6" t="s">
        <v>2090</v>
      </c>
      <c r="G4" s="6" t="s">
        <v>2134</v>
      </c>
      <c r="H4" s="6" t="s">
        <v>2179</v>
      </c>
      <c r="I4" s="6" t="s">
        <v>2725</v>
      </c>
      <c r="J4" s="6" t="s">
        <v>2622</v>
      </c>
      <c r="K4" s="6" t="s">
        <v>2517</v>
      </c>
      <c r="L4" s="6" t="s">
        <v>2412</v>
      </c>
      <c r="M4" s="6" t="s">
        <v>3567</v>
      </c>
      <c r="N4" s="6" t="s">
        <v>3470</v>
      </c>
    </row>
    <row r="5" spans="1:16381" x14ac:dyDescent="0.25">
      <c r="A5" s="10" t="s">
        <v>2211</v>
      </c>
      <c r="B5" s="6" t="s">
        <v>2284</v>
      </c>
      <c r="C5" s="6" t="s">
        <v>2226</v>
      </c>
      <c r="D5" s="6" t="s">
        <v>2233</v>
      </c>
      <c r="E5" s="6" t="s">
        <v>2240</v>
      </c>
      <c r="F5" s="6" t="s">
        <v>2247</v>
      </c>
      <c r="G5" s="6" t="s">
        <v>2254</v>
      </c>
      <c r="H5" s="6" t="s">
        <v>2261</v>
      </c>
      <c r="I5" s="6" t="s">
        <v>2726</v>
      </c>
      <c r="J5" s="6" t="s">
        <v>2623</v>
      </c>
      <c r="K5" s="6" t="s">
        <v>2518</v>
      </c>
      <c r="L5" s="6" t="s">
        <v>2413</v>
      </c>
      <c r="M5" s="6" t="s">
        <v>3568</v>
      </c>
      <c r="N5" s="6" t="s">
        <v>2726</v>
      </c>
    </row>
    <row r="6" spans="1:16381" x14ac:dyDescent="0.25">
      <c r="A6" s="10" t="s">
        <v>1881</v>
      </c>
      <c r="B6" s="6" t="s">
        <v>1924</v>
      </c>
      <c r="C6" s="6" t="s">
        <v>1967</v>
      </c>
      <c r="D6" s="6" t="s">
        <v>2012</v>
      </c>
      <c r="E6" s="6" t="s">
        <v>2057</v>
      </c>
      <c r="F6" s="6" t="s">
        <v>2102</v>
      </c>
      <c r="G6" s="6" t="s">
        <v>2146</v>
      </c>
      <c r="H6" s="6" t="s">
        <v>2191</v>
      </c>
      <c r="I6" s="6" t="s">
        <v>2727</v>
      </c>
      <c r="J6" s="6" t="s">
        <v>2624</v>
      </c>
      <c r="K6" s="6" t="s">
        <v>2519</v>
      </c>
      <c r="L6" s="6" t="s">
        <v>2414</v>
      </c>
      <c r="M6" s="6" t="s">
        <v>3569</v>
      </c>
      <c r="N6" s="6" t="s">
        <v>3471</v>
      </c>
    </row>
    <row r="7" spans="1:16381" x14ac:dyDescent="0.25">
      <c r="A7" s="10" t="s">
        <v>1875</v>
      </c>
      <c r="B7" s="6" t="s">
        <v>1919</v>
      </c>
      <c r="C7" s="6" t="s">
        <v>1961</v>
      </c>
      <c r="D7" s="6" t="s">
        <v>2006</v>
      </c>
      <c r="E7" s="6" t="s">
        <v>2051</v>
      </c>
      <c r="F7" s="6" t="s">
        <v>2096</v>
      </c>
      <c r="G7" s="6" t="s">
        <v>2140</v>
      </c>
      <c r="H7" s="6" t="s">
        <v>2185</v>
      </c>
      <c r="I7" s="6" t="s">
        <v>2728</v>
      </c>
      <c r="J7" s="6" t="s">
        <v>2625</v>
      </c>
      <c r="K7" s="6" t="s">
        <v>2520</v>
      </c>
      <c r="L7" s="6" t="s">
        <v>2415</v>
      </c>
      <c r="M7" s="6" t="s">
        <v>3570</v>
      </c>
      <c r="N7" s="6" t="s">
        <v>3472</v>
      </c>
    </row>
    <row r="8" spans="1:16381" x14ac:dyDescent="0.25">
      <c r="A8" s="10" t="s">
        <v>1874</v>
      </c>
      <c r="B8" s="6" t="s">
        <v>1918</v>
      </c>
      <c r="C8" s="6" t="s">
        <v>1960</v>
      </c>
      <c r="D8" s="6" t="s">
        <v>2005</v>
      </c>
      <c r="E8" s="6" t="s">
        <v>2050</v>
      </c>
      <c r="F8" s="6" t="s">
        <v>2095</v>
      </c>
      <c r="G8" s="6" t="s">
        <v>2139</v>
      </c>
      <c r="H8" s="6" t="s">
        <v>2184</v>
      </c>
      <c r="I8" s="6" t="s">
        <v>2729</v>
      </c>
      <c r="J8" s="6" t="s">
        <v>2626</v>
      </c>
      <c r="K8" s="6" t="s">
        <v>2521</v>
      </c>
      <c r="L8" s="6" t="s">
        <v>2416</v>
      </c>
      <c r="M8" s="6" t="s">
        <v>3571</v>
      </c>
      <c r="N8" s="6" t="s">
        <v>3473</v>
      </c>
    </row>
    <row r="9" spans="1:16381" x14ac:dyDescent="0.25">
      <c r="A9" s="10" t="s">
        <v>1873</v>
      </c>
      <c r="B9" s="6" t="s">
        <v>1917</v>
      </c>
      <c r="C9" s="6" t="s">
        <v>1959</v>
      </c>
      <c r="D9" s="6" t="s">
        <v>2004</v>
      </c>
      <c r="E9" s="6" t="s">
        <v>2049</v>
      </c>
      <c r="F9" s="6" t="s">
        <v>2094</v>
      </c>
      <c r="G9" s="6" t="s">
        <v>2138</v>
      </c>
      <c r="H9" s="6" t="s">
        <v>2183</v>
      </c>
      <c r="I9" s="6" t="s">
        <v>2730</v>
      </c>
      <c r="J9" s="6" t="s">
        <v>2627</v>
      </c>
      <c r="K9" s="6" t="s">
        <v>2522</v>
      </c>
      <c r="L9" s="6" t="s">
        <v>2417</v>
      </c>
      <c r="M9" s="6" t="s">
        <v>3572</v>
      </c>
      <c r="N9" s="6" t="s">
        <v>3474</v>
      </c>
    </row>
    <row r="10" spans="1:16381" x14ac:dyDescent="0.25">
      <c r="A10" s="10" t="s">
        <v>1880</v>
      </c>
      <c r="B10" s="6" t="s">
        <v>2286</v>
      </c>
      <c r="C10" s="6" t="s">
        <v>1966</v>
      </c>
      <c r="D10" s="6" t="s">
        <v>2011</v>
      </c>
      <c r="E10" s="6" t="s">
        <v>2056</v>
      </c>
      <c r="F10" s="6" t="s">
        <v>2101</v>
      </c>
      <c r="G10" s="6" t="s">
        <v>2145</v>
      </c>
      <c r="H10" s="6" t="s">
        <v>2190</v>
      </c>
      <c r="I10" s="6" t="s">
        <v>2731</v>
      </c>
      <c r="J10" s="6" t="s">
        <v>2628</v>
      </c>
      <c r="K10" s="6" t="s">
        <v>2523</v>
      </c>
      <c r="L10" s="6" t="s">
        <v>2418</v>
      </c>
      <c r="M10" s="6" t="s">
        <v>3573</v>
      </c>
      <c r="N10" s="6" t="s">
        <v>3475</v>
      </c>
    </row>
    <row r="11" spans="1:16381" x14ac:dyDescent="0.25">
      <c r="A11" s="10" t="s">
        <v>490</v>
      </c>
      <c r="B11" s="6" t="s">
        <v>637</v>
      </c>
      <c r="C11" s="6" t="s">
        <v>715</v>
      </c>
      <c r="D11" s="6" t="s">
        <v>806</v>
      </c>
      <c r="E11" s="6" t="s">
        <v>897</v>
      </c>
      <c r="F11" s="6" t="s">
        <v>985</v>
      </c>
      <c r="G11" s="6" t="s">
        <v>1075</v>
      </c>
      <c r="H11" s="6" t="s">
        <v>1155</v>
      </c>
      <c r="I11" s="6" t="s">
        <v>2732</v>
      </c>
      <c r="J11" s="6" t="s">
        <v>2629</v>
      </c>
      <c r="K11" s="6" t="s">
        <v>2524</v>
      </c>
      <c r="L11" s="6" t="s">
        <v>2419</v>
      </c>
      <c r="M11" s="6" t="s">
        <v>3574</v>
      </c>
      <c r="N11" s="6" t="s">
        <v>3476</v>
      </c>
    </row>
    <row r="12" spans="1:16381" x14ac:dyDescent="0.25">
      <c r="A12" s="10" t="s">
        <v>1885</v>
      </c>
      <c r="B12" s="6" t="s">
        <v>1928</v>
      </c>
      <c r="C12" s="6" t="s">
        <v>1971</v>
      </c>
      <c r="D12" s="6" t="s">
        <v>2016</v>
      </c>
      <c r="E12" s="6" t="s">
        <v>2061</v>
      </c>
      <c r="F12" s="6" t="s">
        <v>2106</v>
      </c>
      <c r="G12" s="6" t="s">
        <v>2150</v>
      </c>
      <c r="H12" s="6" t="s">
        <v>2195</v>
      </c>
      <c r="I12" s="6" t="s">
        <v>2733</v>
      </c>
      <c r="J12" s="6" t="s">
        <v>2630</v>
      </c>
      <c r="K12" s="6" t="s">
        <v>2525</v>
      </c>
      <c r="L12" s="6" t="s">
        <v>2420</v>
      </c>
      <c r="M12" s="6" t="s">
        <v>3575</v>
      </c>
      <c r="N12" s="6" t="s">
        <v>3477</v>
      </c>
      <c r="P12" s="12"/>
      <c r="Q12" s="11"/>
      <c r="T12" s="12"/>
      <c r="U12" s="11"/>
      <c r="X12" s="12"/>
      <c r="Y12" s="11"/>
      <c r="AB12" s="12"/>
      <c r="AC12" s="11"/>
      <c r="AF12" s="12"/>
      <c r="AG12" s="11"/>
      <c r="AJ12" s="12"/>
      <c r="AK12" s="11"/>
      <c r="AN12" s="12"/>
      <c r="AO12" s="11"/>
      <c r="AR12" s="12"/>
      <c r="AS12" s="11"/>
      <c r="AV12" s="12"/>
      <c r="AW12" s="11"/>
      <c r="AZ12" s="12"/>
      <c r="BA12" s="11"/>
      <c r="BD12" s="12"/>
      <c r="BE12" s="11"/>
      <c r="BH12" s="12"/>
      <c r="BI12" s="11"/>
      <c r="BL12" s="12"/>
      <c r="BM12" s="11"/>
      <c r="BP12" s="12"/>
      <c r="BQ12" s="11"/>
      <c r="BT12" s="12"/>
      <c r="BU12" s="11"/>
      <c r="BX12" s="12"/>
      <c r="BY12" s="11"/>
      <c r="CB12" s="12"/>
      <c r="CC12" s="11"/>
      <c r="CF12" s="12"/>
      <c r="CG12" s="11"/>
      <c r="CJ12" s="12"/>
      <c r="CK12" s="11"/>
      <c r="CN12" s="12"/>
      <c r="CO12" s="11"/>
      <c r="CR12" s="12"/>
      <c r="CS12" s="11"/>
      <c r="CV12" s="12"/>
      <c r="CW12" s="11"/>
      <c r="CZ12" s="12"/>
      <c r="DA12" s="11"/>
      <c r="DD12" s="12"/>
      <c r="DE12" s="11"/>
      <c r="DH12" s="12"/>
      <c r="DI12" s="11"/>
      <c r="DL12" s="12"/>
      <c r="DM12" s="11"/>
      <c r="DP12" s="12"/>
      <c r="DQ12" s="11"/>
      <c r="DT12" s="12"/>
      <c r="DU12" s="11"/>
      <c r="DX12" s="12"/>
      <c r="DY12" s="11"/>
      <c r="EB12" s="12"/>
      <c r="EC12" s="11"/>
      <c r="EF12" s="12"/>
      <c r="EG12" s="11"/>
      <c r="EJ12" s="12"/>
      <c r="EK12" s="11"/>
      <c r="EN12" s="12"/>
      <c r="EO12" s="11"/>
      <c r="ER12" s="12"/>
      <c r="ES12" s="11"/>
      <c r="EV12" s="12"/>
      <c r="EW12" s="11"/>
      <c r="EZ12" s="12"/>
      <c r="FA12" s="11"/>
      <c r="FD12" s="12"/>
      <c r="FE12" s="11"/>
      <c r="FH12" s="12"/>
      <c r="FI12" s="11"/>
      <c r="FL12" s="12"/>
      <c r="FM12" s="11"/>
      <c r="FP12" s="12"/>
      <c r="FQ12" s="11"/>
      <c r="FT12" s="12"/>
      <c r="FU12" s="11"/>
      <c r="FX12" s="12"/>
      <c r="FY12" s="11"/>
      <c r="GB12" s="12"/>
      <c r="GC12" s="11"/>
      <c r="GF12" s="12"/>
      <c r="GG12" s="11"/>
      <c r="GJ12" s="12"/>
      <c r="GK12" s="11"/>
      <c r="GN12" s="12"/>
      <c r="GO12" s="11"/>
      <c r="GR12" s="12"/>
      <c r="GS12" s="11"/>
      <c r="GV12" s="12"/>
      <c r="GW12" s="11"/>
      <c r="GZ12" s="12"/>
      <c r="HA12" s="11"/>
      <c r="HD12" s="12"/>
      <c r="HE12" s="11"/>
      <c r="HH12" s="12"/>
      <c r="HI12" s="11"/>
      <c r="HL12" s="12"/>
      <c r="HM12" s="11"/>
      <c r="HP12" s="12"/>
      <c r="HQ12" s="11"/>
      <c r="HT12" s="12"/>
      <c r="HU12" s="11"/>
      <c r="HX12" s="12"/>
      <c r="HY12" s="11"/>
      <c r="IB12" s="12"/>
      <c r="IC12" s="11"/>
      <c r="IF12" s="12"/>
      <c r="IG12" s="11"/>
      <c r="IJ12" s="12"/>
      <c r="IK12" s="11"/>
      <c r="IN12" s="12"/>
      <c r="IO12" s="11"/>
      <c r="IR12" s="12"/>
      <c r="IS12" s="11"/>
      <c r="IV12" s="12"/>
      <c r="IW12" s="11"/>
      <c r="IZ12" s="12"/>
      <c r="JA12" s="11"/>
      <c r="JD12" s="12"/>
      <c r="JE12" s="11"/>
      <c r="JH12" s="12"/>
      <c r="JI12" s="11"/>
      <c r="JL12" s="12"/>
      <c r="JM12" s="11"/>
      <c r="JP12" s="12"/>
      <c r="JQ12" s="11"/>
      <c r="JT12" s="12"/>
      <c r="JU12" s="11"/>
      <c r="JX12" s="12"/>
      <c r="JY12" s="11"/>
      <c r="KB12" s="12"/>
      <c r="KC12" s="11"/>
      <c r="KF12" s="12"/>
      <c r="KG12" s="11"/>
      <c r="KJ12" s="12"/>
      <c r="KK12" s="11"/>
      <c r="KN12" s="12"/>
      <c r="KO12" s="11"/>
      <c r="KR12" s="12"/>
      <c r="KS12" s="11"/>
      <c r="KV12" s="12"/>
      <c r="KW12" s="11"/>
      <c r="KZ12" s="12"/>
      <c r="LA12" s="11"/>
      <c r="LD12" s="12"/>
      <c r="LE12" s="11"/>
      <c r="LH12" s="12"/>
      <c r="LI12" s="11"/>
      <c r="LL12" s="12"/>
      <c r="LM12" s="11"/>
      <c r="LP12" s="12"/>
      <c r="LQ12" s="11"/>
      <c r="LT12" s="12"/>
      <c r="LU12" s="11"/>
      <c r="LX12" s="12"/>
      <c r="LY12" s="11"/>
      <c r="MB12" s="12"/>
      <c r="MC12" s="11"/>
      <c r="MF12" s="12"/>
      <c r="MG12" s="11"/>
      <c r="MJ12" s="12"/>
      <c r="MK12" s="11"/>
      <c r="MN12" s="12"/>
      <c r="MO12" s="11"/>
      <c r="MR12" s="12"/>
      <c r="MS12" s="11"/>
      <c r="MV12" s="12"/>
      <c r="MW12" s="11"/>
      <c r="MZ12" s="12"/>
      <c r="NA12" s="11"/>
      <c r="ND12" s="12"/>
      <c r="NE12" s="11"/>
      <c r="NH12" s="12"/>
      <c r="NI12" s="11"/>
      <c r="NL12" s="12"/>
      <c r="NM12" s="11"/>
      <c r="NP12" s="12"/>
      <c r="NQ12" s="11"/>
      <c r="NT12" s="12"/>
      <c r="NU12" s="11"/>
      <c r="NX12" s="12"/>
      <c r="NY12" s="11"/>
      <c r="OB12" s="12"/>
      <c r="OC12" s="11"/>
      <c r="OF12" s="12"/>
      <c r="OG12" s="11"/>
      <c r="OJ12" s="12"/>
      <c r="OK12" s="11"/>
      <c r="ON12" s="12"/>
      <c r="OO12" s="11"/>
      <c r="OR12" s="12"/>
      <c r="OS12" s="11"/>
      <c r="OV12" s="12"/>
      <c r="OW12" s="11"/>
      <c r="OZ12" s="12"/>
      <c r="PA12" s="11"/>
      <c r="PD12" s="12"/>
      <c r="PE12" s="11"/>
      <c r="PH12" s="12"/>
      <c r="PI12" s="11"/>
      <c r="PL12" s="12"/>
      <c r="PM12" s="11"/>
      <c r="PP12" s="12"/>
      <c r="PQ12" s="11"/>
      <c r="PT12" s="12"/>
      <c r="PU12" s="11"/>
      <c r="PX12" s="12"/>
      <c r="PY12" s="11"/>
      <c r="QB12" s="12"/>
      <c r="QC12" s="11"/>
      <c r="QF12" s="12"/>
      <c r="QG12" s="11"/>
      <c r="QJ12" s="12"/>
      <c r="QK12" s="11"/>
      <c r="QN12" s="12"/>
      <c r="QO12" s="11"/>
      <c r="QR12" s="12"/>
      <c r="QS12" s="11"/>
      <c r="QV12" s="12"/>
      <c r="QW12" s="11"/>
      <c r="QZ12" s="12"/>
      <c r="RA12" s="11"/>
      <c r="RD12" s="12"/>
      <c r="RE12" s="11"/>
      <c r="RH12" s="12"/>
      <c r="RI12" s="11"/>
      <c r="RL12" s="12"/>
      <c r="RM12" s="11"/>
      <c r="RP12" s="12"/>
      <c r="RQ12" s="11"/>
      <c r="RT12" s="12"/>
      <c r="RU12" s="11"/>
      <c r="RX12" s="12"/>
      <c r="RY12" s="11"/>
      <c r="SB12" s="12"/>
      <c r="SC12" s="11"/>
      <c r="SF12" s="12"/>
      <c r="SG12" s="11"/>
      <c r="SJ12" s="12"/>
      <c r="SK12" s="11"/>
      <c r="SN12" s="12"/>
      <c r="SO12" s="11"/>
      <c r="SR12" s="12"/>
      <c r="SS12" s="11"/>
      <c r="SV12" s="12"/>
      <c r="SW12" s="11"/>
      <c r="SZ12" s="12"/>
      <c r="TA12" s="11"/>
      <c r="TD12" s="12"/>
      <c r="TE12" s="11"/>
      <c r="TH12" s="12"/>
      <c r="TI12" s="11"/>
      <c r="TL12" s="12"/>
      <c r="TM12" s="11"/>
      <c r="TP12" s="12"/>
      <c r="TQ12" s="11"/>
      <c r="TT12" s="12"/>
      <c r="TU12" s="11"/>
      <c r="TX12" s="12"/>
      <c r="TY12" s="11"/>
      <c r="UB12" s="12"/>
      <c r="UC12" s="11"/>
      <c r="UF12" s="12"/>
      <c r="UG12" s="11"/>
      <c r="UJ12" s="12"/>
      <c r="UK12" s="11"/>
      <c r="UN12" s="12"/>
      <c r="UO12" s="11"/>
      <c r="UR12" s="12"/>
      <c r="US12" s="11"/>
      <c r="UV12" s="12"/>
      <c r="UW12" s="11"/>
      <c r="UZ12" s="12"/>
      <c r="VA12" s="11"/>
      <c r="VD12" s="12"/>
      <c r="VE12" s="11"/>
      <c r="VH12" s="12"/>
      <c r="VI12" s="11"/>
      <c r="VL12" s="12"/>
      <c r="VM12" s="11"/>
      <c r="VP12" s="12"/>
      <c r="VQ12" s="11"/>
      <c r="VT12" s="12"/>
      <c r="VU12" s="11"/>
      <c r="VX12" s="12"/>
      <c r="VY12" s="11"/>
      <c r="WB12" s="12"/>
      <c r="WC12" s="11"/>
      <c r="WF12" s="12"/>
      <c r="WG12" s="11"/>
      <c r="WJ12" s="12"/>
      <c r="WK12" s="11"/>
      <c r="WN12" s="12"/>
      <c r="WO12" s="11"/>
      <c r="WR12" s="12"/>
      <c r="WS12" s="11"/>
      <c r="WV12" s="12"/>
      <c r="WW12" s="11"/>
      <c r="WZ12" s="12"/>
      <c r="XA12" s="11"/>
      <c r="XD12" s="12"/>
      <c r="XE12" s="11"/>
      <c r="XH12" s="12"/>
      <c r="XI12" s="11"/>
      <c r="XL12" s="12"/>
      <c r="XM12" s="11"/>
      <c r="XP12" s="12"/>
      <c r="XQ12" s="11"/>
      <c r="XT12" s="12"/>
      <c r="XU12" s="11"/>
      <c r="XX12" s="12"/>
      <c r="XY12" s="11"/>
      <c r="YB12" s="12"/>
      <c r="YC12" s="11"/>
      <c r="YF12" s="12"/>
      <c r="YG12" s="11"/>
      <c r="YJ12" s="12"/>
      <c r="YK12" s="11"/>
      <c r="YN12" s="12"/>
      <c r="YO12" s="11"/>
      <c r="YR12" s="12"/>
      <c r="YS12" s="11"/>
      <c r="YV12" s="12"/>
      <c r="YW12" s="11"/>
      <c r="YZ12" s="12"/>
      <c r="ZA12" s="11"/>
      <c r="ZD12" s="12"/>
      <c r="ZE12" s="11"/>
      <c r="ZH12" s="12"/>
      <c r="ZI12" s="11"/>
      <c r="ZL12" s="12"/>
      <c r="ZM12" s="11"/>
      <c r="ZP12" s="12"/>
      <c r="ZQ12" s="11"/>
      <c r="ZT12" s="12"/>
      <c r="ZU12" s="11"/>
      <c r="ZX12" s="12"/>
      <c r="ZY12" s="11"/>
      <c r="AAB12" s="12"/>
      <c r="AAC12" s="11"/>
      <c r="AAF12" s="12"/>
      <c r="AAG12" s="11"/>
      <c r="AAJ12" s="12"/>
      <c r="AAK12" s="11"/>
      <c r="AAN12" s="12"/>
      <c r="AAO12" s="11"/>
      <c r="AAR12" s="12"/>
      <c r="AAS12" s="11"/>
      <c r="AAV12" s="12"/>
      <c r="AAW12" s="11"/>
      <c r="AAZ12" s="12"/>
      <c r="ABA12" s="11"/>
      <c r="ABD12" s="12"/>
      <c r="ABE12" s="11"/>
      <c r="ABH12" s="12"/>
      <c r="ABI12" s="11"/>
      <c r="ABL12" s="12"/>
      <c r="ABM12" s="11"/>
      <c r="ABP12" s="12"/>
      <c r="ABQ12" s="11"/>
      <c r="ABT12" s="12"/>
      <c r="ABU12" s="11"/>
      <c r="ABX12" s="12"/>
      <c r="ABY12" s="11"/>
      <c r="ACB12" s="12"/>
      <c r="ACC12" s="11"/>
      <c r="ACF12" s="12"/>
      <c r="ACG12" s="11"/>
      <c r="ACJ12" s="12"/>
      <c r="ACK12" s="11"/>
      <c r="ACN12" s="12"/>
      <c r="ACO12" s="11"/>
      <c r="ACR12" s="12"/>
      <c r="ACS12" s="11"/>
      <c r="ACV12" s="12"/>
      <c r="ACW12" s="11"/>
      <c r="ACZ12" s="12"/>
      <c r="ADA12" s="11"/>
      <c r="ADD12" s="12"/>
      <c r="ADE12" s="11"/>
      <c r="ADH12" s="12"/>
      <c r="ADI12" s="11"/>
      <c r="ADL12" s="12"/>
      <c r="ADM12" s="11"/>
      <c r="ADP12" s="12"/>
      <c r="ADQ12" s="11"/>
      <c r="ADT12" s="12"/>
      <c r="ADU12" s="11"/>
      <c r="ADX12" s="12"/>
      <c r="ADY12" s="11"/>
      <c r="AEB12" s="12"/>
      <c r="AEC12" s="11"/>
      <c r="AEF12" s="12"/>
      <c r="AEG12" s="11"/>
      <c r="AEJ12" s="12"/>
      <c r="AEK12" s="11"/>
      <c r="AEN12" s="12"/>
      <c r="AEO12" s="11"/>
      <c r="AER12" s="12"/>
      <c r="AES12" s="11"/>
      <c r="AEV12" s="12"/>
      <c r="AEW12" s="11"/>
      <c r="AEZ12" s="12"/>
      <c r="AFA12" s="11"/>
      <c r="AFD12" s="12"/>
      <c r="AFE12" s="11"/>
      <c r="AFH12" s="12"/>
      <c r="AFI12" s="11"/>
      <c r="AFL12" s="12"/>
      <c r="AFM12" s="11"/>
      <c r="AFP12" s="12"/>
      <c r="AFQ12" s="11"/>
      <c r="AFT12" s="12"/>
      <c r="AFU12" s="11"/>
      <c r="AFX12" s="12"/>
      <c r="AFY12" s="11"/>
      <c r="AGB12" s="12"/>
      <c r="AGC12" s="11"/>
      <c r="AGF12" s="12"/>
      <c r="AGG12" s="11"/>
      <c r="AGJ12" s="12"/>
      <c r="AGK12" s="11"/>
      <c r="AGN12" s="12"/>
      <c r="AGO12" s="11"/>
      <c r="AGR12" s="12"/>
      <c r="AGS12" s="11"/>
      <c r="AGV12" s="12"/>
      <c r="AGW12" s="11"/>
      <c r="AGZ12" s="12"/>
      <c r="AHA12" s="11"/>
      <c r="AHD12" s="12"/>
      <c r="AHE12" s="11"/>
      <c r="AHH12" s="12"/>
      <c r="AHI12" s="11"/>
      <c r="AHL12" s="12"/>
      <c r="AHM12" s="11"/>
      <c r="AHP12" s="12"/>
      <c r="AHQ12" s="11"/>
      <c r="AHT12" s="12"/>
      <c r="AHU12" s="11"/>
      <c r="AHX12" s="12"/>
      <c r="AHY12" s="11"/>
      <c r="AIB12" s="12"/>
      <c r="AIC12" s="11"/>
      <c r="AIF12" s="12"/>
      <c r="AIG12" s="11"/>
      <c r="AIJ12" s="12"/>
      <c r="AIK12" s="11"/>
      <c r="AIN12" s="12"/>
      <c r="AIO12" s="11"/>
      <c r="AIR12" s="12"/>
      <c r="AIS12" s="11"/>
      <c r="AIV12" s="12"/>
      <c r="AIW12" s="11"/>
      <c r="AIZ12" s="12"/>
      <c r="AJA12" s="11"/>
      <c r="AJD12" s="12"/>
      <c r="AJE12" s="11"/>
      <c r="AJH12" s="12"/>
      <c r="AJI12" s="11"/>
      <c r="AJL12" s="12"/>
      <c r="AJM12" s="11"/>
      <c r="AJP12" s="12"/>
      <c r="AJQ12" s="11"/>
      <c r="AJT12" s="12"/>
      <c r="AJU12" s="11"/>
      <c r="AJX12" s="12"/>
      <c r="AJY12" s="11"/>
      <c r="AKB12" s="12"/>
      <c r="AKC12" s="11"/>
      <c r="AKF12" s="12"/>
      <c r="AKG12" s="11"/>
      <c r="AKJ12" s="12"/>
      <c r="AKK12" s="11"/>
      <c r="AKN12" s="12"/>
      <c r="AKO12" s="11"/>
      <c r="AKR12" s="12"/>
      <c r="AKS12" s="11"/>
      <c r="AKV12" s="12"/>
      <c r="AKW12" s="11"/>
      <c r="AKZ12" s="12"/>
      <c r="ALA12" s="11"/>
      <c r="ALD12" s="12"/>
      <c r="ALE12" s="11"/>
      <c r="ALH12" s="12"/>
      <c r="ALI12" s="11"/>
      <c r="ALL12" s="12"/>
      <c r="ALM12" s="11"/>
      <c r="ALP12" s="12"/>
      <c r="ALQ12" s="11"/>
      <c r="ALT12" s="12"/>
      <c r="ALU12" s="11"/>
      <c r="ALX12" s="12"/>
      <c r="ALY12" s="11"/>
      <c r="AMB12" s="12"/>
      <c r="AMC12" s="11"/>
      <c r="AMF12" s="12"/>
      <c r="AMG12" s="11"/>
      <c r="AMJ12" s="12"/>
      <c r="AMK12" s="11"/>
      <c r="AMN12" s="12"/>
      <c r="AMO12" s="11"/>
      <c r="AMR12" s="12"/>
      <c r="AMS12" s="11"/>
      <c r="AMV12" s="12"/>
      <c r="AMW12" s="11"/>
      <c r="AMZ12" s="12"/>
      <c r="ANA12" s="11"/>
      <c r="AND12" s="12"/>
      <c r="ANE12" s="11"/>
      <c r="ANH12" s="12"/>
      <c r="ANI12" s="11"/>
      <c r="ANL12" s="12"/>
      <c r="ANM12" s="11"/>
      <c r="ANP12" s="12"/>
      <c r="ANQ12" s="11"/>
      <c r="ANT12" s="12"/>
      <c r="ANU12" s="11"/>
      <c r="ANX12" s="12"/>
      <c r="ANY12" s="11"/>
      <c r="AOB12" s="12"/>
      <c r="AOC12" s="11"/>
      <c r="AOF12" s="12"/>
      <c r="AOG12" s="11"/>
      <c r="AOJ12" s="12"/>
      <c r="AOK12" s="11"/>
      <c r="AON12" s="12"/>
      <c r="AOO12" s="11"/>
      <c r="AOR12" s="12"/>
      <c r="AOS12" s="11"/>
      <c r="AOV12" s="12"/>
      <c r="AOW12" s="11"/>
      <c r="AOZ12" s="12"/>
      <c r="APA12" s="11"/>
      <c r="APD12" s="12"/>
      <c r="APE12" s="11"/>
      <c r="APH12" s="12"/>
      <c r="API12" s="11"/>
      <c r="APL12" s="12"/>
      <c r="APM12" s="11"/>
      <c r="APP12" s="12"/>
      <c r="APQ12" s="11"/>
      <c r="APT12" s="12"/>
      <c r="APU12" s="11"/>
      <c r="APX12" s="12"/>
      <c r="APY12" s="11"/>
      <c r="AQB12" s="12"/>
      <c r="AQC12" s="11"/>
      <c r="AQF12" s="12"/>
      <c r="AQG12" s="11"/>
      <c r="AQJ12" s="12"/>
      <c r="AQK12" s="11"/>
      <c r="AQN12" s="12"/>
      <c r="AQO12" s="11"/>
      <c r="AQR12" s="12"/>
      <c r="AQS12" s="11"/>
      <c r="AQV12" s="12"/>
      <c r="AQW12" s="11"/>
      <c r="AQZ12" s="12"/>
      <c r="ARA12" s="11"/>
      <c r="ARD12" s="12"/>
      <c r="ARE12" s="11"/>
      <c r="ARH12" s="12"/>
      <c r="ARI12" s="11"/>
      <c r="ARL12" s="12"/>
      <c r="ARM12" s="11"/>
      <c r="ARP12" s="12"/>
      <c r="ARQ12" s="11"/>
      <c r="ART12" s="12"/>
      <c r="ARU12" s="11"/>
      <c r="ARX12" s="12"/>
      <c r="ARY12" s="11"/>
      <c r="ASB12" s="12"/>
      <c r="ASC12" s="11"/>
      <c r="ASF12" s="12"/>
      <c r="ASG12" s="11"/>
      <c r="ASJ12" s="12"/>
      <c r="ASK12" s="11"/>
      <c r="ASN12" s="12"/>
      <c r="ASO12" s="11"/>
      <c r="ASR12" s="12"/>
      <c r="ASS12" s="11"/>
      <c r="ASV12" s="12"/>
      <c r="ASW12" s="11"/>
      <c r="ASZ12" s="12"/>
      <c r="ATA12" s="11"/>
      <c r="ATD12" s="12"/>
      <c r="ATE12" s="11"/>
      <c r="ATH12" s="12"/>
      <c r="ATI12" s="11"/>
      <c r="ATL12" s="12"/>
      <c r="ATM12" s="11"/>
      <c r="ATP12" s="12"/>
      <c r="ATQ12" s="11"/>
      <c r="ATT12" s="12"/>
      <c r="ATU12" s="11"/>
      <c r="ATX12" s="12"/>
      <c r="ATY12" s="11"/>
      <c r="AUB12" s="12"/>
      <c r="AUC12" s="11"/>
      <c r="AUF12" s="12"/>
      <c r="AUG12" s="11"/>
      <c r="AUJ12" s="12"/>
      <c r="AUK12" s="11"/>
      <c r="AUN12" s="12"/>
      <c r="AUO12" s="11"/>
      <c r="AUR12" s="12"/>
      <c r="AUS12" s="11"/>
      <c r="AUV12" s="12"/>
      <c r="AUW12" s="11"/>
      <c r="AUZ12" s="12"/>
      <c r="AVA12" s="11"/>
      <c r="AVD12" s="12"/>
      <c r="AVE12" s="11"/>
      <c r="AVH12" s="12"/>
      <c r="AVI12" s="11"/>
      <c r="AVL12" s="12"/>
      <c r="AVM12" s="11"/>
      <c r="AVP12" s="12"/>
      <c r="AVQ12" s="11"/>
      <c r="AVT12" s="12"/>
      <c r="AVU12" s="11"/>
      <c r="AVX12" s="12"/>
      <c r="AVY12" s="11"/>
      <c r="AWB12" s="12"/>
      <c r="AWC12" s="11"/>
      <c r="AWF12" s="12"/>
      <c r="AWG12" s="11"/>
      <c r="AWJ12" s="12"/>
      <c r="AWK12" s="11"/>
      <c r="AWN12" s="12"/>
      <c r="AWO12" s="11"/>
      <c r="AWR12" s="12"/>
      <c r="AWS12" s="11"/>
      <c r="AWV12" s="12"/>
      <c r="AWW12" s="11"/>
      <c r="AWZ12" s="12"/>
      <c r="AXA12" s="11"/>
      <c r="AXD12" s="12"/>
      <c r="AXE12" s="11"/>
      <c r="AXH12" s="12"/>
      <c r="AXI12" s="11"/>
      <c r="AXL12" s="12"/>
      <c r="AXM12" s="11"/>
      <c r="AXP12" s="12"/>
      <c r="AXQ12" s="11"/>
      <c r="AXT12" s="12"/>
      <c r="AXU12" s="11"/>
      <c r="AXX12" s="12"/>
      <c r="AXY12" s="11"/>
      <c r="AYB12" s="12"/>
      <c r="AYC12" s="11"/>
      <c r="AYF12" s="12"/>
      <c r="AYG12" s="11"/>
      <c r="AYJ12" s="12"/>
      <c r="AYK12" s="11"/>
      <c r="AYN12" s="12"/>
      <c r="AYO12" s="11"/>
      <c r="AYR12" s="12"/>
      <c r="AYS12" s="11"/>
      <c r="AYV12" s="12"/>
      <c r="AYW12" s="11"/>
      <c r="AYZ12" s="12"/>
      <c r="AZA12" s="11"/>
      <c r="AZD12" s="12"/>
      <c r="AZE12" s="11"/>
      <c r="AZH12" s="12"/>
      <c r="AZI12" s="11"/>
      <c r="AZL12" s="12"/>
      <c r="AZM12" s="11"/>
      <c r="AZP12" s="12"/>
      <c r="AZQ12" s="11"/>
      <c r="AZT12" s="12"/>
      <c r="AZU12" s="11"/>
      <c r="AZX12" s="12"/>
      <c r="AZY12" s="11"/>
      <c r="BAB12" s="12"/>
      <c r="BAC12" s="11"/>
      <c r="BAF12" s="12"/>
      <c r="BAG12" s="11"/>
      <c r="BAJ12" s="12"/>
      <c r="BAK12" s="11"/>
      <c r="BAN12" s="12"/>
      <c r="BAO12" s="11"/>
      <c r="BAR12" s="12"/>
      <c r="BAS12" s="11"/>
      <c r="BAV12" s="12"/>
      <c r="BAW12" s="11"/>
      <c r="BAZ12" s="12"/>
      <c r="BBA12" s="11"/>
      <c r="BBD12" s="12"/>
      <c r="BBE12" s="11"/>
      <c r="BBH12" s="12"/>
      <c r="BBI12" s="11"/>
      <c r="BBL12" s="12"/>
      <c r="BBM12" s="11"/>
      <c r="BBP12" s="12"/>
      <c r="BBQ12" s="11"/>
      <c r="BBT12" s="12"/>
      <c r="BBU12" s="11"/>
      <c r="BBX12" s="12"/>
      <c r="BBY12" s="11"/>
      <c r="BCB12" s="12"/>
      <c r="BCC12" s="11"/>
      <c r="BCF12" s="12"/>
      <c r="BCG12" s="11"/>
      <c r="BCJ12" s="12"/>
      <c r="BCK12" s="11"/>
      <c r="BCN12" s="12"/>
      <c r="BCO12" s="11"/>
      <c r="BCR12" s="12"/>
      <c r="BCS12" s="11"/>
      <c r="BCV12" s="12"/>
      <c r="BCW12" s="11"/>
      <c r="BCZ12" s="12"/>
      <c r="BDA12" s="11"/>
      <c r="BDD12" s="12"/>
      <c r="BDE12" s="11"/>
      <c r="BDH12" s="12"/>
      <c r="BDI12" s="11"/>
      <c r="BDL12" s="12"/>
      <c r="BDM12" s="11"/>
      <c r="BDP12" s="12"/>
      <c r="BDQ12" s="11"/>
      <c r="BDT12" s="12"/>
      <c r="BDU12" s="11"/>
      <c r="BDX12" s="12"/>
      <c r="BDY12" s="11"/>
      <c r="BEB12" s="12"/>
      <c r="BEC12" s="11"/>
      <c r="BEF12" s="12"/>
      <c r="BEG12" s="11"/>
      <c r="BEJ12" s="12"/>
      <c r="BEK12" s="11"/>
      <c r="BEN12" s="12"/>
      <c r="BEO12" s="11"/>
      <c r="BER12" s="12"/>
      <c r="BES12" s="11"/>
      <c r="BEV12" s="12"/>
      <c r="BEW12" s="11"/>
      <c r="BEZ12" s="12"/>
      <c r="BFA12" s="11"/>
      <c r="BFD12" s="12"/>
      <c r="BFE12" s="11"/>
      <c r="BFH12" s="12"/>
      <c r="BFI12" s="11"/>
      <c r="BFL12" s="12"/>
      <c r="BFM12" s="11"/>
      <c r="BFP12" s="12"/>
      <c r="BFQ12" s="11"/>
      <c r="BFT12" s="12"/>
      <c r="BFU12" s="11"/>
      <c r="BFX12" s="12"/>
      <c r="BFY12" s="11"/>
      <c r="BGB12" s="12"/>
      <c r="BGC12" s="11"/>
      <c r="BGF12" s="12"/>
      <c r="BGG12" s="11"/>
      <c r="BGJ12" s="12"/>
      <c r="BGK12" s="11"/>
      <c r="BGN12" s="12"/>
      <c r="BGO12" s="11"/>
      <c r="BGR12" s="12"/>
      <c r="BGS12" s="11"/>
      <c r="BGV12" s="12"/>
      <c r="BGW12" s="11"/>
      <c r="BGZ12" s="12"/>
      <c r="BHA12" s="11"/>
      <c r="BHD12" s="12"/>
      <c r="BHE12" s="11"/>
      <c r="BHH12" s="12"/>
      <c r="BHI12" s="11"/>
      <c r="BHL12" s="12"/>
      <c r="BHM12" s="11"/>
      <c r="BHP12" s="12"/>
      <c r="BHQ12" s="11"/>
      <c r="BHT12" s="12"/>
      <c r="BHU12" s="11"/>
      <c r="BHX12" s="12"/>
      <c r="BHY12" s="11"/>
      <c r="BIB12" s="12"/>
      <c r="BIC12" s="11"/>
      <c r="BIF12" s="12"/>
      <c r="BIG12" s="11"/>
      <c r="BIJ12" s="12"/>
      <c r="BIK12" s="11"/>
      <c r="BIN12" s="12"/>
      <c r="BIO12" s="11"/>
      <c r="BIR12" s="12"/>
      <c r="BIS12" s="11"/>
      <c r="BIV12" s="12"/>
      <c r="BIW12" s="11"/>
      <c r="BIZ12" s="12"/>
      <c r="BJA12" s="11"/>
      <c r="BJD12" s="12"/>
      <c r="BJE12" s="11"/>
      <c r="BJH12" s="12"/>
      <c r="BJI12" s="11"/>
      <c r="BJL12" s="12"/>
      <c r="BJM12" s="11"/>
      <c r="BJP12" s="12"/>
      <c r="BJQ12" s="11"/>
      <c r="BJT12" s="12"/>
      <c r="BJU12" s="11"/>
      <c r="BJX12" s="12"/>
      <c r="BJY12" s="11"/>
      <c r="BKB12" s="12"/>
      <c r="BKC12" s="11"/>
      <c r="BKF12" s="12"/>
      <c r="BKG12" s="11"/>
      <c r="BKJ12" s="12"/>
      <c r="BKK12" s="11"/>
      <c r="BKN12" s="12"/>
      <c r="BKO12" s="11"/>
      <c r="BKR12" s="12"/>
      <c r="BKS12" s="11"/>
      <c r="BKV12" s="12"/>
      <c r="BKW12" s="11"/>
      <c r="BKZ12" s="12"/>
      <c r="BLA12" s="11"/>
      <c r="BLD12" s="12"/>
      <c r="BLE12" s="11"/>
      <c r="BLH12" s="12"/>
      <c r="BLI12" s="11"/>
      <c r="BLL12" s="12"/>
      <c r="BLM12" s="11"/>
      <c r="BLP12" s="12"/>
      <c r="BLQ12" s="11"/>
      <c r="BLT12" s="12"/>
      <c r="BLU12" s="11"/>
      <c r="BLX12" s="12"/>
      <c r="BLY12" s="11"/>
      <c r="BMB12" s="12"/>
      <c r="BMC12" s="11"/>
      <c r="BMF12" s="12"/>
      <c r="BMG12" s="11"/>
      <c r="BMJ12" s="12"/>
      <c r="BMK12" s="11"/>
      <c r="BMN12" s="12"/>
      <c r="BMO12" s="11"/>
      <c r="BMR12" s="12"/>
      <c r="BMS12" s="11"/>
      <c r="BMV12" s="12"/>
      <c r="BMW12" s="11"/>
      <c r="BMZ12" s="12"/>
      <c r="BNA12" s="11"/>
      <c r="BND12" s="12"/>
      <c r="BNE12" s="11"/>
      <c r="BNH12" s="12"/>
      <c r="BNI12" s="11"/>
      <c r="BNL12" s="12"/>
      <c r="BNM12" s="11"/>
      <c r="BNP12" s="12"/>
      <c r="BNQ12" s="11"/>
      <c r="BNT12" s="12"/>
      <c r="BNU12" s="11"/>
      <c r="BNX12" s="12"/>
      <c r="BNY12" s="11"/>
      <c r="BOB12" s="12"/>
      <c r="BOC12" s="11"/>
      <c r="BOF12" s="12"/>
      <c r="BOG12" s="11"/>
      <c r="BOJ12" s="12"/>
      <c r="BOK12" s="11"/>
      <c r="BON12" s="12"/>
      <c r="BOO12" s="11"/>
      <c r="BOR12" s="12"/>
      <c r="BOS12" s="11"/>
      <c r="BOV12" s="12"/>
      <c r="BOW12" s="11"/>
      <c r="BOZ12" s="12"/>
      <c r="BPA12" s="11"/>
      <c r="BPD12" s="12"/>
      <c r="BPE12" s="11"/>
      <c r="BPH12" s="12"/>
      <c r="BPI12" s="11"/>
      <c r="BPL12" s="12"/>
      <c r="BPM12" s="11"/>
      <c r="BPP12" s="12"/>
      <c r="BPQ12" s="11"/>
      <c r="BPT12" s="12"/>
      <c r="BPU12" s="11"/>
      <c r="BPX12" s="12"/>
      <c r="BPY12" s="11"/>
      <c r="BQB12" s="12"/>
      <c r="BQC12" s="11"/>
      <c r="BQF12" s="12"/>
      <c r="BQG12" s="11"/>
      <c r="BQJ12" s="12"/>
      <c r="BQK12" s="11"/>
      <c r="BQN12" s="12"/>
      <c r="BQO12" s="11"/>
      <c r="BQR12" s="12"/>
      <c r="BQS12" s="11"/>
      <c r="BQV12" s="12"/>
      <c r="BQW12" s="11"/>
      <c r="BQZ12" s="12"/>
      <c r="BRA12" s="11"/>
      <c r="BRD12" s="12"/>
      <c r="BRE12" s="11"/>
      <c r="BRH12" s="12"/>
      <c r="BRI12" s="11"/>
      <c r="BRL12" s="12"/>
      <c r="BRM12" s="11"/>
      <c r="BRP12" s="12"/>
      <c r="BRQ12" s="11"/>
      <c r="BRT12" s="12"/>
      <c r="BRU12" s="11"/>
      <c r="BRX12" s="12"/>
      <c r="BRY12" s="11"/>
      <c r="BSB12" s="12"/>
      <c r="BSC12" s="11"/>
      <c r="BSF12" s="12"/>
      <c r="BSG12" s="11"/>
      <c r="BSJ12" s="12"/>
      <c r="BSK12" s="11"/>
      <c r="BSN12" s="12"/>
      <c r="BSO12" s="11"/>
      <c r="BSR12" s="12"/>
      <c r="BSS12" s="11"/>
      <c r="BSV12" s="12"/>
      <c r="BSW12" s="11"/>
      <c r="BSZ12" s="12"/>
      <c r="BTA12" s="11"/>
      <c r="BTD12" s="12"/>
      <c r="BTE12" s="11"/>
      <c r="BTH12" s="12"/>
      <c r="BTI12" s="11"/>
      <c r="BTL12" s="12"/>
      <c r="BTM12" s="11"/>
      <c r="BTP12" s="12"/>
      <c r="BTQ12" s="11"/>
      <c r="BTT12" s="12"/>
      <c r="BTU12" s="11"/>
      <c r="BTX12" s="12"/>
      <c r="BTY12" s="11"/>
      <c r="BUB12" s="12"/>
      <c r="BUC12" s="11"/>
      <c r="BUF12" s="12"/>
      <c r="BUG12" s="11"/>
      <c r="BUJ12" s="12"/>
      <c r="BUK12" s="11"/>
      <c r="BUN12" s="12"/>
      <c r="BUO12" s="11"/>
      <c r="BUR12" s="12"/>
      <c r="BUS12" s="11"/>
      <c r="BUV12" s="12"/>
      <c r="BUW12" s="11"/>
      <c r="BUZ12" s="12"/>
      <c r="BVA12" s="11"/>
      <c r="BVD12" s="12"/>
      <c r="BVE12" s="11"/>
      <c r="BVH12" s="12"/>
      <c r="BVI12" s="11"/>
      <c r="BVL12" s="12"/>
      <c r="BVM12" s="11"/>
      <c r="BVP12" s="12"/>
      <c r="BVQ12" s="11"/>
      <c r="BVT12" s="12"/>
      <c r="BVU12" s="11"/>
      <c r="BVX12" s="12"/>
      <c r="BVY12" s="11"/>
      <c r="BWB12" s="12"/>
      <c r="BWC12" s="11"/>
      <c r="BWF12" s="12"/>
      <c r="BWG12" s="11"/>
      <c r="BWJ12" s="12"/>
      <c r="BWK12" s="11"/>
      <c r="BWN12" s="12"/>
      <c r="BWO12" s="11"/>
      <c r="BWR12" s="12"/>
      <c r="BWS12" s="11"/>
      <c r="BWV12" s="12"/>
      <c r="BWW12" s="11"/>
      <c r="BWZ12" s="12"/>
      <c r="BXA12" s="11"/>
      <c r="BXD12" s="12"/>
      <c r="BXE12" s="11"/>
      <c r="BXH12" s="12"/>
      <c r="BXI12" s="11"/>
      <c r="BXL12" s="12"/>
      <c r="BXM12" s="11"/>
      <c r="BXP12" s="12"/>
      <c r="BXQ12" s="11"/>
      <c r="BXT12" s="12"/>
      <c r="BXU12" s="11"/>
      <c r="BXX12" s="12"/>
      <c r="BXY12" s="11"/>
      <c r="BYB12" s="12"/>
      <c r="BYC12" s="11"/>
      <c r="BYF12" s="12"/>
      <c r="BYG12" s="11"/>
      <c r="BYJ12" s="12"/>
      <c r="BYK12" s="11"/>
      <c r="BYN12" s="12"/>
      <c r="BYO12" s="11"/>
      <c r="BYR12" s="12"/>
      <c r="BYS12" s="11"/>
      <c r="BYV12" s="12"/>
      <c r="BYW12" s="11"/>
      <c r="BYZ12" s="12"/>
      <c r="BZA12" s="11"/>
      <c r="BZD12" s="12"/>
      <c r="BZE12" s="11"/>
      <c r="BZH12" s="12"/>
      <c r="BZI12" s="11"/>
      <c r="BZL12" s="12"/>
      <c r="BZM12" s="11"/>
      <c r="BZP12" s="12"/>
      <c r="BZQ12" s="11"/>
      <c r="BZT12" s="12"/>
      <c r="BZU12" s="11"/>
      <c r="BZX12" s="12"/>
      <c r="BZY12" s="11"/>
      <c r="CAB12" s="12"/>
      <c r="CAC12" s="11"/>
      <c r="CAF12" s="12"/>
      <c r="CAG12" s="11"/>
      <c r="CAJ12" s="12"/>
      <c r="CAK12" s="11"/>
      <c r="CAN12" s="12"/>
      <c r="CAO12" s="11"/>
      <c r="CAR12" s="12"/>
      <c r="CAS12" s="11"/>
      <c r="CAV12" s="12"/>
      <c r="CAW12" s="11"/>
      <c r="CAZ12" s="12"/>
      <c r="CBA12" s="11"/>
      <c r="CBD12" s="12"/>
      <c r="CBE12" s="11"/>
      <c r="CBH12" s="12"/>
      <c r="CBI12" s="11"/>
      <c r="CBL12" s="12"/>
      <c r="CBM12" s="11"/>
      <c r="CBP12" s="12"/>
      <c r="CBQ12" s="11"/>
      <c r="CBT12" s="12"/>
      <c r="CBU12" s="11"/>
      <c r="CBX12" s="12"/>
      <c r="CBY12" s="11"/>
      <c r="CCB12" s="12"/>
      <c r="CCC12" s="11"/>
      <c r="CCF12" s="12"/>
      <c r="CCG12" s="11"/>
      <c r="CCJ12" s="12"/>
      <c r="CCK12" s="11"/>
      <c r="CCN12" s="12"/>
      <c r="CCO12" s="11"/>
      <c r="CCR12" s="12"/>
      <c r="CCS12" s="11"/>
      <c r="CCV12" s="12"/>
      <c r="CCW12" s="11"/>
      <c r="CCZ12" s="12"/>
      <c r="CDA12" s="11"/>
      <c r="CDD12" s="12"/>
      <c r="CDE12" s="11"/>
      <c r="CDH12" s="12"/>
      <c r="CDI12" s="11"/>
      <c r="CDL12" s="12"/>
      <c r="CDM12" s="11"/>
      <c r="CDP12" s="12"/>
      <c r="CDQ12" s="11"/>
      <c r="CDT12" s="12"/>
      <c r="CDU12" s="11"/>
      <c r="CDX12" s="12"/>
      <c r="CDY12" s="11"/>
      <c r="CEB12" s="12"/>
      <c r="CEC12" s="11"/>
      <c r="CEF12" s="12"/>
      <c r="CEG12" s="11"/>
      <c r="CEJ12" s="12"/>
      <c r="CEK12" s="11"/>
      <c r="CEN12" s="12"/>
      <c r="CEO12" s="11"/>
      <c r="CER12" s="12"/>
      <c r="CES12" s="11"/>
      <c r="CEV12" s="12"/>
      <c r="CEW12" s="11"/>
      <c r="CEZ12" s="12"/>
      <c r="CFA12" s="11"/>
      <c r="CFD12" s="12"/>
      <c r="CFE12" s="11"/>
      <c r="CFH12" s="12"/>
      <c r="CFI12" s="11"/>
      <c r="CFL12" s="12"/>
      <c r="CFM12" s="11"/>
      <c r="CFP12" s="12"/>
      <c r="CFQ12" s="11"/>
      <c r="CFT12" s="12"/>
      <c r="CFU12" s="11"/>
      <c r="CFX12" s="12"/>
      <c r="CFY12" s="11"/>
      <c r="CGB12" s="12"/>
      <c r="CGC12" s="11"/>
      <c r="CGF12" s="12"/>
      <c r="CGG12" s="11"/>
      <c r="CGJ12" s="12"/>
      <c r="CGK12" s="11"/>
      <c r="CGN12" s="12"/>
      <c r="CGO12" s="11"/>
      <c r="CGR12" s="12"/>
      <c r="CGS12" s="11"/>
      <c r="CGV12" s="12"/>
      <c r="CGW12" s="11"/>
      <c r="CGZ12" s="12"/>
      <c r="CHA12" s="11"/>
      <c r="CHD12" s="12"/>
      <c r="CHE12" s="11"/>
      <c r="CHH12" s="12"/>
      <c r="CHI12" s="11"/>
      <c r="CHL12" s="12"/>
      <c r="CHM12" s="11"/>
      <c r="CHP12" s="12"/>
      <c r="CHQ12" s="11"/>
      <c r="CHT12" s="12"/>
      <c r="CHU12" s="11"/>
      <c r="CHX12" s="12"/>
      <c r="CHY12" s="11"/>
      <c r="CIB12" s="12"/>
      <c r="CIC12" s="11"/>
      <c r="CIF12" s="12"/>
      <c r="CIG12" s="11"/>
      <c r="CIJ12" s="12"/>
      <c r="CIK12" s="11"/>
      <c r="CIN12" s="12"/>
      <c r="CIO12" s="11"/>
      <c r="CIR12" s="12"/>
      <c r="CIS12" s="11"/>
      <c r="CIV12" s="12"/>
      <c r="CIW12" s="11"/>
      <c r="CIZ12" s="12"/>
      <c r="CJA12" s="11"/>
      <c r="CJD12" s="12"/>
      <c r="CJE12" s="11"/>
      <c r="CJH12" s="12"/>
      <c r="CJI12" s="11"/>
      <c r="CJL12" s="12"/>
      <c r="CJM12" s="11"/>
      <c r="CJP12" s="12"/>
      <c r="CJQ12" s="11"/>
      <c r="CJT12" s="12"/>
      <c r="CJU12" s="11"/>
      <c r="CJX12" s="12"/>
      <c r="CJY12" s="11"/>
      <c r="CKB12" s="12"/>
      <c r="CKC12" s="11"/>
      <c r="CKF12" s="12"/>
      <c r="CKG12" s="11"/>
      <c r="CKJ12" s="12"/>
      <c r="CKK12" s="11"/>
      <c r="CKN12" s="12"/>
      <c r="CKO12" s="11"/>
      <c r="CKR12" s="12"/>
      <c r="CKS12" s="11"/>
      <c r="CKV12" s="12"/>
      <c r="CKW12" s="11"/>
      <c r="CKZ12" s="12"/>
      <c r="CLA12" s="11"/>
      <c r="CLD12" s="12"/>
      <c r="CLE12" s="11"/>
      <c r="CLH12" s="12"/>
      <c r="CLI12" s="11"/>
      <c r="CLL12" s="12"/>
      <c r="CLM12" s="11"/>
      <c r="CLP12" s="12"/>
      <c r="CLQ12" s="11"/>
      <c r="CLT12" s="12"/>
      <c r="CLU12" s="11"/>
      <c r="CLX12" s="12"/>
      <c r="CLY12" s="11"/>
      <c r="CMB12" s="12"/>
      <c r="CMC12" s="11"/>
      <c r="CMF12" s="12"/>
      <c r="CMG12" s="11"/>
      <c r="CMJ12" s="12"/>
      <c r="CMK12" s="11"/>
      <c r="CMN12" s="12"/>
      <c r="CMO12" s="11"/>
      <c r="CMR12" s="12"/>
      <c r="CMS12" s="11"/>
      <c r="CMV12" s="12"/>
      <c r="CMW12" s="11"/>
      <c r="CMZ12" s="12"/>
      <c r="CNA12" s="11"/>
      <c r="CND12" s="12"/>
      <c r="CNE12" s="11"/>
      <c r="CNH12" s="12"/>
      <c r="CNI12" s="11"/>
      <c r="CNL12" s="12"/>
      <c r="CNM12" s="11"/>
      <c r="CNP12" s="12"/>
      <c r="CNQ12" s="11"/>
      <c r="CNT12" s="12"/>
      <c r="CNU12" s="11"/>
      <c r="CNX12" s="12"/>
      <c r="CNY12" s="11"/>
      <c r="COB12" s="12"/>
      <c r="COC12" s="11"/>
      <c r="COF12" s="12"/>
      <c r="COG12" s="11"/>
      <c r="COJ12" s="12"/>
      <c r="COK12" s="11"/>
      <c r="CON12" s="12"/>
      <c r="COO12" s="11"/>
      <c r="COR12" s="12"/>
      <c r="COS12" s="11"/>
      <c r="COV12" s="12"/>
      <c r="COW12" s="11"/>
      <c r="COZ12" s="12"/>
      <c r="CPA12" s="11"/>
      <c r="CPD12" s="12"/>
      <c r="CPE12" s="11"/>
      <c r="CPH12" s="12"/>
      <c r="CPI12" s="11"/>
      <c r="CPL12" s="12"/>
      <c r="CPM12" s="11"/>
      <c r="CPP12" s="12"/>
      <c r="CPQ12" s="11"/>
      <c r="CPT12" s="12"/>
      <c r="CPU12" s="11"/>
      <c r="CPX12" s="12"/>
      <c r="CPY12" s="11"/>
      <c r="CQB12" s="12"/>
      <c r="CQC12" s="11"/>
      <c r="CQF12" s="12"/>
      <c r="CQG12" s="11"/>
      <c r="CQJ12" s="12"/>
      <c r="CQK12" s="11"/>
      <c r="CQN12" s="12"/>
      <c r="CQO12" s="11"/>
      <c r="CQR12" s="12"/>
      <c r="CQS12" s="11"/>
      <c r="CQV12" s="12"/>
      <c r="CQW12" s="11"/>
      <c r="CQZ12" s="12"/>
      <c r="CRA12" s="11"/>
      <c r="CRD12" s="12"/>
      <c r="CRE12" s="11"/>
      <c r="CRH12" s="12"/>
      <c r="CRI12" s="11"/>
      <c r="CRL12" s="12"/>
      <c r="CRM12" s="11"/>
      <c r="CRP12" s="12"/>
      <c r="CRQ12" s="11"/>
      <c r="CRT12" s="12"/>
      <c r="CRU12" s="11"/>
      <c r="CRX12" s="12"/>
      <c r="CRY12" s="11"/>
      <c r="CSB12" s="12"/>
      <c r="CSC12" s="11"/>
      <c r="CSF12" s="12"/>
      <c r="CSG12" s="11"/>
      <c r="CSJ12" s="12"/>
      <c r="CSK12" s="11"/>
      <c r="CSN12" s="12"/>
      <c r="CSO12" s="11"/>
      <c r="CSR12" s="12"/>
      <c r="CSS12" s="11"/>
      <c r="CSV12" s="12"/>
      <c r="CSW12" s="11"/>
      <c r="CSZ12" s="12"/>
      <c r="CTA12" s="11"/>
      <c r="CTD12" s="12"/>
      <c r="CTE12" s="11"/>
      <c r="CTH12" s="12"/>
      <c r="CTI12" s="11"/>
      <c r="CTL12" s="12"/>
      <c r="CTM12" s="11"/>
      <c r="CTP12" s="12"/>
      <c r="CTQ12" s="11"/>
      <c r="CTT12" s="12"/>
      <c r="CTU12" s="11"/>
      <c r="CTX12" s="12"/>
      <c r="CTY12" s="11"/>
      <c r="CUB12" s="12"/>
      <c r="CUC12" s="11"/>
      <c r="CUF12" s="12"/>
      <c r="CUG12" s="11"/>
      <c r="CUJ12" s="12"/>
      <c r="CUK12" s="11"/>
      <c r="CUN12" s="12"/>
      <c r="CUO12" s="11"/>
      <c r="CUR12" s="12"/>
      <c r="CUS12" s="11"/>
      <c r="CUV12" s="12"/>
      <c r="CUW12" s="11"/>
      <c r="CUZ12" s="12"/>
      <c r="CVA12" s="11"/>
      <c r="CVD12" s="12"/>
      <c r="CVE12" s="11"/>
      <c r="CVH12" s="12"/>
      <c r="CVI12" s="11"/>
      <c r="CVL12" s="12"/>
      <c r="CVM12" s="11"/>
      <c r="CVP12" s="12"/>
      <c r="CVQ12" s="11"/>
      <c r="CVT12" s="12"/>
      <c r="CVU12" s="11"/>
      <c r="CVX12" s="12"/>
      <c r="CVY12" s="11"/>
      <c r="CWB12" s="12"/>
      <c r="CWC12" s="11"/>
      <c r="CWF12" s="12"/>
      <c r="CWG12" s="11"/>
      <c r="CWJ12" s="12"/>
      <c r="CWK12" s="11"/>
      <c r="CWN12" s="12"/>
      <c r="CWO12" s="11"/>
      <c r="CWR12" s="12"/>
      <c r="CWS12" s="11"/>
      <c r="CWV12" s="12"/>
      <c r="CWW12" s="11"/>
      <c r="CWZ12" s="12"/>
      <c r="CXA12" s="11"/>
      <c r="CXD12" s="12"/>
      <c r="CXE12" s="11"/>
      <c r="CXH12" s="12"/>
      <c r="CXI12" s="11"/>
      <c r="CXL12" s="12"/>
      <c r="CXM12" s="11"/>
      <c r="CXP12" s="12"/>
      <c r="CXQ12" s="11"/>
      <c r="CXT12" s="12"/>
      <c r="CXU12" s="11"/>
      <c r="CXX12" s="12"/>
      <c r="CXY12" s="11"/>
      <c r="CYB12" s="12"/>
      <c r="CYC12" s="11"/>
      <c r="CYF12" s="12"/>
      <c r="CYG12" s="11"/>
      <c r="CYJ12" s="12"/>
      <c r="CYK12" s="11"/>
      <c r="CYN12" s="12"/>
      <c r="CYO12" s="11"/>
      <c r="CYR12" s="12"/>
      <c r="CYS12" s="11"/>
      <c r="CYV12" s="12"/>
      <c r="CYW12" s="11"/>
      <c r="CYZ12" s="12"/>
      <c r="CZA12" s="11"/>
      <c r="CZD12" s="12"/>
      <c r="CZE12" s="11"/>
      <c r="CZH12" s="12"/>
      <c r="CZI12" s="11"/>
      <c r="CZL12" s="12"/>
      <c r="CZM12" s="11"/>
      <c r="CZP12" s="12"/>
      <c r="CZQ12" s="11"/>
      <c r="CZT12" s="12"/>
      <c r="CZU12" s="11"/>
      <c r="CZX12" s="12"/>
      <c r="CZY12" s="11"/>
      <c r="DAB12" s="12"/>
      <c r="DAC12" s="11"/>
      <c r="DAF12" s="12"/>
      <c r="DAG12" s="11"/>
      <c r="DAJ12" s="12"/>
      <c r="DAK12" s="11"/>
      <c r="DAN12" s="12"/>
      <c r="DAO12" s="11"/>
      <c r="DAR12" s="12"/>
      <c r="DAS12" s="11"/>
      <c r="DAV12" s="12"/>
      <c r="DAW12" s="11"/>
      <c r="DAZ12" s="12"/>
      <c r="DBA12" s="11"/>
      <c r="DBD12" s="12"/>
      <c r="DBE12" s="11"/>
      <c r="DBH12" s="12"/>
      <c r="DBI12" s="11"/>
      <c r="DBL12" s="12"/>
      <c r="DBM12" s="11"/>
      <c r="DBP12" s="12"/>
      <c r="DBQ12" s="11"/>
      <c r="DBT12" s="12"/>
      <c r="DBU12" s="11"/>
      <c r="DBX12" s="12"/>
      <c r="DBY12" s="11"/>
      <c r="DCB12" s="12"/>
      <c r="DCC12" s="11"/>
      <c r="DCF12" s="12"/>
      <c r="DCG12" s="11"/>
      <c r="DCJ12" s="12"/>
      <c r="DCK12" s="11"/>
      <c r="DCN12" s="12"/>
      <c r="DCO12" s="11"/>
      <c r="DCR12" s="12"/>
      <c r="DCS12" s="11"/>
      <c r="DCV12" s="12"/>
      <c r="DCW12" s="11"/>
      <c r="DCZ12" s="12"/>
      <c r="DDA12" s="11"/>
      <c r="DDD12" s="12"/>
      <c r="DDE12" s="11"/>
      <c r="DDH12" s="12"/>
      <c r="DDI12" s="11"/>
      <c r="DDL12" s="12"/>
      <c r="DDM12" s="11"/>
      <c r="DDP12" s="12"/>
      <c r="DDQ12" s="11"/>
      <c r="DDT12" s="12"/>
      <c r="DDU12" s="11"/>
      <c r="DDX12" s="12"/>
      <c r="DDY12" s="11"/>
      <c r="DEB12" s="12"/>
      <c r="DEC12" s="11"/>
      <c r="DEF12" s="12"/>
      <c r="DEG12" s="11"/>
      <c r="DEJ12" s="12"/>
      <c r="DEK12" s="11"/>
      <c r="DEN12" s="12"/>
      <c r="DEO12" s="11"/>
      <c r="DER12" s="12"/>
      <c r="DES12" s="11"/>
      <c r="DEV12" s="12"/>
      <c r="DEW12" s="11"/>
      <c r="DEZ12" s="12"/>
      <c r="DFA12" s="11"/>
      <c r="DFD12" s="12"/>
      <c r="DFE12" s="11"/>
      <c r="DFH12" s="12"/>
      <c r="DFI12" s="11"/>
      <c r="DFL12" s="12"/>
      <c r="DFM12" s="11"/>
      <c r="DFP12" s="12"/>
      <c r="DFQ12" s="11"/>
      <c r="DFT12" s="12"/>
      <c r="DFU12" s="11"/>
      <c r="DFX12" s="12"/>
      <c r="DFY12" s="11"/>
      <c r="DGB12" s="12"/>
      <c r="DGC12" s="11"/>
      <c r="DGF12" s="12"/>
      <c r="DGG12" s="11"/>
      <c r="DGJ12" s="12"/>
      <c r="DGK12" s="11"/>
      <c r="DGN12" s="12"/>
      <c r="DGO12" s="11"/>
      <c r="DGR12" s="12"/>
      <c r="DGS12" s="11"/>
      <c r="DGV12" s="12"/>
      <c r="DGW12" s="11"/>
      <c r="DGZ12" s="12"/>
      <c r="DHA12" s="11"/>
      <c r="DHD12" s="12"/>
      <c r="DHE12" s="11"/>
      <c r="DHH12" s="12"/>
      <c r="DHI12" s="11"/>
      <c r="DHL12" s="12"/>
      <c r="DHM12" s="11"/>
      <c r="DHP12" s="12"/>
      <c r="DHQ12" s="11"/>
      <c r="DHT12" s="12"/>
      <c r="DHU12" s="11"/>
      <c r="DHX12" s="12"/>
      <c r="DHY12" s="11"/>
      <c r="DIB12" s="12"/>
      <c r="DIC12" s="11"/>
      <c r="DIF12" s="12"/>
      <c r="DIG12" s="11"/>
      <c r="DIJ12" s="12"/>
      <c r="DIK12" s="11"/>
      <c r="DIN12" s="12"/>
      <c r="DIO12" s="11"/>
      <c r="DIR12" s="12"/>
      <c r="DIS12" s="11"/>
      <c r="DIV12" s="12"/>
      <c r="DIW12" s="11"/>
      <c r="DIZ12" s="12"/>
      <c r="DJA12" s="11"/>
      <c r="DJD12" s="12"/>
      <c r="DJE12" s="11"/>
      <c r="DJH12" s="12"/>
      <c r="DJI12" s="11"/>
      <c r="DJL12" s="12"/>
      <c r="DJM12" s="11"/>
      <c r="DJP12" s="12"/>
      <c r="DJQ12" s="11"/>
      <c r="DJT12" s="12"/>
      <c r="DJU12" s="11"/>
      <c r="DJX12" s="12"/>
      <c r="DJY12" s="11"/>
      <c r="DKB12" s="12"/>
      <c r="DKC12" s="11"/>
      <c r="DKF12" s="12"/>
      <c r="DKG12" s="11"/>
      <c r="DKJ12" s="12"/>
      <c r="DKK12" s="11"/>
      <c r="DKN12" s="12"/>
      <c r="DKO12" s="11"/>
      <c r="DKR12" s="12"/>
      <c r="DKS12" s="11"/>
      <c r="DKV12" s="12"/>
      <c r="DKW12" s="11"/>
      <c r="DKZ12" s="12"/>
      <c r="DLA12" s="11"/>
      <c r="DLD12" s="12"/>
      <c r="DLE12" s="11"/>
      <c r="DLH12" s="12"/>
      <c r="DLI12" s="11"/>
      <c r="DLL12" s="12"/>
      <c r="DLM12" s="11"/>
      <c r="DLP12" s="12"/>
      <c r="DLQ12" s="11"/>
      <c r="DLT12" s="12"/>
      <c r="DLU12" s="11"/>
      <c r="DLX12" s="12"/>
      <c r="DLY12" s="11"/>
      <c r="DMB12" s="12"/>
      <c r="DMC12" s="11"/>
      <c r="DMF12" s="12"/>
      <c r="DMG12" s="11"/>
      <c r="DMJ12" s="12"/>
      <c r="DMK12" s="11"/>
      <c r="DMN12" s="12"/>
      <c r="DMO12" s="11"/>
      <c r="DMR12" s="12"/>
      <c r="DMS12" s="11"/>
      <c r="DMV12" s="12"/>
      <c r="DMW12" s="11"/>
      <c r="DMZ12" s="12"/>
      <c r="DNA12" s="11"/>
      <c r="DND12" s="12"/>
      <c r="DNE12" s="11"/>
      <c r="DNH12" s="12"/>
      <c r="DNI12" s="11"/>
      <c r="DNL12" s="12"/>
      <c r="DNM12" s="11"/>
      <c r="DNP12" s="12"/>
      <c r="DNQ12" s="11"/>
      <c r="DNT12" s="12"/>
      <c r="DNU12" s="11"/>
      <c r="DNX12" s="12"/>
      <c r="DNY12" s="11"/>
      <c r="DOB12" s="12"/>
      <c r="DOC12" s="11"/>
      <c r="DOF12" s="12"/>
      <c r="DOG12" s="11"/>
      <c r="DOJ12" s="12"/>
      <c r="DOK12" s="11"/>
      <c r="DON12" s="12"/>
      <c r="DOO12" s="11"/>
      <c r="DOR12" s="12"/>
      <c r="DOS12" s="11"/>
      <c r="DOV12" s="12"/>
      <c r="DOW12" s="11"/>
      <c r="DOZ12" s="12"/>
      <c r="DPA12" s="11"/>
      <c r="DPD12" s="12"/>
      <c r="DPE12" s="11"/>
      <c r="DPH12" s="12"/>
      <c r="DPI12" s="11"/>
      <c r="DPL12" s="12"/>
      <c r="DPM12" s="11"/>
      <c r="DPP12" s="12"/>
      <c r="DPQ12" s="11"/>
      <c r="DPT12" s="12"/>
      <c r="DPU12" s="11"/>
      <c r="DPX12" s="12"/>
      <c r="DPY12" s="11"/>
      <c r="DQB12" s="12"/>
      <c r="DQC12" s="11"/>
      <c r="DQF12" s="12"/>
      <c r="DQG12" s="11"/>
      <c r="DQJ12" s="12"/>
      <c r="DQK12" s="11"/>
      <c r="DQN12" s="12"/>
      <c r="DQO12" s="11"/>
      <c r="DQR12" s="12"/>
      <c r="DQS12" s="11"/>
      <c r="DQV12" s="12"/>
      <c r="DQW12" s="11"/>
      <c r="DQZ12" s="12"/>
      <c r="DRA12" s="11"/>
      <c r="DRD12" s="12"/>
      <c r="DRE12" s="11"/>
      <c r="DRH12" s="12"/>
      <c r="DRI12" s="11"/>
      <c r="DRL12" s="12"/>
      <c r="DRM12" s="11"/>
      <c r="DRP12" s="12"/>
      <c r="DRQ12" s="11"/>
      <c r="DRT12" s="12"/>
      <c r="DRU12" s="11"/>
      <c r="DRX12" s="12"/>
      <c r="DRY12" s="11"/>
      <c r="DSB12" s="12"/>
      <c r="DSC12" s="11"/>
      <c r="DSF12" s="12"/>
      <c r="DSG12" s="11"/>
      <c r="DSJ12" s="12"/>
      <c r="DSK12" s="11"/>
      <c r="DSN12" s="12"/>
      <c r="DSO12" s="11"/>
      <c r="DSR12" s="12"/>
      <c r="DSS12" s="11"/>
      <c r="DSV12" s="12"/>
      <c r="DSW12" s="11"/>
      <c r="DSZ12" s="12"/>
      <c r="DTA12" s="11"/>
      <c r="DTD12" s="12"/>
      <c r="DTE12" s="11"/>
      <c r="DTH12" s="12"/>
      <c r="DTI12" s="11"/>
      <c r="DTL12" s="12"/>
      <c r="DTM12" s="11"/>
      <c r="DTP12" s="12"/>
      <c r="DTQ12" s="11"/>
      <c r="DTT12" s="12"/>
      <c r="DTU12" s="11"/>
      <c r="DTX12" s="12"/>
      <c r="DTY12" s="11"/>
      <c r="DUB12" s="12"/>
      <c r="DUC12" s="11"/>
      <c r="DUF12" s="12"/>
      <c r="DUG12" s="11"/>
      <c r="DUJ12" s="12"/>
      <c r="DUK12" s="11"/>
      <c r="DUN12" s="12"/>
      <c r="DUO12" s="11"/>
      <c r="DUR12" s="12"/>
      <c r="DUS12" s="11"/>
      <c r="DUV12" s="12"/>
      <c r="DUW12" s="11"/>
      <c r="DUZ12" s="12"/>
      <c r="DVA12" s="11"/>
      <c r="DVD12" s="12"/>
      <c r="DVE12" s="11"/>
      <c r="DVH12" s="12"/>
      <c r="DVI12" s="11"/>
      <c r="DVL12" s="12"/>
      <c r="DVM12" s="11"/>
      <c r="DVP12" s="12"/>
      <c r="DVQ12" s="11"/>
      <c r="DVT12" s="12"/>
      <c r="DVU12" s="11"/>
      <c r="DVX12" s="12"/>
      <c r="DVY12" s="11"/>
      <c r="DWB12" s="12"/>
      <c r="DWC12" s="11"/>
      <c r="DWF12" s="12"/>
      <c r="DWG12" s="11"/>
      <c r="DWJ12" s="12"/>
      <c r="DWK12" s="11"/>
      <c r="DWN12" s="12"/>
      <c r="DWO12" s="11"/>
      <c r="DWR12" s="12"/>
      <c r="DWS12" s="11"/>
      <c r="DWV12" s="12"/>
      <c r="DWW12" s="11"/>
      <c r="DWZ12" s="12"/>
      <c r="DXA12" s="11"/>
      <c r="DXD12" s="12"/>
      <c r="DXE12" s="11"/>
      <c r="DXH12" s="12"/>
      <c r="DXI12" s="11"/>
      <c r="DXL12" s="12"/>
      <c r="DXM12" s="11"/>
      <c r="DXP12" s="12"/>
      <c r="DXQ12" s="11"/>
      <c r="DXT12" s="12"/>
      <c r="DXU12" s="11"/>
      <c r="DXX12" s="12"/>
      <c r="DXY12" s="11"/>
      <c r="DYB12" s="12"/>
      <c r="DYC12" s="11"/>
      <c r="DYF12" s="12"/>
      <c r="DYG12" s="11"/>
      <c r="DYJ12" s="12"/>
      <c r="DYK12" s="11"/>
      <c r="DYN12" s="12"/>
      <c r="DYO12" s="11"/>
      <c r="DYR12" s="12"/>
      <c r="DYS12" s="11"/>
      <c r="DYV12" s="12"/>
      <c r="DYW12" s="11"/>
      <c r="DYZ12" s="12"/>
      <c r="DZA12" s="11"/>
      <c r="DZD12" s="12"/>
      <c r="DZE12" s="11"/>
      <c r="DZH12" s="12"/>
      <c r="DZI12" s="11"/>
      <c r="DZL12" s="12"/>
      <c r="DZM12" s="11"/>
      <c r="DZP12" s="12"/>
      <c r="DZQ12" s="11"/>
      <c r="DZT12" s="12"/>
      <c r="DZU12" s="11"/>
      <c r="DZX12" s="12"/>
      <c r="DZY12" s="11"/>
      <c r="EAB12" s="12"/>
      <c r="EAC12" s="11"/>
      <c r="EAF12" s="12"/>
      <c r="EAG12" s="11"/>
      <c r="EAJ12" s="12"/>
      <c r="EAK12" s="11"/>
      <c r="EAN12" s="12"/>
      <c r="EAO12" s="11"/>
      <c r="EAR12" s="12"/>
      <c r="EAS12" s="11"/>
      <c r="EAV12" s="12"/>
      <c r="EAW12" s="11"/>
      <c r="EAZ12" s="12"/>
      <c r="EBA12" s="11"/>
      <c r="EBD12" s="12"/>
      <c r="EBE12" s="11"/>
      <c r="EBH12" s="12"/>
      <c r="EBI12" s="11"/>
      <c r="EBL12" s="12"/>
      <c r="EBM12" s="11"/>
      <c r="EBP12" s="12"/>
      <c r="EBQ12" s="11"/>
      <c r="EBT12" s="12"/>
      <c r="EBU12" s="11"/>
      <c r="EBX12" s="12"/>
      <c r="EBY12" s="11"/>
      <c r="ECB12" s="12"/>
      <c r="ECC12" s="11"/>
      <c r="ECF12" s="12"/>
      <c r="ECG12" s="11"/>
      <c r="ECJ12" s="12"/>
      <c r="ECK12" s="11"/>
      <c r="ECN12" s="12"/>
      <c r="ECO12" s="11"/>
      <c r="ECR12" s="12"/>
      <c r="ECS12" s="11"/>
      <c r="ECV12" s="12"/>
      <c r="ECW12" s="11"/>
      <c r="ECZ12" s="12"/>
      <c r="EDA12" s="11"/>
      <c r="EDD12" s="12"/>
      <c r="EDE12" s="11"/>
      <c r="EDH12" s="12"/>
      <c r="EDI12" s="11"/>
      <c r="EDL12" s="12"/>
      <c r="EDM12" s="11"/>
      <c r="EDP12" s="12"/>
      <c r="EDQ12" s="11"/>
      <c r="EDT12" s="12"/>
      <c r="EDU12" s="11"/>
      <c r="EDX12" s="12"/>
      <c r="EDY12" s="11"/>
      <c r="EEB12" s="12"/>
      <c r="EEC12" s="11"/>
      <c r="EEF12" s="12"/>
      <c r="EEG12" s="11"/>
      <c r="EEJ12" s="12"/>
      <c r="EEK12" s="11"/>
      <c r="EEN12" s="12"/>
      <c r="EEO12" s="11"/>
      <c r="EER12" s="12"/>
      <c r="EES12" s="11"/>
      <c r="EEV12" s="12"/>
      <c r="EEW12" s="11"/>
      <c r="EEZ12" s="12"/>
      <c r="EFA12" s="11"/>
      <c r="EFD12" s="12"/>
      <c r="EFE12" s="11"/>
      <c r="EFH12" s="12"/>
      <c r="EFI12" s="11"/>
      <c r="EFL12" s="12"/>
      <c r="EFM12" s="11"/>
      <c r="EFP12" s="12"/>
      <c r="EFQ12" s="11"/>
      <c r="EFT12" s="12"/>
      <c r="EFU12" s="11"/>
      <c r="EFX12" s="12"/>
      <c r="EFY12" s="11"/>
      <c r="EGB12" s="12"/>
      <c r="EGC12" s="11"/>
      <c r="EGF12" s="12"/>
      <c r="EGG12" s="11"/>
      <c r="EGJ12" s="12"/>
      <c r="EGK12" s="11"/>
      <c r="EGN12" s="12"/>
      <c r="EGO12" s="11"/>
      <c r="EGR12" s="12"/>
      <c r="EGS12" s="11"/>
      <c r="EGV12" s="12"/>
      <c r="EGW12" s="11"/>
      <c r="EGZ12" s="12"/>
      <c r="EHA12" s="11"/>
      <c r="EHD12" s="12"/>
      <c r="EHE12" s="11"/>
      <c r="EHH12" s="12"/>
      <c r="EHI12" s="11"/>
      <c r="EHL12" s="12"/>
      <c r="EHM12" s="11"/>
      <c r="EHP12" s="12"/>
      <c r="EHQ12" s="11"/>
      <c r="EHT12" s="12"/>
      <c r="EHU12" s="11"/>
      <c r="EHX12" s="12"/>
      <c r="EHY12" s="11"/>
      <c r="EIB12" s="12"/>
      <c r="EIC12" s="11"/>
      <c r="EIF12" s="12"/>
      <c r="EIG12" s="11"/>
      <c r="EIJ12" s="12"/>
      <c r="EIK12" s="11"/>
      <c r="EIN12" s="12"/>
      <c r="EIO12" s="11"/>
      <c r="EIR12" s="12"/>
      <c r="EIS12" s="11"/>
      <c r="EIV12" s="12"/>
      <c r="EIW12" s="11"/>
      <c r="EIZ12" s="12"/>
      <c r="EJA12" s="11"/>
      <c r="EJD12" s="12"/>
      <c r="EJE12" s="11"/>
      <c r="EJH12" s="12"/>
      <c r="EJI12" s="11"/>
      <c r="EJL12" s="12"/>
      <c r="EJM12" s="11"/>
      <c r="EJP12" s="12"/>
      <c r="EJQ12" s="11"/>
      <c r="EJT12" s="12"/>
      <c r="EJU12" s="11"/>
      <c r="EJX12" s="12"/>
      <c r="EJY12" s="11"/>
      <c r="EKB12" s="12"/>
      <c r="EKC12" s="11"/>
      <c r="EKF12" s="12"/>
      <c r="EKG12" s="11"/>
      <c r="EKJ12" s="12"/>
      <c r="EKK12" s="11"/>
      <c r="EKN12" s="12"/>
      <c r="EKO12" s="11"/>
      <c r="EKR12" s="12"/>
      <c r="EKS12" s="11"/>
      <c r="EKV12" s="12"/>
      <c r="EKW12" s="11"/>
      <c r="EKZ12" s="12"/>
      <c r="ELA12" s="11"/>
      <c r="ELD12" s="12"/>
      <c r="ELE12" s="11"/>
      <c r="ELH12" s="12"/>
      <c r="ELI12" s="11"/>
      <c r="ELL12" s="12"/>
      <c r="ELM12" s="11"/>
      <c r="ELP12" s="12"/>
      <c r="ELQ12" s="11"/>
      <c r="ELT12" s="12"/>
      <c r="ELU12" s="11"/>
      <c r="ELX12" s="12"/>
      <c r="ELY12" s="11"/>
      <c r="EMB12" s="12"/>
      <c r="EMC12" s="11"/>
      <c r="EMF12" s="12"/>
      <c r="EMG12" s="11"/>
      <c r="EMJ12" s="12"/>
      <c r="EMK12" s="11"/>
      <c r="EMN12" s="12"/>
      <c r="EMO12" s="11"/>
      <c r="EMR12" s="12"/>
      <c r="EMS12" s="11"/>
      <c r="EMV12" s="12"/>
      <c r="EMW12" s="11"/>
      <c r="EMZ12" s="12"/>
      <c r="ENA12" s="11"/>
      <c r="END12" s="12"/>
      <c r="ENE12" s="11"/>
      <c r="ENH12" s="12"/>
      <c r="ENI12" s="11"/>
      <c r="ENL12" s="12"/>
      <c r="ENM12" s="11"/>
      <c r="ENP12" s="12"/>
      <c r="ENQ12" s="11"/>
      <c r="ENT12" s="12"/>
      <c r="ENU12" s="11"/>
      <c r="ENX12" s="12"/>
      <c r="ENY12" s="11"/>
      <c r="EOB12" s="12"/>
      <c r="EOC12" s="11"/>
      <c r="EOF12" s="12"/>
      <c r="EOG12" s="11"/>
      <c r="EOJ12" s="12"/>
      <c r="EOK12" s="11"/>
      <c r="EON12" s="12"/>
      <c r="EOO12" s="11"/>
      <c r="EOR12" s="12"/>
      <c r="EOS12" s="11"/>
      <c r="EOV12" s="12"/>
      <c r="EOW12" s="11"/>
      <c r="EOZ12" s="12"/>
      <c r="EPA12" s="11"/>
      <c r="EPD12" s="12"/>
      <c r="EPE12" s="11"/>
      <c r="EPH12" s="12"/>
      <c r="EPI12" s="11"/>
      <c r="EPL12" s="12"/>
      <c r="EPM12" s="11"/>
      <c r="EPP12" s="12"/>
      <c r="EPQ12" s="11"/>
      <c r="EPT12" s="12"/>
      <c r="EPU12" s="11"/>
      <c r="EPX12" s="12"/>
      <c r="EPY12" s="11"/>
      <c r="EQB12" s="12"/>
      <c r="EQC12" s="11"/>
      <c r="EQF12" s="12"/>
      <c r="EQG12" s="11"/>
      <c r="EQJ12" s="12"/>
      <c r="EQK12" s="11"/>
      <c r="EQN12" s="12"/>
      <c r="EQO12" s="11"/>
      <c r="EQR12" s="12"/>
      <c r="EQS12" s="11"/>
      <c r="EQV12" s="12"/>
      <c r="EQW12" s="11"/>
      <c r="EQZ12" s="12"/>
      <c r="ERA12" s="11"/>
      <c r="ERD12" s="12"/>
      <c r="ERE12" s="11"/>
      <c r="ERH12" s="12"/>
      <c r="ERI12" s="11"/>
      <c r="ERL12" s="12"/>
      <c r="ERM12" s="11"/>
      <c r="ERP12" s="12"/>
      <c r="ERQ12" s="11"/>
      <c r="ERT12" s="12"/>
      <c r="ERU12" s="11"/>
      <c r="ERX12" s="12"/>
      <c r="ERY12" s="11"/>
      <c r="ESB12" s="12"/>
      <c r="ESC12" s="11"/>
      <c r="ESF12" s="12"/>
      <c r="ESG12" s="11"/>
      <c r="ESJ12" s="12"/>
      <c r="ESK12" s="11"/>
      <c r="ESN12" s="12"/>
      <c r="ESO12" s="11"/>
      <c r="ESR12" s="12"/>
      <c r="ESS12" s="11"/>
      <c r="ESV12" s="12"/>
      <c r="ESW12" s="11"/>
      <c r="ESZ12" s="12"/>
      <c r="ETA12" s="11"/>
      <c r="ETD12" s="12"/>
      <c r="ETE12" s="11"/>
      <c r="ETH12" s="12"/>
      <c r="ETI12" s="11"/>
      <c r="ETL12" s="12"/>
      <c r="ETM12" s="11"/>
      <c r="ETP12" s="12"/>
      <c r="ETQ12" s="11"/>
      <c r="ETT12" s="12"/>
      <c r="ETU12" s="11"/>
      <c r="ETX12" s="12"/>
      <c r="ETY12" s="11"/>
      <c r="EUB12" s="12"/>
      <c r="EUC12" s="11"/>
      <c r="EUF12" s="12"/>
      <c r="EUG12" s="11"/>
      <c r="EUJ12" s="12"/>
      <c r="EUK12" s="11"/>
      <c r="EUN12" s="12"/>
      <c r="EUO12" s="11"/>
      <c r="EUR12" s="12"/>
      <c r="EUS12" s="11"/>
      <c r="EUV12" s="12"/>
      <c r="EUW12" s="11"/>
      <c r="EUZ12" s="12"/>
      <c r="EVA12" s="11"/>
      <c r="EVD12" s="12"/>
      <c r="EVE12" s="11"/>
      <c r="EVH12" s="12"/>
      <c r="EVI12" s="11"/>
      <c r="EVL12" s="12"/>
      <c r="EVM12" s="11"/>
      <c r="EVP12" s="12"/>
      <c r="EVQ12" s="11"/>
      <c r="EVT12" s="12"/>
      <c r="EVU12" s="11"/>
      <c r="EVX12" s="12"/>
      <c r="EVY12" s="11"/>
      <c r="EWB12" s="12"/>
      <c r="EWC12" s="11"/>
      <c r="EWF12" s="12"/>
      <c r="EWG12" s="11"/>
      <c r="EWJ12" s="12"/>
      <c r="EWK12" s="11"/>
      <c r="EWN12" s="12"/>
      <c r="EWO12" s="11"/>
      <c r="EWR12" s="12"/>
      <c r="EWS12" s="11"/>
      <c r="EWV12" s="12"/>
      <c r="EWW12" s="11"/>
      <c r="EWZ12" s="12"/>
      <c r="EXA12" s="11"/>
      <c r="EXD12" s="12"/>
      <c r="EXE12" s="11"/>
      <c r="EXH12" s="12"/>
      <c r="EXI12" s="11"/>
      <c r="EXL12" s="12"/>
      <c r="EXM12" s="11"/>
      <c r="EXP12" s="12"/>
      <c r="EXQ12" s="11"/>
      <c r="EXT12" s="12"/>
      <c r="EXU12" s="11"/>
      <c r="EXX12" s="12"/>
      <c r="EXY12" s="11"/>
      <c r="EYB12" s="12"/>
      <c r="EYC12" s="11"/>
      <c r="EYF12" s="12"/>
      <c r="EYG12" s="11"/>
      <c r="EYJ12" s="12"/>
      <c r="EYK12" s="11"/>
      <c r="EYN12" s="12"/>
      <c r="EYO12" s="11"/>
      <c r="EYR12" s="12"/>
      <c r="EYS12" s="11"/>
      <c r="EYV12" s="12"/>
      <c r="EYW12" s="11"/>
      <c r="EYZ12" s="12"/>
      <c r="EZA12" s="11"/>
      <c r="EZD12" s="12"/>
      <c r="EZE12" s="11"/>
      <c r="EZH12" s="12"/>
      <c r="EZI12" s="11"/>
      <c r="EZL12" s="12"/>
      <c r="EZM12" s="11"/>
      <c r="EZP12" s="12"/>
      <c r="EZQ12" s="11"/>
      <c r="EZT12" s="12"/>
      <c r="EZU12" s="11"/>
      <c r="EZX12" s="12"/>
      <c r="EZY12" s="11"/>
      <c r="FAB12" s="12"/>
      <c r="FAC12" s="11"/>
      <c r="FAF12" s="12"/>
      <c r="FAG12" s="11"/>
      <c r="FAJ12" s="12"/>
      <c r="FAK12" s="11"/>
      <c r="FAN12" s="12"/>
      <c r="FAO12" s="11"/>
      <c r="FAR12" s="12"/>
      <c r="FAS12" s="11"/>
      <c r="FAV12" s="12"/>
      <c r="FAW12" s="11"/>
      <c r="FAZ12" s="12"/>
      <c r="FBA12" s="11"/>
      <c r="FBD12" s="12"/>
      <c r="FBE12" s="11"/>
      <c r="FBH12" s="12"/>
      <c r="FBI12" s="11"/>
      <c r="FBL12" s="12"/>
      <c r="FBM12" s="11"/>
      <c r="FBP12" s="12"/>
      <c r="FBQ12" s="11"/>
      <c r="FBT12" s="12"/>
      <c r="FBU12" s="11"/>
      <c r="FBX12" s="12"/>
      <c r="FBY12" s="11"/>
      <c r="FCB12" s="12"/>
      <c r="FCC12" s="11"/>
      <c r="FCF12" s="12"/>
      <c r="FCG12" s="11"/>
      <c r="FCJ12" s="12"/>
      <c r="FCK12" s="11"/>
      <c r="FCN12" s="12"/>
      <c r="FCO12" s="11"/>
      <c r="FCR12" s="12"/>
      <c r="FCS12" s="11"/>
      <c r="FCV12" s="12"/>
      <c r="FCW12" s="11"/>
      <c r="FCZ12" s="12"/>
      <c r="FDA12" s="11"/>
      <c r="FDD12" s="12"/>
      <c r="FDE12" s="11"/>
      <c r="FDH12" s="12"/>
      <c r="FDI12" s="11"/>
      <c r="FDL12" s="12"/>
      <c r="FDM12" s="11"/>
      <c r="FDP12" s="12"/>
      <c r="FDQ12" s="11"/>
      <c r="FDT12" s="12"/>
      <c r="FDU12" s="11"/>
      <c r="FDX12" s="12"/>
      <c r="FDY12" s="11"/>
      <c r="FEB12" s="12"/>
      <c r="FEC12" s="11"/>
      <c r="FEF12" s="12"/>
      <c r="FEG12" s="11"/>
      <c r="FEJ12" s="12"/>
      <c r="FEK12" s="11"/>
      <c r="FEN12" s="12"/>
      <c r="FEO12" s="11"/>
      <c r="FER12" s="12"/>
      <c r="FES12" s="11"/>
      <c r="FEV12" s="12"/>
      <c r="FEW12" s="11"/>
      <c r="FEZ12" s="12"/>
      <c r="FFA12" s="11"/>
      <c r="FFD12" s="12"/>
      <c r="FFE12" s="11"/>
      <c r="FFH12" s="12"/>
      <c r="FFI12" s="11"/>
      <c r="FFL12" s="12"/>
      <c r="FFM12" s="11"/>
      <c r="FFP12" s="12"/>
      <c r="FFQ12" s="11"/>
      <c r="FFT12" s="12"/>
      <c r="FFU12" s="11"/>
      <c r="FFX12" s="12"/>
      <c r="FFY12" s="11"/>
      <c r="FGB12" s="12"/>
      <c r="FGC12" s="11"/>
      <c r="FGF12" s="12"/>
      <c r="FGG12" s="11"/>
      <c r="FGJ12" s="12"/>
      <c r="FGK12" s="11"/>
      <c r="FGN12" s="12"/>
      <c r="FGO12" s="11"/>
      <c r="FGR12" s="12"/>
      <c r="FGS12" s="11"/>
      <c r="FGV12" s="12"/>
      <c r="FGW12" s="11"/>
      <c r="FGZ12" s="12"/>
      <c r="FHA12" s="11"/>
      <c r="FHD12" s="12"/>
      <c r="FHE12" s="11"/>
      <c r="FHH12" s="12"/>
      <c r="FHI12" s="11"/>
      <c r="FHL12" s="12"/>
      <c r="FHM12" s="11"/>
      <c r="FHP12" s="12"/>
      <c r="FHQ12" s="11"/>
      <c r="FHT12" s="12"/>
      <c r="FHU12" s="11"/>
      <c r="FHX12" s="12"/>
      <c r="FHY12" s="11"/>
      <c r="FIB12" s="12"/>
      <c r="FIC12" s="11"/>
      <c r="FIF12" s="12"/>
      <c r="FIG12" s="11"/>
      <c r="FIJ12" s="12"/>
      <c r="FIK12" s="11"/>
      <c r="FIN12" s="12"/>
      <c r="FIO12" s="11"/>
      <c r="FIR12" s="12"/>
      <c r="FIS12" s="11"/>
      <c r="FIV12" s="12"/>
      <c r="FIW12" s="11"/>
      <c r="FIZ12" s="12"/>
      <c r="FJA12" s="11"/>
      <c r="FJD12" s="12"/>
      <c r="FJE12" s="11"/>
      <c r="FJH12" s="12"/>
      <c r="FJI12" s="11"/>
      <c r="FJL12" s="12"/>
      <c r="FJM12" s="11"/>
      <c r="FJP12" s="12"/>
      <c r="FJQ12" s="11"/>
      <c r="FJT12" s="12"/>
      <c r="FJU12" s="11"/>
      <c r="FJX12" s="12"/>
      <c r="FJY12" s="11"/>
      <c r="FKB12" s="12"/>
      <c r="FKC12" s="11"/>
      <c r="FKF12" s="12"/>
      <c r="FKG12" s="11"/>
      <c r="FKJ12" s="12"/>
      <c r="FKK12" s="11"/>
      <c r="FKN12" s="12"/>
      <c r="FKO12" s="11"/>
      <c r="FKR12" s="12"/>
      <c r="FKS12" s="11"/>
      <c r="FKV12" s="12"/>
      <c r="FKW12" s="11"/>
      <c r="FKZ12" s="12"/>
      <c r="FLA12" s="11"/>
      <c r="FLD12" s="12"/>
      <c r="FLE12" s="11"/>
      <c r="FLH12" s="12"/>
      <c r="FLI12" s="11"/>
      <c r="FLL12" s="12"/>
      <c r="FLM12" s="11"/>
      <c r="FLP12" s="12"/>
      <c r="FLQ12" s="11"/>
      <c r="FLT12" s="12"/>
      <c r="FLU12" s="11"/>
      <c r="FLX12" s="12"/>
      <c r="FLY12" s="11"/>
      <c r="FMB12" s="12"/>
      <c r="FMC12" s="11"/>
      <c r="FMF12" s="12"/>
      <c r="FMG12" s="11"/>
      <c r="FMJ12" s="12"/>
      <c r="FMK12" s="11"/>
      <c r="FMN12" s="12"/>
      <c r="FMO12" s="11"/>
      <c r="FMR12" s="12"/>
      <c r="FMS12" s="11"/>
      <c r="FMV12" s="12"/>
      <c r="FMW12" s="11"/>
      <c r="FMZ12" s="12"/>
      <c r="FNA12" s="11"/>
      <c r="FND12" s="12"/>
      <c r="FNE12" s="11"/>
      <c r="FNH12" s="12"/>
      <c r="FNI12" s="11"/>
      <c r="FNL12" s="12"/>
      <c r="FNM12" s="11"/>
      <c r="FNP12" s="12"/>
      <c r="FNQ12" s="11"/>
      <c r="FNT12" s="12"/>
      <c r="FNU12" s="11"/>
      <c r="FNX12" s="12"/>
      <c r="FNY12" s="11"/>
      <c r="FOB12" s="12"/>
      <c r="FOC12" s="11"/>
      <c r="FOF12" s="12"/>
      <c r="FOG12" s="11"/>
      <c r="FOJ12" s="12"/>
      <c r="FOK12" s="11"/>
      <c r="FON12" s="12"/>
      <c r="FOO12" s="11"/>
      <c r="FOR12" s="12"/>
      <c r="FOS12" s="11"/>
      <c r="FOV12" s="12"/>
      <c r="FOW12" s="11"/>
      <c r="FOZ12" s="12"/>
      <c r="FPA12" s="11"/>
      <c r="FPD12" s="12"/>
      <c r="FPE12" s="11"/>
      <c r="FPH12" s="12"/>
      <c r="FPI12" s="11"/>
      <c r="FPL12" s="12"/>
      <c r="FPM12" s="11"/>
      <c r="FPP12" s="12"/>
      <c r="FPQ12" s="11"/>
      <c r="FPT12" s="12"/>
      <c r="FPU12" s="11"/>
      <c r="FPX12" s="12"/>
      <c r="FPY12" s="11"/>
      <c r="FQB12" s="12"/>
      <c r="FQC12" s="11"/>
      <c r="FQF12" s="12"/>
      <c r="FQG12" s="11"/>
      <c r="FQJ12" s="12"/>
      <c r="FQK12" s="11"/>
      <c r="FQN12" s="12"/>
      <c r="FQO12" s="11"/>
      <c r="FQR12" s="12"/>
      <c r="FQS12" s="11"/>
      <c r="FQV12" s="12"/>
      <c r="FQW12" s="11"/>
      <c r="FQZ12" s="12"/>
      <c r="FRA12" s="11"/>
      <c r="FRD12" s="12"/>
      <c r="FRE12" s="11"/>
      <c r="FRH12" s="12"/>
      <c r="FRI12" s="11"/>
      <c r="FRL12" s="12"/>
      <c r="FRM12" s="11"/>
      <c r="FRP12" s="12"/>
      <c r="FRQ12" s="11"/>
      <c r="FRT12" s="12"/>
      <c r="FRU12" s="11"/>
      <c r="FRX12" s="12"/>
      <c r="FRY12" s="11"/>
      <c r="FSB12" s="12"/>
      <c r="FSC12" s="11"/>
      <c r="FSF12" s="12"/>
      <c r="FSG12" s="11"/>
      <c r="FSJ12" s="12"/>
      <c r="FSK12" s="11"/>
      <c r="FSN12" s="12"/>
      <c r="FSO12" s="11"/>
      <c r="FSR12" s="12"/>
      <c r="FSS12" s="11"/>
      <c r="FSV12" s="12"/>
      <c r="FSW12" s="11"/>
      <c r="FSZ12" s="12"/>
      <c r="FTA12" s="11"/>
      <c r="FTD12" s="12"/>
      <c r="FTE12" s="11"/>
      <c r="FTH12" s="12"/>
      <c r="FTI12" s="11"/>
      <c r="FTL12" s="12"/>
      <c r="FTM12" s="11"/>
      <c r="FTP12" s="12"/>
      <c r="FTQ12" s="11"/>
      <c r="FTT12" s="12"/>
      <c r="FTU12" s="11"/>
      <c r="FTX12" s="12"/>
      <c r="FTY12" s="11"/>
      <c r="FUB12" s="12"/>
      <c r="FUC12" s="11"/>
      <c r="FUF12" s="12"/>
      <c r="FUG12" s="11"/>
      <c r="FUJ12" s="12"/>
      <c r="FUK12" s="11"/>
      <c r="FUN12" s="12"/>
      <c r="FUO12" s="11"/>
      <c r="FUR12" s="12"/>
      <c r="FUS12" s="11"/>
      <c r="FUV12" s="12"/>
      <c r="FUW12" s="11"/>
      <c r="FUZ12" s="12"/>
      <c r="FVA12" s="11"/>
      <c r="FVD12" s="12"/>
      <c r="FVE12" s="11"/>
      <c r="FVH12" s="12"/>
      <c r="FVI12" s="11"/>
      <c r="FVL12" s="12"/>
      <c r="FVM12" s="11"/>
      <c r="FVP12" s="12"/>
      <c r="FVQ12" s="11"/>
      <c r="FVT12" s="12"/>
      <c r="FVU12" s="11"/>
      <c r="FVX12" s="12"/>
      <c r="FVY12" s="11"/>
      <c r="FWB12" s="12"/>
      <c r="FWC12" s="11"/>
      <c r="FWF12" s="12"/>
      <c r="FWG12" s="11"/>
      <c r="FWJ12" s="12"/>
      <c r="FWK12" s="11"/>
      <c r="FWN12" s="12"/>
      <c r="FWO12" s="11"/>
      <c r="FWR12" s="12"/>
      <c r="FWS12" s="11"/>
      <c r="FWV12" s="12"/>
      <c r="FWW12" s="11"/>
      <c r="FWZ12" s="12"/>
      <c r="FXA12" s="11"/>
      <c r="FXD12" s="12"/>
      <c r="FXE12" s="11"/>
      <c r="FXH12" s="12"/>
      <c r="FXI12" s="11"/>
      <c r="FXL12" s="12"/>
      <c r="FXM12" s="11"/>
      <c r="FXP12" s="12"/>
      <c r="FXQ12" s="11"/>
      <c r="FXT12" s="12"/>
      <c r="FXU12" s="11"/>
      <c r="FXX12" s="12"/>
      <c r="FXY12" s="11"/>
      <c r="FYB12" s="12"/>
      <c r="FYC12" s="11"/>
      <c r="FYF12" s="12"/>
      <c r="FYG12" s="11"/>
      <c r="FYJ12" s="12"/>
      <c r="FYK12" s="11"/>
      <c r="FYN12" s="12"/>
      <c r="FYO12" s="11"/>
      <c r="FYR12" s="12"/>
      <c r="FYS12" s="11"/>
      <c r="FYV12" s="12"/>
      <c r="FYW12" s="11"/>
      <c r="FYZ12" s="12"/>
      <c r="FZA12" s="11"/>
      <c r="FZD12" s="12"/>
      <c r="FZE12" s="11"/>
      <c r="FZH12" s="12"/>
      <c r="FZI12" s="11"/>
      <c r="FZL12" s="12"/>
      <c r="FZM12" s="11"/>
      <c r="FZP12" s="12"/>
      <c r="FZQ12" s="11"/>
      <c r="FZT12" s="12"/>
      <c r="FZU12" s="11"/>
      <c r="FZX12" s="12"/>
      <c r="FZY12" s="11"/>
      <c r="GAB12" s="12"/>
      <c r="GAC12" s="11"/>
      <c r="GAF12" s="12"/>
      <c r="GAG12" s="11"/>
      <c r="GAJ12" s="12"/>
      <c r="GAK12" s="11"/>
      <c r="GAN12" s="12"/>
      <c r="GAO12" s="11"/>
      <c r="GAR12" s="12"/>
      <c r="GAS12" s="11"/>
      <c r="GAV12" s="12"/>
      <c r="GAW12" s="11"/>
      <c r="GAZ12" s="12"/>
      <c r="GBA12" s="11"/>
      <c r="GBD12" s="12"/>
      <c r="GBE12" s="11"/>
      <c r="GBH12" s="12"/>
      <c r="GBI12" s="11"/>
      <c r="GBL12" s="12"/>
      <c r="GBM12" s="11"/>
      <c r="GBP12" s="12"/>
      <c r="GBQ12" s="11"/>
      <c r="GBT12" s="12"/>
      <c r="GBU12" s="11"/>
      <c r="GBX12" s="12"/>
      <c r="GBY12" s="11"/>
      <c r="GCB12" s="12"/>
      <c r="GCC12" s="11"/>
      <c r="GCF12" s="12"/>
      <c r="GCG12" s="11"/>
      <c r="GCJ12" s="12"/>
      <c r="GCK12" s="11"/>
      <c r="GCN12" s="12"/>
      <c r="GCO12" s="11"/>
      <c r="GCR12" s="12"/>
      <c r="GCS12" s="11"/>
      <c r="GCV12" s="12"/>
      <c r="GCW12" s="11"/>
      <c r="GCZ12" s="12"/>
      <c r="GDA12" s="11"/>
      <c r="GDD12" s="12"/>
      <c r="GDE12" s="11"/>
      <c r="GDH12" s="12"/>
      <c r="GDI12" s="11"/>
      <c r="GDL12" s="12"/>
      <c r="GDM12" s="11"/>
      <c r="GDP12" s="12"/>
      <c r="GDQ12" s="11"/>
      <c r="GDT12" s="12"/>
      <c r="GDU12" s="11"/>
      <c r="GDX12" s="12"/>
      <c r="GDY12" s="11"/>
      <c r="GEB12" s="12"/>
      <c r="GEC12" s="11"/>
      <c r="GEF12" s="12"/>
      <c r="GEG12" s="11"/>
      <c r="GEJ12" s="12"/>
      <c r="GEK12" s="11"/>
      <c r="GEN12" s="12"/>
      <c r="GEO12" s="11"/>
      <c r="GER12" s="12"/>
      <c r="GES12" s="11"/>
      <c r="GEV12" s="12"/>
      <c r="GEW12" s="11"/>
      <c r="GEZ12" s="12"/>
      <c r="GFA12" s="11"/>
      <c r="GFD12" s="12"/>
      <c r="GFE12" s="11"/>
      <c r="GFH12" s="12"/>
      <c r="GFI12" s="11"/>
      <c r="GFL12" s="12"/>
      <c r="GFM12" s="11"/>
      <c r="GFP12" s="12"/>
      <c r="GFQ12" s="11"/>
      <c r="GFT12" s="12"/>
      <c r="GFU12" s="11"/>
      <c r="GFX12" s="12"/>
      <c r="GFY12" s="11"/>
      <c r="GGB12" s="12"/>
      <c r="GGC12" s="11"/>
      <c r="GGF12" s="12"/>
      <c r="GGG12" s="11"/>
      <c r="GGJ12" s="12"/>
      <c r="GGK12" s="11"/>
      <c r="GGN12" s="12"/>
      <c r="GGO12" s="11"/>
      <c r="GGR12" s="12"/>
      <c r="GGS12" s="11"/>
      <c r="GGV12" s="12"/>
      <c r="GGW12" s="11"/>
      <c r="GGZ12" s="12"/>
      <c r="GHA12" s="11"/>
      <c r="GHD12" s="12"/>
      <c r="GHE12" s="11"/>
      <c r="GHH12" s="12"/>
      <c r="GHI12" s="11"/>
      <c r="GHL12" s="12"/>
      <c r="GHM12" s="11"/>
      <c r="GHP12" s="12"/>
      <c r="GHQ12" s="11"/>
      <c r="GHT12" s="12"/>
      <c r="GHU12" s="11"/>
      <c r="GHX12" s="12"/>
      <c r="GHY12" s="11"/>
      <c r="GIB12" s="12"/>
      <c r="GIC12" s="11"/>
      <c r="GIF12" s="12"/>
      <c r="GIG12" s="11"/>
      <c r="GIJ12" s="12"/>
      <c r="GIK12" s="11"/>
      <c r="GIN12" s="12"/>
      <c r="GIO12" s="11"/>
      <c r="GIR12" s="12"/>
      <c r="GIS12" s="11"/>
      <c r="GIV12" s="12"/>
      <c r="GIW12" s="11"/>
      <c r="GIZ12" s="12"/>
      <c r="GJA12" s="11"/>
      <c r="GJD12" s="12"/>
      <c r="GJE12" s="11"/>
      <c r="GJH12" s="12"/>
      <c r="GJI12" s="11"/>
      <c r="GJL12" s="12"/>
      <c r="GJM12" s="11"/>
      <c r="GJP12" s="12"/>
      <c r="GJQ12" s="11"/>
      <c r="GJT12" s="12"/>
      <c r="GJU12" s="11"/>
      <c r="GJX12" s="12"/>
      <c r="GJY12" s="11"/>
      <c r="GKB12" s="12"/>
      <c r="GKC12" s="11"/>
      <c r="GKF12" s="12"/>
      <c r="GKG12" s="11"/>
      <c r="GKJ12" s="12"/>
      <c r="GKK12" s="11"/>
      <c r="GKN12" s="12"/>
      <c r="GKO12" s="11"/>
      <c r="GKR12" s="12"/>
      <c r="GKS12" s="11"/>
      <c r="GKV12" s="12"/>
      <c r="GKW12" s="11"/>
      <c r="GKZ12" s="12"/>
      <c r="GLA12" s="11"/>
      <c r="GLD12" s="12"/>
      <c r="GLE12" s="11"/>
      <c r="GLH12" s="12"/>
      <c r="GLI12" s="11"/>
      <c r="GLL12" s="12"/>
      <c r="GLM12" s="11"/>
      <c r="GLP12" s="12"/>
      <c r="GLQ12" s="11"/>
      <c r="GLT12" s="12"/>
      <c r="GLU12" s="11"/>
      <c r="GLX12" s="12"/>
      <c r="GLY12" s="11"/>
      <c r="GMB12" s="12"/>
      <c r="GMC12" s="11"/>
      <c r="GMF12" s="12"/>
      <c r="GMG12" s="11"/>
      <c r="GMJ12" s="12"/>
      <c r="GMK12" s="11"/>
      <c r="GMN12" s="12"/>
      <c r="GMO12" s="11"/>
      <c r="GMR12" s="12"/>
      <c r="GMS12" s="11"/>
      <c r="GMV12" s="12"/>
      <c r="GMW12" s="11"/>
      <c r="GMZ12" s="12"/>
      <c r="GNA12" s="11"/>
      <c r="GND12" s="12"/>
      <c r="GNE12" s="11"/>
      <c r="GNH12" s="12"/>
      <c r="GNI12" s="11"/>
      <c r="GNL12" s="12"/>
      <c r="GNM12" s="11"/>
      <c r="GNP12" s="12"/>
      <c r="GNQ12" s="11"/>
      <c r="GNT12" s="12"/>
      <c r="GNU12" s="11"/>
      <c r="GNX12" s="12"/>
      <c r="GNY12" s="11"/>
      <c r="GOB12" s="12"/>
      <c r="GOC12" s="11"/>
      <c r="GOF12" s="12"/>
      <c r="GOG12" s="11"/>
      <c r="GOJ12" s="12"/>
      <c r="GOK12" s="11"/>
      <c r="GON12" s="12"/>
      <c r="GOO12" s="11"/>
      <c r="GOR12" s="12"/>
      <c r="GOS12" s="11"/>
      <c r="GOV12" s="12"/>
      <c r="GOW12" s="11"/>
      <c r="GOZ12" s="12"/>
      <c r="GPA12" s="11"/>
      <c r="GPD12" s="12"/>
      <c r="GPE12" s="11"/>
      <c r="GPH12" s="12"/>
      <c r="GPI12" s="11"/>
      <c r="GPL12" s="12"/>
      <c r="GPM12" s="11"/>
      <c r="GPP12" s="12"/>
      <c r="GPQ12" s="11"/>
      <c r="GPT12" s="12"/>
      <c r="GPU12" s="11"/>
      <c r="GPX12" s="12"/>
      <c r="GPY12" s="11"/>
      <c r="GQB12" s="12"/>
      <c r="GQC12" s="11"/>
      <c r="GQF12" s="12"/>
      <c r="GQG12" s="11"/>
      <c r="GQJ12" s="12"/>
      <c r="GQK12" s="11"/>
      <c r="GQN12" s="12"/>
      <c r="GQO12" s="11"/>
      <c r="GQR12" s="12"/>
      <c r="GQS12" s="11"/>
      <c r="GQV12" s="12"/>
      <c r="GQW12" s="11"/>
      <c r="GQZ12" s="12"/>
      <c r="GRA12" s="11"/>
      <c r="GRD12" s="12"/>
      <c r="GRE12" s="11"/>
      <c r="GRH12" s="12"/>
      <c r="GRI12" s="11"/>
      <c r="GRL12" s="12"/>
      <c r="GRM12" s="11"/>
      <c r="GRP12" s="12"/>
      <c r="GRQ12" s="11"/>
      <c r="GRT12" s="12"/>
      <c r="GRU12" s="11"/>
      <c r="GRX12" s="12"/>
      <c r="GRY12" s="11"/>
      <c r="GSB12" s="12"/>
      <c r="GSC12" s="11"/>
      <c r="GSF12" s="12"/>
      <c r="GSG12" s="11"/>
      <c r="GSJ12" s="12"/>
      <c r="GSK12" s="11"/>
      <c r="GSN12" s="12"/>
      <c r="GSO12" s="11"/>
      <c r="GSR12" s="12"/>
      <c r="GSS12" s="11"/>
      <c r="GSV12" s="12"/>
      <c r="GSW12" s="11"/>
      <c r="GSZ12" s="12"/>
      <c r="GTA12" s="11"/>
      <c r="GTD12" s="12"/>
      <c r="GTE12" s="11"/>
      <c r="GTH12" s="12"/>
      <c r="GTI12" s="11"/>
      <c r="GTL12" s="12"/>
      <c r="GTM12" s="11"/>
      <c r="GTP12" s="12"/>
      <c r="GTQ12" s="11"/>
      <c r="GTT12" s="12"/>
      <c r="GTU12" s="11"/>
      <c r="GTX12" s="12"/>
      <c r="GTY12" s="11"/>
      <c r="GUB12" s="12"/>
      <c r="GUC12" s="11"/>
      <c r="GUF12" s="12"/>
      <c r="GUG12" s="11"/>
      <c r="GUJ12" s="12"/>
      <c r="GUK12" s="11"/>
      <c r="GUN12" s="12"/>
      <c r="GUO12" s="11"/>
      <c r="GUR12" s="12"/>
      <c r="GUS12" s="11"/>
      <c r="GUV12" s="12"/>
      <c r="GUW12" s="11"/>
      <c r="GUZ12" s="12"/>
      <c r="GVA12" s="11"/>
      <c r="GVD12" s="12"/>
      <c r="GVE12" s="11"/>
      <c r="GVH12" s="12"/>
      <c r="GVI12" s="11"/>
      <c r="GVL12" s="12"/>
      <c r="GVM12" s="11"/>
      <c r="GVP12" s="12"/>
      <c r="GVQ12" s="11"/>
      <c r="GVT12" s="12"/>
      <c r="GVU12" s="11"/>
      <c r="GVX12" s="12"/>
      <c r="GVY12" s="11"/>
      <c r="GWB12" s="12"/>
      <c r="GWC12" s="11"/>
      <c r="GWF12" s="12"/>
      <c r="GWG12" s="11"/>
      <c r="GWJ12" s="12"/>
      <c r="GWK12" s="11"/>
      <c r="GWN12" s="12"/>
      <c r="GWO12" s="11"/>
      <c r="GWR12" s="12"/>
      <c r="GWS12" s="11"/>
      <c r="GWV12" s="12"/>
      <c r="GWW12" s="11"/>
      <c r="GWZ12" s="12"/>
      <c r="GXA12" s="11"/>
      <c r="GXD12" s="12"/>
      <c r="GXE12" s="11"/>
      <c r="GXH12" s="12"/>
      <c r="GXI12" s="11"/>
      <c r="GXL12" s="12"/>
      <c r="GXM12" s="11"/>
      <c r="GXP12" s="12"/>
      <c r="GXQ12" s="11"/>
      <c r="GXT12" s="12"/>
      <c r="GXU12" s="11"/>
      <c r="GXX12" s="12"/>
      <c r="GXY12" s="11"/>
      <c r="GYB12" s="12"/>
      <c r="GYC12" s="11"/>
      <c r="GYF12" s="12"/>
      <c r="GYG12" s="11"/>
      <c r="GYJ12" s="12"/>
      <c r="GYK12" s="11"/>
      <c r="GYN12" s="12"/>
      <c r="GYO12" s="11"/>
      <c r="GYR12" s="12"/>
      <c r="GYS12" s="11"/>
      <c r="GYV12" s="12"/>
      <c r="GYW12" s="11"/>
      <c r="GYZ12" s="12"/>
      <c r="GZA12" s="11"/>
      <c r="GZD12" s="12"/>
      <c r="GZE12" s="11"/>
      <c r="GZH12" s="12"/>
      <c r="GZI12" s="11"/>
      <c r="GZL12" s="12"/>
      <c r="GZM12" s="11"/>
      <c r="GZP12" s="12"/>
      <c r="GZQ12" s="11"/>
      <c r="GZT12" s="12"/>
      <c r="GZU12" s="11"/>
      <c r="GZX12" s="12"/>
      <c r="GZY12" s="11"/>
      <c r="HAB12" s="12"/>
      <c r="HAC12" s="11"/>
      <c r="HAF12" s="12"/>
      <c r="HAG12" s="11"/>
      <c r="HAJ12" s="12"/>
      <c r="HAK12" s="11"/>
      <c r="HAN12" s="12"/>
      <c r="HAO12" s="11"/>
      <c r="HAR12" s="12"/>
      <c r="HAS12" s="11"/>
      <c r="HAV12" s="12"/>
      <c r="HAW12" s="11"/>
      <c r="HAZ12" s="12"/>
      <c r="HBA12" s="11"/>
      <c r="HBD12" s="12"/>
      <c r="HBE12" s="11"/>
      <c r="HBH12" s="12"/>
      <c r="HBI12" s="11"/>
      <c r="HBL12" s="12"/>
      <c r="HBM12" s="11"/>
      <c r="HBP12" s="12"/>
      <c r="HBQ12" s="11"/>
      <c r="HBT12" s="12"/>
      <c r="HBU12" s="11"/>
      <c r="HBX12" s="12"/>
      <c r="HBY12" s="11"/>
      <c r="HCB12" s="12"/>
      <c r="HCC12" s="11"/>
      <c r="HCF12" s="12"/>
      <c r="HCG12" s="11"/>
      <c r="HCJ12" s="12"/>
      <c r="HCK12" s="11"/>
      <c r="HCN12" s="12"/>
      <c r="HCO12" s="11"/>
      <c r="HCR12" s="12"/>
      <c r="HCS12" s="11"/>
      <c r="HCV12" s="12"/>
      <c r="HCW12" s="11"/>
      <c r="HCZ12" s="12"/>
      <c r="HDA12" s="11"/>
      <c r="HDD12" s="12"/>
      <c r="HDE12" s="11"/>
      <c r="HDH12" s="12"/>
      <c r="HDI12" s="11"/>
      <c r="HDL12" s="12"/>
      <c r="HDM12" s="11"/>
      <c r="HDP12" s="12"/>
      <c r="HDQ12" s="11"/>
      <c r="HDT12" s="12"/>
      <c r="HDU12" s="11"/>
      <c r="HDX12" s="12"/>
      <c r="HDY12" s="11"/>
      <c r="HEB12" s="12"/>
      <c r="HEC12" s="11"/>
      <c r="HEF12" s="12"/>
      <c r="HEG12" s="11"/>
      <c r="HEJ12" s="12"/>
      <c r="HEK12" s="11"/>
      <c r="HEN12" s="12"/>
      <c r="HEO12" s="11"/>
      <c r="HER12" s="12"/>
      <c r="HES12" s="11"/>
      <c r="HEV12" s="12"/>
      <c r="HEW12" s="11"/>
      <c r="HEZ12" s="12"/>
      <c r="HFA12" s="11"/>
      <c r="HFD12" s="12"/>
      <c r="HFE12" s="11"/>
      <c r="HFH12" s="12"/>
      <c r="HFI12" s="11"/>
      <c r="HFL12" s="12"/>
      <c r="HFM12" s="11"/>
      <c r="HFP12" s="12"/>
      <c r="HFQ12" s="11"/>
      <c r="HFT12" s="12"/>
      <c r="HFU12" s="11"/>
      <c r="HFX12" s="12"/>
      <c r="HFY12" s="11"/>
      <c r="HGB12" s="12"/>
      <c r="HGC12" s="11"/>
      <c r="HGF12" s="12"/>
      <c r="HGG12" s="11"/>
      <c r="HGJ12" s="12"/>
      <c r="HGK12" s="11"/>
      <c r="HGN12" s="12"/>
      <c r="HGO12" s="11"/>
      <c r="HGR12" s="12"/>
      <c r="HGS12" s="11"/>
      <c r="HGV12" s="12"/>
      <c r="HGW12" s="11"/>
      <c r="HGZ12" s="12"/>
      <c r="HHA12" s="11"/>
      <c r="HHD12" s="12"/>
      <c r="HHE12" s="11"/>
      <c r="HHH12" s="12"/>
      <c r="HHI12" s="11"/>
      <c r="HHL12" s="12"/>
      <c r="HHM12" s="11"/>
      <c r="HHP12" s="12"/>
      <c r="HHQ12" s="11"/>
      <c r="HHT12" s="12"/>
      <c r="HHU12" s="11"/>
      <c r="HHX12" s="12"/>
      <c r="HHY12" s="11"/>
      <c r="HIB12" s="12"/>
      <c r="HIC12" s="11"/>
      <c r="HIF12" s="12"/>
      <c r="HIG12" s="11"/>
      <c r="HIJ12" s="12"/>
      <c r="HIK12" s="11"/>
      <c r="HIN12" s="12"/>
      <c r="HIO12" s="11"/>
      <c r="HIR12" s="12"/>
      <c r="HIS12" s="11"/>
      <c r="HIV12" s="12"/>
      <c r="HIW12" s="11"/>
      <c r="HIZ12" s="12"/>
      <c r="HJA12" s="11"/>
      <c r="HJD12" s="12"/>
      <c r="HJE12" s="11"/>
      <c r="HJH12" s="12"/>
      <c r="HJI12" s="11"/>
      <c r="HJL12" s="12"/>
      <c r="HJM12" s="11"/>
      <c r="HJP12" s="12"/>
      <c r="HJQ12" s="11"/>
      <c r="HJT12" s="12"/>
      <c r="HJU12" s="11"/>
      <c r="HJX12" s="12"/>
      <c r="HJY12" s="11"/>
      <c r="HKB12" s="12"/>
      <c r="HKC12" s="11"/>
      <c r="HKF12" s="12"/>
      <c r="HKG12" s="11"/>
      <c r="HKJ12" s="12"/>
      <c r="HKK12" s="11"/>
      <c r="HKN12" s="12"/>
      <c r="HKO12" s="11"/>
      <c r="HKR12" s="12"/>
      <c r="HKS12" s="11"/>
      <c r="HKV12" s="12"/>
      <c r="HKW12" s="11"/>
      <c r="HKZ12" s="12"/>
      <c r="HLA12" s="11"/>
      <c r="HLD12" s="12"/>
      <c r="HLE12" s="11"/>
      <c r="HLH12" s="12"/>
      <c r="HLI12" s="11"/>
      <c r="HLL12" s="12"/>
      <c r="HLM12" s="11"/>
      <c r="HLP12" s="12"/>
      <c r="HLQ12" s="11"/>
      <c r="HLT12" s="12"/>
      <c r="HLU12" s="11"/>
      <c r="HLX12" s="12"/>
      <c r="HLY12" s="11"/>
      <c r="HMB12" s="12"/>
      <c r="HMC12" s="11"/>
      <c r="HMF12" s="12"/>
      <c r="HMG12" s="11"/>
      <c r="HMJ12" s="12"/>
      <c r="HMK12" s="11"/>
      <c r="HMN12" s="12"/>
      <c r="HMO12" s="11"/>
      <c r="HMR12" s="12"/>
      <c r="HMS12" s="11"/>
      <c r="HMV12" s="12"/>
      <c r="HMW12" s="11"/>
      <c r="HMZ12" s="12"/>
      <c r="HNA12" s="11"/>
      <c r="HND12" s="12"/>
      <c r="HNE12" s="11"/>
      <c r="HNH12" s="12"/>
      <c r="HNI12" s="11"/>
      <c r="HNL12" s="12"/>
      <c r="HNM12" s="11"/>
      <c r="HNP12" s="12"/>
      <c r="HNQ12" s="11"/>
      <c r="HNT12" s="12"/>
      <c r="HNU12" s="11"/>
      <c r="HNX12" s="12"/>
      <c r="HNY12" s="11"/>
      <c r="HOB12" s="12"/>
      <c r="HOC12" s="11"/>
      <c r="HOF12" s="12"/>
      <c r="HOG12" s="11"/>
      <c r="HOJ12" s="12"/>
      <c r="HOK12" s="11"/>
      <c r="HON12" s="12"/>
      <c r="HOO12" s="11"/>
      <c r="HOR12" s="12"/>
      <c r="HOS12" s="11"/>
      <c r="HOV12" s="12"/>
      <c r="HOW12" s="11"/>
      <c r="HOZ12" s="12"/>
      <c r="HPA12" s="11"/>
      <c r="HPD12" s="12"/>
      <c r="HPE12" s="11"/>
      <c r="HPH12" s="12"/>
      <c r="HPI12" s="11"/>
      <c r="HPL12" s="12"/>
      <c r="HPM12" s="11"/>
      <c r="HPP12" s="12"/>
      <c r="HPQ12" s="11"/>
      <c r="HPT12" s="12"/>
      <c r="HPU12" s="11"/>
      <c r="HPX12" s="12"/>
      <c r="HPY12" s="11"/>
      <c r="HQB12" s="12"/>
      <c r="HQC12" s="11"/>
      <c r="HQF12" s="12"/>
      <c r="HQG12" s="11"/>
      <c r="HQJ12" s="12"/>
      <c r="HQK12" s="11"/>
      <c r="HQN12" s="12"/>
      <c r="HQO12" s="11"/>
      <c r="HQR12" s="12"/>
      <c r="HQS12" s="11"/>
      <c r="HQV12" s="12"/>
      <c r="HQW12" s="11"/>
      <c r="HQZ12" s="12"/>
      <c r="HRA12" s="11"/>
      <c r="HRD12" s="12"/>
      <c r="HRE12" s="11"/>
      <c r="HRH12" s="12"/>
      <c r="HRI12" s="11"/>
      <c r="HRL12" s="12"/>
      <c r="HRM12" s="11"/>
      <c r="HRP12" s="12"/>
      <c r="HRQ12" s="11"/>
      <c r="HRT12" s="12"/>
      <c r="HRU12" s="11"/>
      <c r="HRX12" s="12"/>
      <c r="HRY12" s="11"/>
      <c r="HSB12" s="12"/>
      <c r="HSC12" s="11"/>
      <c r="HSF12" s="12"/>
      <c r="HSG12" s="11"/>
      <c r="HSJ12" s="12"/>
      <c r="HSK12" s="11"/>
      <c r="HSN12" s="12"/>
      <c r="HSO12" s="11"/>
      <c r="HSR12" s="12"/>
      <c r="HSS12" s="11"/>
      <c r="HSV12" s="12"/>
      <c r="HSW12" s="11"/>
      <c r="HSZ12" s="12"/>
      <c r="HTA12" s="11"/>
      <c r="HTD12" s="12"/>
      <c r="HTE12" s="11"/>
      <c r="HTH12" s="12"/>
      <c r="HTI12" s="11"/>
      <c r="HTL12" s="12"/>
      <c r="HTM12" s="11"/>
      <c r="HTP12" s="12"/>
      <c r="HTQ12" s="11"/>
      <c r="HTT12" s="12"/>
      <c r="HTU12" s="11"/>
      <c r="HTX12" s="12"/>
      <c r="HTY12" s="11"/>
      <c r="HUB12" s="12"/>
      <c r="HUC12" s="11"/>
      <c r="HUF12" s="12"/>
      <c r="HUG12" s="11"/>
      <c r="HUJ12" s="12"/>
      <c r="HUK12" s="11"/>
      <c r="HUN12" s="12"/>
      <c r="HUO12" s="11"/>
      <c r="HUR12" s="12"/>
      <c r="HUS12" s="11"/>
      <c r="HUV12" s="12"/>
      <c r="HUW12" s="11"/>
      <c r="HUZ12" s="12"/>
      <c r="HVA12" s="11"/>
      <c r="HVD12" s="12"/>
      <c r="HVE12" s="11"/>
      <c r="HVH12" s="12"/>
      <c r="HVI12" s="11"/>
      <c r="HVL12" s="12"/>
      <c r="HVM12" s="11"/>
      <c r="HVP12" s="12"/>
      <c r="HVQ12" s="11"/>
      <c r="HVT12" s="12"/>
      <c r="HVU12" s="11"/>
      <c r="HVX12" s="12"/>
      <c r="HVY12" s="11"/>
      <c r="HWB12" s="12"/>
      <c r="HWC12" s="11"/>
      <c r="HWF12" s="12"/>
      <c r="HWG12" s="11"/>
      <c r="HWJ12" s="12"/>
      <c r="HWK12" s="11"/>
      <c r="HWN12" s="12"/>
      <c r="HWO12" s="11"/>
      <c r="HWR12" s="12"/>
      <c r="HWS12" s="11"/>
      <c r="HWV12" s="12"/>
      <c r="HWW12" s="11"/>
      <c r="HWZ12" s="12"/>
      <c r="HXA12" s="11"/>
      <c r="HXD12" s="12"/>
      <c r="HXE12" s="11"/>
      <c r="HXH12" s="12"/>
      <c r="HXI12" s="11"/>
      <c r="HXL12" s="12"/>
      <c r="HXM12" s="11"/>
      <c r="HXP12" s="12"/>
      <c r="HXQ12" s="11"/>
      <c r="HXT12" s="12"/>
      <c r="HXU12" s="11"/>
      <c r="HXX12" s="12"/>
      <c r="HXY12" s="11"/>
      <c r="HYB12" s="12"/>
      <c r="HYC12" s="11"/>
      <c r="HYF12" s="12"/>
      <c r="HYG12" s="11"/>
      <c r="HYJ12" s="12"/>
      <c r="HYK12" s="11"/>
      <c r="HYN12" s="12"/>
      <c r="HYO12" s="11"/>
      <c r="HYR12" s="12"/>
      <c r="HYS12" s="11"/>
      <c r="HYV12" s="12"/>
      <c r="HYW12" s="11"/>
      <c r="HYZ12" s="12"/>
      <c r="HZA12" s="11"/>
      <c r="HZD12" s="12"/>
      <c r="HZE12" s="11"/>
      <c r="HZH12" s="12"/>
      <c r="HZI12" s="11"/>
      <c r="HZL12" s="12"/>
      <c r="HZM12" s="11"/>
      <c r="HZP12" s="12"/>
      <c r="HZQ12" s="11"/>
      <c r="HZT12" s="12"/>
      <c r="HZU12" s="11"/>
      <c r="HZX12" s="12"/>
      <c r="HZY12" s="11"/>
      <c r="IAB12" s="12"/>
      <c r="IAC12" s="11"/>
      <c r="IAF12" s="12"/>
      <c r="IAG12" s="11"/>
      <c r="IAJ12" s="12"/>
      <c r="IAK12" s="11"/>
      <c r="IAN12" s="12"/>
      <c r="IAO12" s="11"/>
      <c r="IAR12" s="12"/>
      <c r="IAS12" s="11"/>
      <c r="IAV12" s="12"/>
      <c r="IAW12" s="11"/>
      <c r="IAZ12" s="12"/>
      <c r="IBA12" s="11"/>
      <c r="IBD12" s="12"/>
      <c r="IBE12" s="11"/>
      <c r="IBH12" s="12"/>
      <c r="IBI12" s="11"/>
      <c r="IBL12" s="12"/>
      <c r="IBM12" s="11"/>
      <c r="IBP12" s="12"/>
      <c r="IBQ12" s="11"/>
      <c r="IBT12" s="12"/>
      <c r="IBU12" s="11"/>
      <c r="IBX12" s="12"/>
      <c r="IBY12" s="11"/>
      <c r="ICB12" s="12"/>
      <c r="ICC12" s="11"/>
      <c r="ICF12" s="12"/>
      <c r="ICG12" s="11"/>
      <c r="ICJ12" s="12"/>
      <c r="ICK12" s="11"/>
      <c r="ICN12" s="12"/>
      <c r="ICO12" s="11"/>
      <c r="ICR12" s="12"/>
      <c r="ICS12" s="11"/>
      <c r="ICV12" s="12"/>
      <c r="ICW12" s="11"/>
      <c r="ICZ12" s="12"/>
      <c r="IDA12" s="11"/>
      <c r="IDD12" s="12"/>
      <c r="IDE12" s="11"/>
      <c r="IDH12" s="12"/>
      <c r="IDI12" s="11"/>
      <c r="IDL12" s="12"/>
      <c r="IDM12" s="11"/>
      <c r="IDP12" s="12"/>
      <c r="IDQ12" s="11"/>
      <c r="IDT12" s="12"/>
      <c r="IDU12" s="11"/>
      <c r="IDX12" s="12"/>
      <c r="IDY12" s="11"/>
      <c r="IEB12" s="12"/>
      <c r="IEC12" s="11"/>
      <c r="IEF12" s="12"/>
      <c r="IEG12" s="11"/>
      <c r="IEJ12" s="12"/>
      <c r="IEK12" s="11"/>
      <c r="IEN12" s="12"/>
      <c r="IEO12" s="11"/>
      <c r="IER12" s="12"/>
      <c r="IES12" s="11"/>
      <c r="IEV12" s="12"/>
      <c r="IEW12" s="11"/>
      <c r="IEZ12" s="12"/>
      <c r="IFA12" s="11"/>
      <c r="IFD12" s="12"/>
      <c r="IFE12" s="11"/>
      <c r="IFH12" s="12"/>
      <c r="IFI12" s="11"/>
      <c r="IFL12" s="12"/>
      <c r="IFM12" s="11"/>
      <c r="IFP12" s="12"/>
      <c r="IFQ12" s="11"/>
      <c r="IFT12" s="12"/>
      <c r="IFU12" s="11"/>
      <c r="IFX12" s="12"/>
      <c r="IFY12" s="11"/>
      <c r="IGB12" s="12"/>
      <c r="IGC12" s="11"/>
      <c r="IGF12" s="12"/>
      <c r="IGG12" s="11"/>
      <c r="IGJ12" s="12"/>
      <c r="IGK12" s="11"/>
      <c r="IGN12" s="12"/>
      <c r="IGO12" s="11"/>
      <c r="IGR12" s="12"/>
      <c r="IGS12" s="11"/>
      <c r="IGV12" s="12"/>
      <c r="IGW12" s="11"/>
      <c r="IGZ12" s="12"/>
      <c r="IHA12" s="11"/>
      <c r="IHD12" s="12"/>
      <c r="IHE12" s="11"/>
      <c r="IHH12" s="12"/>
      <c r="IHI12" s="11"/>
      <c r="IHL12" s="12"/>
      <c r="IHM12" s="11"/>
      <c r="IHP12" s="12"/>
      <c r="IHQ12" s="11"/>
      <c r="IHT12" s="12"/>
      <c r="IHU12" s="11"/>
      <c r="IHX12" s="12"/>
      <c r="IHY12" s="11"/>
      <c r="IIB12" s="12"/>
      <c r="IIC12" s="11"/>
      <c r="IIF12" s="12"/>
      <c r="IIG12" s="11"/>
      <c r="IIJ12" s="12"/>
      <c r="IIK12" s="11"/>
      <c r="IIN12" s="12"/>
      <c r="IIO12" s="11"/>
      <c r="IIR12" s="12"/>
      <c r="IIS12" s="11"/>
      <c r="IIV12" s="12"/>
      <c r="IIW12" s="11"/>
      <c r="IIZ12" s="12"/>
      <c r="IJA12" s="11"/>
      <c r="IJD12" s="12"/>
      <c r="IJE12" s="11"/>
      <c r="IJH12" s="12"/>
      <c r="IJI12" s="11"/>
      <c r="IJL12" s="12"/>
      <c r="IJM12" s="11"/>
      <c r="IJP12" s="12"/>
      <c r="IJQ12" s="11"/>
      <c r="IJT12" s="12"/>
      <c r="IJU12" s="11"/>
      <c r="IJX12" s="12"/>
      <c r="IJY12" s="11"/>
      <c r="IKB12" s="12"/>
      <c r="IKC12" s="11"/>
      <c r="IKF12" s="12"/>
      <c r="IKG12" s="11"/>
      <c r="IKJ12" s="12"/>
      <c r="IKK12" s="11"/>
      <c r="IKN12" s="12"/>
      <c r="IKO12" s="11"/>
      <c r="IKR12" s="12"/>
      <c r="IKS12" s="11"/>
      <c r="IKV12" s="12"/>
      <c r="IKW12" s="11"/>
      <c r="IKZ12" s="12"/>
      <c r="ILA12" s="11"/>
      <c r="ILD12" s="12"/>
      <c r="ILE12" s="11"/>
      <c r="ILH12" s="12"/>
      <c r="ILI12" s="11"/>
      <c r="ILL12" s="12"/>
      <c r="ILM12" s="11"/>
      <c r="ILP12" s="12"/>
      <c r="ILQ12" s="11"/>
      <c r="ILT12" s="12"/>
      <c r="ILU12" s="11"/>
      <c r="ILX12" s="12"/>
      <c r="ILY12" s="11"/>
      <c r="IMB12" s="12"/>
      <c r="IMC12" s="11"/>
      <c r="IMF12" s="12"/>
      <c r="IMG12" s="11"/>
      <c r="IMJ12" s="12"/>
      <c r="IMK12" s="11"/>
      <c r="IMN12" s="12"/>
      <c r="IMO12" s="11"/>
      <c r="IMR12" s="12"/>
      <c r="IMS12" s="11"/>
      <c r="IMV12" s="12"/>
      <c r="IMW12" s="11"/>
      <c r="IMZ12" s="12"/>
      <c r="INA12" s="11"/>
      <c r="IND12" s="12"/>
      <c r="INE12" s="11"/>
      <c r="INH12" s="12"/>
      <c r="INI12" s="11"/>
      <c r="INL12" s="12"/>
      <c r="INM12" s="11"/>
      <c r="INP12" s="12"/>
      <c r="INQ12" s="11"/>
      <c r="INT12" s="12"/>
      <c r="INU12" s="11"/>
      <c r="INX12" s="12"/>
      <c r="INY12" s="11"/>
      <c r="IOB12" s="12"/>
      <c r="IOC12" s="11"/>
      <c r="IOF12" s="12"/>
      <c r="IOG12" s="11"/>
      <c r="IOJ12" s="12"/>
      <c r="IOK12" s="11"/>
      <c r="ION12" s="12"/>
      <c r="IOO12" s="11"/>
      <c r="IOR12" s="12"/>
      <c r="IOS12" s="11"/>
      <c r="IOV12" s="12"/>
      <c r="IOW12" s="11"/>
      <c r="IOZ12" s="12"/>
      <c r="IPA12" s="11"/>
      <c r="IPD12" s="12"/>
      <c r="IPE12" s="11"/>
      <c r="IPH12" s="12"/>
      <c r="IPI12" s="11"/>
      <c r="IPL12" s="12"/>
      <c r="IPM12" s="11"/>
      <c r="IPP12" s="12"/>
      <c r="IPQ12" s="11"/>
      <c r="IPT12" s="12"/>
      <c r="IPU12" s="11"/>
      <c r="IPX12" s="12"/>
      <c r="IPY12" s="11"/>
      <c r="IQB12" s="12"/>
      <c r="IQC12" s="11"/>
      <c r="IQF12" s="12"/>
      <c r="IQG12" s="11"/>
      <c r="IQJ12" s="12"/>
      <c r="IQK12" s="11"/>
      <c r="IQN12" s="12"/>
      <c r="IQO12" s="11"/>
      <c r="IQR12" s="12"/>
      <c r="IQS12" s="11"/>
      <c r="IQV12" s="12"/>
      <c r="IQW12" s="11"/>
      <c r="IQZ12" s="12"/>
      <c r="IRA12" s="11"/>
      <c r="IRD12" s="12"/>
      <c r="IRE12" s="11"/>
      <c r="IRH12" s="12"/>
      <c r="IRI12" s="11"/>
      <c r="IRL12" s="12"/>
      <c r="IRM12" s="11"/>
      <c r="IRP12" s="12"/>
      <c r="IRQ12" s="11"/>
      <c r="IRT12" s="12"/>
      <c r="IRU12" s="11"/>
      <c r="IRX12" s="12"/>
      <c r="IRY12" s="11"/>
      <c r="ISB12" s="12"/>
      <c r="ISC12" s="11"/>
      <c r="ISF12" s="12"/>
      <c r="ISG12" s="11"/>
      <c r="ISJ12" s="12"/>
      <c r="ISK12" s="11"/>
      <c r="ISN12" s="12"/>
      <c r="ISO12" s="11"/>
      <c r="ISR12" s="12"/>
      <c r="ISS12" s="11"/>
      <c r="ISV12" s="12"/>
      <c r="ISW12" s="11"/>
      <c r="ISZ12" s="12"/>
      <c r="ITA12" s="11"/>
      <c r="ITD12" s="12"/>
      <c r="ITE12" s="11"/>
      <c r="ITH12" s="12"/>
      <c r="ITI12" s="11"/>
      <c r="ITL12" s="12"/>
      <c r="ITM12" s="11"/>
      <c r="ITP12" s="12"/>
      <c r="ITQ12" s="11"/>
      <c r="ITT12" s="12"/>
      <c r="ITU12" s="11"/>
      <c r="ITX12" s="12"/>
      <c r="ITY12" s="11"/>
      <c r="IUB12" s="12"/>
      <c r="IUC12" s="11"/>
      <c r="IUF12" s="12"/>
      <c r="IUG12" s="11"/>
      <c r="IUJ12" s="12"/>
      <c r="IUK12" s="11"/>
      <c r="IUN12" s="12"/>
      <c r="IUO12" s="11"/>
      <c r="IUR12" s="12"/>
      <c r="IUS12" s="11"/>
      <c r="IUV12" s="12"/>
      <c r="IUW12" s="11"/>
      <c r="IUZ12" s="12"/>
      <c r="IVA12" s="11"/>
      <c r="IVD12" s="12"/>
      <c r="IVE12" s="11"/>
      <c r="IVH12" s="12"/>
      <c r="IVI12" s="11"/>
      <c r="IVL12" s="12"/>
      <c r="IVM12" s="11"/>
      <c r="IVP12" s="12"/>
      <c r="IVQ12" s="11"/>
      <c r="IVT12" s="12"/>
      <c r="IVU12" s="11"/>
      <c r="IVX12" s="12"/>
      <c r="IVY12" s="11"/>
      <c r="IWB12" s="12"/>
      <c r="IWC12" s="11"/>
      <c r="IWF12" s="12"/>
      <c r="IWG12" s="11"/>
      <c r="IWJ12" s="12"/>
      <c r="IWK12" s="11"/>
      <c r="IWN12" s="12"/>
      <c r="IWO12" s="11"/>
      <c r="IWR12" s="12"/>
      <c r="IWS12" s="11"/>
      <c r="IWV12" s="12"/>
      <c r="IWW12" s="11"/>
      <c r="IWZ12" s="12"/>
      <c r="IXA12" s="11"/>
      <c r="IXD12" s="12"/>
      <c r="IXE12" s="11"/>
      <c r="IXH12" s="12"/>
      <c r="IXI12" s="11"/>
      <c r="IXL12" s="12"/>
      <c r="IXM12" s="11"/>
      <c r="IXP12" s="12"/>
      <c r="IXQ12" s="11"/>
      <c r="IXT12" s="12"/>
      <c r="IXU12" s="11"/>
      <c r="IXX12" s="12"/>
      <c r="IXY12" s="11"/>
      <c r="IYB12" s="12"/>
      <c r="IYC12" s="11"/>
      <c r="IYF12" s="12"/>
      <c r="IYG12" s="11"/>
      <c r="IYJ12" s="12"/>
      <c r="IYK12" s="11"/>
      <c r="IYN12" s="12"/>
      <c r="IYO12" s="11"/>
      <c r="IYR12" s="12"/>
      <c r="IYS12" s="11"/>
      <c r="IYV12" s="12"/>
      <c r="IYW12" s="11"/>
      <c r="IYZ12" s="12"/>
      <c r="IZA12" s="11"/>
      <c r="IZD12" s="12"/>
      <c r="IZE12" s="11"/>
      <c r="IZH12" s="12"/>
      <c r="IZI12" s="11"/>
      <c r="IZL12" s="12"/>
      <c r="IZM12" s="11"/>
      <c r="IZP12" s="12"/>
      <c r="IZQ12" s="11"/>
      <c r="IZT12" s="12"/>
      <c r="IZU12" s="11"/>
      <c r="IZX12" s="12"/>
      <c r="IZY12" s="11"/>
      <c r="JAB12" s="12"/>
      <c r="JAC12" s="11"/>
      <c r="JAF12" s="12"/>
      <c r="JAG12" s="11"/>
      <c r="JAJ12" s="12"/>
      <c r="JAK12" s="11"/>
      <c r="JAN12" s="12"/>
      <c r="JAO12" s="11"/>
      <c r="JAR12" s="12"/>
      <c r="JAS12" s="11"/>
      <c r="JAV12" s="12"/>
      <c r="JAW12" s="11"/>
      <c r="JAZ12" s="12"/>
      <c r="JBA12" s="11"/>
      <c r="JBD12" s="12"/>
      <c r="JBE12" s="11"/>
      <c r="JBH12" s="12"/>
      <c r="JBI12" s="11"/>
      <c r="JBL12" s="12"/>
      <c r="JBM12" s="11"/>
      <c r="JBP12" s="12"/>
      <c r="JBQ12" s="11"/>
      <c r="JBT12" s="12"/>
      <c r="JBU12" s="11"/>
      <c r="JBX12" s="12"/>
      <c r="JBY12" s="11"/>
      <c r="JCB12" s="12"/>
      <c r="JCC12" s="11"/>
      <c r="JCF12" s="12"/>
      <c r="JCG12" s="11"/>
      <c r="JCJ12" s="12"/>
      <c r="JCK12" s="11"/>
      <c r="JCN12" s="12"/>
      <c r="JCO12" s="11"/>
      <c r="JCR12" s="12"/>
      <c r="JCS12" s="11"/>
      <c r="JCV12" s="12"/>
      <c r="JCW12" s="11"/>
      <c r="JCZ12" s="12"/>
      <c r="JDA12" s="11"/>
      <c r="JDD12" s="12"/>
      <c r="JDE12" s="11"/>
      <c r="JDH12" s="12"/>
      <c r="JDI12" s="11"/>
      <c r="JDL12" s="12"/>
      <c r="JDM12" s="11"/>
      <c r="JDP12" s="12"/>
      <c r="JDQ12" s="11"/>
      <c r="JDT12" s="12"/>
      <c r="JDU12" s="11"/>
      <c r="JDX12" s="12"/>
      <c r="JDY12" s="11"/>
      <c r="JEB12" s="12"/>
      <c r="JEC12" s="11"/>
      <c r="JEF12" s="12"/>
      <c r="JEG12" s="11"/>
      <c r="JEJ12" s="12"/>
      <c r="JEK12" s="11"/>
      <c r="JEN12" s="12"/>
      <c r="JEO12" s="11"/>
      <c r="JER12" s="12"/>
      <c r="JES12" s="11"/>
      <c r="JEV12" s="12"/>
      <c r="JEW12" s="11"/>
      <c r="JEZ12" s="12"/>
      <c r="JFA12" s="11"/>
      <c r="JFD12" s="12"/>
      <c r="JFE12" s="11"/>
      <c r="JFH12" s="12"/>
      <c r="JFI12" s="11"/>
      <c r="JFL12" s="12"/>
      <c r="JFM12" s="11"/>
      <c r="JFP12" s="12"/>
      <c r="JFQ12" s="11"/>
      <c r="JFT12" s="12"/>
      <c r="JFU12" s="11"/>
      <c r="JFX12" s="12"/>
      <c r="JFY12" s="11"/>
      <c r="JGB12" s="12"/>
      <c r="JGC12" s="11"/>
      <c r="JGF12" s="12"/>
      <c r="JGG12" s="11"/>
      <c r="JGJ12" s="12"/>
      <c r="JGK12" s="11"/>
      <c r="JGN12" s="12"/>
      <c r="JGO12" s="11"/>
      <c r="JGR12" s="12"/>
      <c r="JGS12" s="11"/>
      <c r="JGV12" s="12"/>
      <c r="JGW12" s="11"/>
      <c r="JGZ12" s="12"/>
      <c r="JHA12" s="11"/>
      <c r="JHD12" s="12"/>
      <c r="JHE12" s="11"/>
      <c r="JHH12" s="12"/>
      <c r="JHI12" s="11"/>
      <c r="JHL12" s="12"/>
      <c r="JHM12" s="11"/>
      <c r="JHP12" s="12"/>
      <c r="JHQ12" s="11"/>
      <c r="JHT12" s="12"/>
      <c r="JHU12" s="11"/>
      <c r="JHX12" s="12"/>
      <c r="JHY12" s="11"/>
      <c r="JIB12" s="12"/>
      <c r="JIC12" s="11"/>
      <c r="JIF12" s="12"/>
      <c r="JIG12" s="11"/>
      <c r="JIJ12" s="12"/>
      <c r="JIK12" s="11"/>
      <c r="JIN12" s="12"/>
      <c r="JIO12" s="11"/>
      <c r="JIR12" s="12"/>
      <c r="JIS12" s="11"/>
      <c r="JIV12" s="12"/>
      <c r="JIW12" s="11"/>
      <c r="JIZ12" s="12"/>
      <c r="JJA12" s="11"/>
      <c r="JJD12" s="12"/>
      <c r="JJE12" s="11"/>
      <c r="JJH12" s="12"/>
      <c r="JJI12" s="11"/>
      <c r="JJL12" s="12"/>
      <c r="JJM12" s="11"/>
      <c r="JJP12" s="12"/>
      <c r="JJQ12" s="11"/>
      <c r="JJT12" s="12"/>
      <c r="JJU12" s="11"/>
      <c r="JJX12" s="12"/>
      <c r="JJY12" s="11"/>
      <c r="JKB12" s="12"/>
      <c r="JKC12" s="11"/>
      <c r="JKF12" s="12"/>
      <c r="JKG12" s="11"/>
      <c r="JKJ12" s="12"/>
      <c r="JKK12" s="11"/>
      <c r="JKN12" s="12"/>
      <c r="JKO12" s="11"/>
      <c r="JKR12" s="12"/>
      <c r="JKS12" s="11"/>
      <c r="JKV12" s="12"/>
      <c r="JKW12" s="11"/>
      <c r="JKZ12" s="12"/>
      <c r="JLA12" s="11"/>
      <c r="JLD12" s="12"/>
      <c r="JLE12" s="11"/>
      <c r="JLH12" s="12"/>
      <c r="JLI12" s="11"/>
      <c r="JLL12" s="12"/>
      <c r="JLM12" s="11"/>
      <c r="JLP12" s="12"/>
      <c r="JLQ12" s="11"/>
      <c r="JLT12" s="12"/>
      <c r="JLU12" s="11"/>
      <c r="JLX12" s="12"/>
      <c r="JLY12" s="11"/>
      <c r="JMB12" s="12"/>
      <c r="JMC12" s="11"/>
      <c r="JMF12" s="12"/>
      <c r="JMG12" s="11"/>
      <c r="JMJ12" s="12"/>
      <c r="JMK12" s="11"/>
      <c r="JMN12" s="12"/>
      <c r="JMO12" s="11"/>
      <c r="JMR12" s="12"/>
      <c r="JMS12" s="11"/>
      <c r="JMV12" s="12"/>
      <c r="JMW12" s="11"/>
      <c r="JMZ12" s="12"/>
      <c r="JNA12" s="11"/>
      <c r="JND12" s="12"/>
      <c r="JNE12" s="11"/>
      <c r="JNH12" s="12"/>
      <c r="JNI12" s="11"/>
      <c r="JNL12" s="12"/>
      <c r="JNM12" s="11"/>
      <c r="JNP12" s="12"/>
      <c r="JNQ12" s="11"/>
      <c r="JNT12" s="12"/>
      <c r="JNU12" s="11"/>
      <c r="JNX12" s="12"/>
      <c r="JNY12" s="11"/>
      <c r="JOB12" s="12"/>
      <c r="JOC12" s="11"/>
      <c r="JOF12" s="12"/>
      <c r="JOG12" s="11"/>
      <c r="JOJ12" s="12"/>
      <c r="JOK12" s="11"/>
      <c r="JON12" s="12"/>
      <c r="JOO12" s="11"/>
      <c r="JOR12" s="12"/>
      <c r="JOS12" s="11"/>
      <c r="JOV12" s="12"/>
      <c r="JOW12" s="11"/>
      <c r="JOZ12" s="12"/>
      <c r="JPA12" s="11"/>
      <c r="JPD12" s="12"/>
      <c r="JPE12" s="11"/>
      <c r="JPH12" s="12"/>
      <c r="JPI12" s="11"/>
      <c r="JPL12" s="12"/>
      <c r="JPM12" s="11"/>
      <c r="JPP12" s="12"/>
      <c r="JPQ12" s="11"/>
      <c r="JPT12" s="12"/>
      <c r="JPU12" s="11"/>
      <c r="JPX12" s="12"/>
      <c r="JPY12" s="11"/>
      <c r="JQB12" s="12"/>
      <c r="JQC12" s="11"/>
      <c r="JQF12" s="12"/>
      <c r="JQG12" s="11"/>
      <c r="JQJ12" s="12"/>
      <c r="JQK12" s="11"/>
      <c r="JQN12" s="12"/>
      <c r="JQO12" s="11"/>
      <c r="JQR12" s="12"/>
      <c r="JQS12" s="11"/>
      <c r="JQV12" s="12"/>
      <c r="JQW12" s="11"/>
      <c r="JQZ12" s="12"/>
      <c r="JRA12" s="11"/>
      <c r="JRD12" s="12"/>
      <c r="JRE12" s="11"/>
      <c r="JRH12" s="12"/>
      <c r="JRI12" s="11"/>
      <c r="JRL12" s="12"/>
      <c r="JRM12" s="11"/>
      <c r="JRP12" s="12"/>
      <c r="JRQ12" s="11"/>
      <c r="JRT12" s="12"/>
      <c r="JRU12" s="11"/>
      <c r="JRX12" s="12"/>
      <c r="JRY12" s="11"/>
      <c r="JSB12" s="12"/>
      <c r="JSC12" s="11"/>
      <c r="JSF12" s="12"/>
      <c r="JSG12" s="11"/>
      <c r="JSJ12" s="12"/>
      <c r="JSK12" s="11"/>
      <c r="JSN12" s="12"/>
      <c r="JSO12" s="11"/>
      <c r="JSR12" s="12"/>
      <c r="JSS12" s="11"/>
      <c r="JSV12" s="12"/>
      <c r="JSW12" s="11"/>
      <c r="JSZ12" s="12"/>
      <c r="JTA12" s="11"/>
      <c r="JTD12" s="12"/>
      <c r="JTE12" s="11"/>
      <c r="JTH12" s="12"/>
      <c r="JTI12" s="11"/>
      <c r="JTL12" s="12"/>
      <c r="JTM12" s="11"/>
      <c r="JTP12" s="12"/>
      <c r="JTQ12" s="11"/>
      <c r="JTT12" s="12"/>
      <c r="JTU12" s="11"/>
      <c r="JTX12" s="12"/>
      <c r="JTY12" s="11"/>
      <c r="JUB12" s="12"/>
      <c r="JUC12" s="11"/>
      <c r="JUF12" s="12"/>
      <c r="JUG12" s="11"/>
      <c r="JUJ12" s="12"/>
      <c r="JUK12" s="11"/>
      <c r="JUN12" s="12"/>
      <c r="JUO12" s="11"/>
      <c r="JUR12" s="12"/>
      <c r="JUS12" s="11"/>
      <c r="JUV12" s="12"/>
      <c r="JUW12" s="11"/>
      <c r="JUZ12" s="12"/>
      <c r="JVA12" s="11"/>
      <c r="JVD12" s="12"/>
      <c r="JVE12" s="11"/>
      <c r="JVH12" s="12"/>
      <c r="JVI12" s="11"/>
      <c r="JVL12" s="12"/>
      <c r="JVM12" s="11"/>
      <c r="JVP12" s="12"/>
      <c r="JVQ12" s="11"/>
      <c r="JVT12" s="12"/>
      <c r="JVU12" s="11"/>
      <c r="JVX12" s="12"/>
      <c r="JVY12" s="11"/>
      <c r="JWB12" s="12"/>
      <c r="JWC12" s="11"/>
      <c r="JWF12" s="12"/>
      <c r="JWG12" s="11"/>
      <c r="JWJ12" s="12"/>
      <c r="JWK12" s="11"/>
      <c r="JWN12" s="12"/>
      <c r="JWO12" s="11"/>
      <c r="JWR12" s="12"/>
      <c r="JWS12" s="11"/>
      <c r="JWV12" s="12"/>
      <c r="JWW12" s="11"/>
      <c r="JWZ12" s="12"/>
      <c r="JXA12" s="11"/>
      <c r="JXD12" s="12"/>
      <c r="JXE12" s="11"/>
      <c r="JXH12" s="12"/>
      <c r="JXI12" s="11"/>
      <c r="JXL12" s="12"/>
      <c r="JXM12" s="11"/>
      <c r="JXP12" s="12"/>
      <c r="JXQ12" s="11"/>
      <c r="JXT12" s="12"/>
      <c r="JXU12" s="11"/>
      <c r="JXX12" s="12"/>
      <c r="JXY12" s="11"/>
      <c r="JYB12" s="12"/>
      <c r="JYC12" s="11"/>
      <c r="JYF12" s="12"/>
      <c r="JYG12" s="11"/>
      <c r="JYJ12" s="12"/>
      <c r="JYK12" s="11"/>
      <c r="JYN12" s="12"/>
      <c r="JYO12" s="11"/>
      <c r="JYR12" s="12"/>
      <c r="JYS12" s="11"/>
      <c r="JYV12" s="12"/>
      <c r="JYW12" s="11"/>
      <c r="JYZ12" s="12"/>
      <c r="JZA12" s="11"/>
      <c r="JZD12" s="12"/>
      <c r="JZE12" s="11"/>
      <c r="JZH12" s="12"/>
      <c r="JZI12" s="11"/>
      <c r="JZL12" s="12"/>
      <c r="JZM12" s="11"/>
      <c r="JZP12" s="12"/>
      <c r="JZQ12" s="11"/>
      <c r="JZT12" s="12"/>
      <c r="JZU12" s="11"/>
      <c r="JZX12" s="12"/>
      <c r="JZY12" s="11"/>
      <c r="KAB12" s="12"/>
      <c r="KAC12" s="11"/>
      <c r="KAF12" s="12"/>
      <c r="KAG12" s="11"/>
      <c r="KAJ12" s="12"/>
      <c r="KAK12" s="11"/>
      <c r="KAN12" s="12"/>
      <c r="KAO12" s="11"/>
      <c r="KAR12" s="12"/>
      <c r="KAS12" s="11"/>
      <c r="KAV12" s="12"/>
      <c r="KAW12" s="11"/>
      <c r="KAZ12" s="12"/>
      <c r="KBA12" s="11"/>
      <c r="KBD12" s="12"/>
      <c r="KBE12" s="11"/>
      <c r="KBH12" s="12"/>
      <c r="KBI12" s="11"/>
      <c r="KBL12" s="12"/>
      <c r="KBM12" s="11"/>
      <c r="KBP12" s="12"/>
      <c r="KBQ12" s="11"/>
      <c r="KBT12" s="12"/>
      <c r="KBU12" s="11"/>
      <c r="KBX12" s="12"/>
      <c r="KBY12" s="11"/>
      <c r="KCB12" s="12"/>
      <c r="KCC12" s="11"/>
      <c r="KCF12" s="12"/>
      <c r="KCG12" s="11"/>
      <c r="KCJ12" s="12"/>
      <c r="KCK12" s="11"/>
      <c r="KCN12" s="12"/>
      <c r="KCO12" s="11"/>
      <c r="KCR12" s="12"/>
      <c r="KCS12" s="11"/>
      <c r="KCV12" s="12"/>
      <c r="KCW12" s="11"/>
      <c r="KCZ12" s="12"/>
      <c r="KDA12" s="11"/>
      <c r="KDD12" s="12"/>
      <c r="KDE12" s="11"/>
      <c r="KDH12" s="12"/>
      <c r="KDI12" s="11"/>
      <c r="KDL12" s="12"/>
      <c r="KDM12" s="11"/>
      <c r="KDP12" s="12"/>
      <c r="KDQ12" s="11"/>
      <c r="KDT12" s="12"/>
      <c r="KDU12" s="11"/>
      <c r="KDX12" s="12"/>
      <c r="KDY12" s="11"/>
      <c r="KEB12" s="12"/>
      <c r="KEC12" s="11"/>
      <c r="KEF12" s="12"/>
      <c r="KEG12" s="11"/>
      <c r="KEJ12" s="12"/>
      <c r="KEK12" s="11"/>
      <c r="KEN12" s="12"/>
      <c r="KEO12" s="11"/>
      <c r="KER12" s="12"/>
      <c r="KES12" s="11"/>
      <c r="KEV12" s="12"/>
      <c r="KEW12" s="11"/>
      <c r="KEZ12" s="12"/>
      <c r="KFA12" s="11"/>
      <c r="KFD12" s="12"/>
      <c r="KFE12" s="11"/>
      <c r="KFH12" s="12"/>
      <c r="KFI12" s="11"/>
      <c r="KFL12" s="12"/>
      <c r="KFM12" s="11"/>
      <c r="KFP12" s="12"/>
      <c r="KFQ12" s="11"/>
      <c r="KFT12" s="12"/>
      <c r="KFU12" s="11"/>
      <c r="KFX12" s="12"/>
      <c r="KFY12" s="11"/>
      <c r="KGB12" s="12"/>
      <c r="KGC12" s="11"/>
      <c r="KGF12" s="12"/>
      <c r="KGG12" s="11"/>
      <c r="KGJ12" s="12"/>
      <c r="KGK12" s="11"/>
      <c r="KGN12" s="12"/>
      <c r="KGO12" s="11"/>
      <c r="KGR12" s="12"/>
      <c r="KGS12" s="11"/>
      <c r="KGV12" s="12"/>
      <c r="KGW12" s="11"/>
      <c r="KGZ12" s="12"/>
      <c r="KHA12" s="11"/>
      <c r="KHD12" s="12"/>
      <c r="KHE12" s="11"/>
      <c r="KHH12" s="12"/>
      <c r="KHI12" s="11"/>
      <c r="KHL12" s="12"/>
      <c r="KHM12" s="11"/>
      <c r="KHP12" s="12"/>
      <c r="KHQ12" s="11"/>
      <c r="KHT12" s="12"/>
      <c r="KHU12" s="11"/>
      <c r="KHX12" s="12"/>
      <c r="KHY12" s="11"/>
      <c r="KIB12" s="12"/>
      <c r="KIC12" s="11"/>
      <c r="KIF12" s="12"/>
      <c r="KIG12" s="11"/>
      <c r="KIJ12" s="12"/>
      <c r="KIK12" s="11"/>
      <c r="KIN12" s="12"/>
      <c r="KIO12" s="11"/>
      <c r="KIR12" s="12"/>
      <c r="KIS12" s="11"/>
      <c r="KIV12" s="12"/>
      <c r="KIW12" s="11"/>
      <c r="KIZ12" s="12"/>
      <c r="KJA12" s="11"/>
      <c r="KJD12" s="12"/>
      <c r="KJE12" s="11"/>
      <c r="KJH12" s="12"/>
      <c r="KJI12" s="11"/>
      <c r="KJL12" s="12"/>
      <c r="KJM12" s="11"/>
      <c r="KJP12" s="12"/>
      <c r="KJQ12" s="11"/>
      <c r="KJT12" s="12"/>
      <c r="KJU12" s="11"/>
      <c r="KJX12" s="12"/>
      <c r="KJY12" s="11"/>
      <c r="KKB12" s="12"/>
      <c r="KKC12" s="11"/>
      <c r="KKF12" s="12"/>
      <c r="KKG12" s="11"/>
      <c r="KKJ12" s="12"/>
      <c r="KKK12" s="11"/>
      <c r="KKN12" s="12"/>
      <c r="KKO12" s="11"/>
      <c r="KKR12" s="12"/>
      <c r="KKS12" s="11"/>
      <c r="KKV12" s="12"/>
      <c r="KKW12" s="11"/>
      <c r="KKZ12" s="12"/>
      <c r="KLA12" s="11"/>
      <c r="KLD12" s="12"/>
      <c r="KLE12" s="11"/>
      <c r="KLH12" s="12"/>
      <c r="KLI12" s="11"/>
      <c r="KLL12" s="12"/>
      <c r="KLM12" s="11"/>
      <c r="KLP12" s="12"/>
      <c r="KLQ12" s="11"/>
      <c r="KLT12" s="12"/>
      <c r="KLU12" s="11"/>
      <c r="KLX12" s="12"/>
      <c r="KLY12" s="11"/>
      <c r="KMB12" s="12"/>
      <c r="KMC12" s="11"/>
      <c r="KMF12" s="12"/>
      <c r="KMG12" s="11"/>
      <c r="KMJ12" s="12"/>
      <c r="KMK12" s="11"/>
      <c r="KMN12" s="12"/>
      <c r="KMO12" s="11"/>
      <c r="KMR12" s="12"/>
      <c r="KMS12" s="11"/>
      <c r="KMV12" s="12"/>
      <c r="KMW12" s="11"/>
      <c r="KMZ12" s="12"/>
      <c r="KNA12" s="11"/>
      <c r="KND12" s="12"/>
      <c r="KNE12" s="11"/>
      <c r="KNH12" s="12"/>
      <c r="KNI12" s="11"/>
      <c r="KNL12" s="12"/>
      <c r="KNM12" s="11"/>
      <c r="KNP12" s="12"/>
      <c r="KNQ12" s="11"/>
      <c r="KNT12" s="12"/>
      <c r="KNU12" s="11"/>
      <c r="KNX12" s="12"/>
      <c r="KNY12" s="11"/>
      <c r="KOB12" s="12"/>
      <c r="KOC12" s="11"/>
      <c r="KOF12" s="12"/>
      <c r="KOG12" s="11"/>
      <c r="KOJ12" s="12"/>
      <c r="KOK12" s="11"/>
      <c r="KON12" s="12"/>
      <c r="KOO12" s="11"/>
      <c r="KOR12" s="12"/>
      <c r="KOS12" s="11"/>
      <c r="KOV12" s="12"/>
      <c r="KOW12" s="11"/>
      <c r="KOZ12" s="12"/>
      <c r="KPA12" s="11"/>
      <c r="KPD12" s="12"/>
      <c r="KPE12" s="11"/>
      <c r="KPH12" s="12"/>
      <c r="KPI12" s="11"/>
      <c r="KPL12" s="12"/>
      <c r="KPM12" s="11"/>
      <c r="KPP12" s="12"/>
      <c r="KPQ12" s="11"/>
      <c r="KPT12" s="12"/>
      <c r="KPU12" s="11"/>
      <c r="KPX12" s="12"/>
      <c r="KPY12" s="11"/>
      <c r="KQB12" s="12"/>
      <c r="KQC12" s="11"/>
      <c r="KQF12" s="12"/>
      <c r="KQG12" s="11"/>
      <c r="KQJ12" s="12"/>
      <c r="KQK12" s="11"/>
      <c r="KQN12" s="12"/>
      <c r="KQO12" s="11"/>
      <c r="KQR12" s="12"/>
      <c r="KQS12" s="11"/>
      <c r="KQV12" s="12"/>
      <c r="KQW12" s="11"/>
      <c r="KQZ12" s="12"/>
      <c r="KRA12" s="11"/>
      <c r="KRD12" s="12"/>
      <c r="KRE12" s="11"/>
      <c r="KRH12" s="12"/>
      <c r="KRI12" s="11"/>
      <c r="KRL12" s="12"/>
      <c r="KRM12" s="11"/>
      <c r="KRP12" s="12"/>
      <c r="KRQ12" s="11"/>
      <c r="KRT12" s="12"/>
      <c r="KRU12" s="11"/>
      <c r="KRX12" s="12"/>
      <c r="KRY12" s="11"/>
      <c r="KSB12" s="12"/>
      <c r="KSC12" s="11"/>
      <c r="KSF12" s="12"/>
      <c r="KSG12" s="11"/>
      <c r="KSJ12" s="12"/>
      <c r="KSK12" s="11"/>
      <c r="KSN12" s="12"/>
      <c r="KSO12" s="11"/>
      <c r="KSR12" s="12"/>
      <c r="KSS12" s="11"/>
      <c r="KSV12" s="12"/>
      <c r="KSW12" s="11"/>
      <c r="KSZ12" s="12"/>
      <c r="KTA12" s="11"/>
      <c r="KTD12" s="12"/>
      <c r="KTE12" s="11"/>
      <c r="KTH12" s="12"/>
      <c r="KTI12" s="11"/>
      <c r="KTL12" s="12"/>
      <c r="KTM12" s="11"/>
      <c r="KTP12" s="12"/>
      <c r="KTQ12" s="11"/>
      <c r="KTT12" s="12"/>
      <c r="KTU12" s="11"/>
      <c r="KTX12" s="12"/>
      <c r="KTY12" s="11"/>
      <c r="KUB12" s="12"/>
      <c r="KUC12" s="11"/>
      <c r="KUF12" s="12"/>
      <c r="KUG12" s="11"/>
      <c r="KUJ12" s="12"/>
      <c r="KUK12" s="11"/>
      <c r="KUN12" s="12"/>
      <c r="KUO12" s="11"/>
      <c r="KUR12" s="12"/>
      <c r="KUS12" s="11"/>
      <c r="KUV12" s="12"/>
      <c r="KUW12" s="11"/>
      <c r="KUZ12" s="12"/>
      <c r="KVA12" s="11"/>
      <c r="KVD12" s="12"/>
      <c r="KVE12" s="11"/>
      <c r="KVH12" s="12"/>
      <c r="KVI12" s="11"/>
      <c r="KVL12" s="12"/>
      <c r="KVM12" s="11"/>
      <c r="KVP12" s="12"/>
      <c r="KVQ12" s="11"/>
      <c r="KVT12" s="12"/>
      <c r="KVU12" s="11"/>
      <c r="KVX12" s="12"/>
      <c r="KVY12" s="11"/>
      <c r="KWB12" s="12"/>
      <c r="KWC12" s="11"/>
      <c r="KWF12" s="12"/>
      <c r="KWG12" s="11"/>
      <c r="KWJ12" s="12"/>
      <c r="KWK12" s="11"/>
      <c r="KWN12" s="12"/>
      <c r="KWO12" s="11"/>
      <c r="KWR12" s="12"/>
      <c r="KWS12" s="11"/>
      <c r="KWV12" s="12"/>
      <c r="KWW12" s="11"/>
      <c r="KWZ12" s="12"/>
      <c r="KXA12" s="11"/>
      <c r="KXD12" s="12"/>
      <c r="KXE12" s="11"/>
      <c r="KXH12" s="12"/>
      <c r="KXI12" s="11"/>
      <c r="KXL12" s="12"/>
      <c r="KXM12" s="11"/>
      <c r="KXP12" s="12"/>
      <c r="KXQ12" s="11"/>
      <c r="KXT12" s="12"/>
      <c r="KXU12" s="11"/>
      <c r="KXX12" s="12"/>
      <c r="KXY12" s="11"/>
      <c r="KYB12" s="12"/>
      <c r="KYC12" s="11"/>
      <c r="KYF12" s="12"/>
      <c r="KYG12" s="11"/>
      <c r="KYJ12" s="12"/>
      <c r="KYK12" s="11"/>
      <c r="KYN12" s="12"/>
      <c r="KYO12" s="11"/>
      <c r="KYR12" s="12"/>
      <c r="KYS12" s="11"/>
      <c r="KYV12" s="12"/>
      <c r="KYW12" s="11"/>
      <c r="KYZ12" s="12"/>
      <c r="KZA12" s="11"/>
      <c r="KZD12" s="12"/>
      <c r="KZE12" s="11"/>
      <c r="KZH12" s="12"/>
      <c r="KZI12" s="11"/>
      <c r="KZL12" s="12"/>
      <c r="KZM12" s="11"/>
      <c r="KZP12" s="12"/>
      <c r="KZQ12" s="11"/>
      <c r="KZT12" s="12"/>
      <c r="KZU12" s="11"/>
      <c r="KZX12" s="12"/>
      <c r="KZY12" s="11"/>
      <c r="LAB12" s="12"/>
      <c r="LAC12" s="11"/>
      <c r="LAF12" s="12"/>
      <c r="LAG12" s="11"/>
      <c r="LAJ12" s="12"/>
      <c r="LAK12" s="11"/>
      <c r="LAN12" s="12"/>
      <c r="LAO12" s="11"/>
      <c r="LAR12" s="12"/>
      <c r="LAS12" s="11"/>
      <c r="LAV12" s="12"/>
      <c r="LAW12" s="11"/>
      <c r="LAZ12" s="12"/>
      <c r="LBA12" s="11"/>
      <c r="LBD12" s="12"/>
      <c r="LBE12" s="11"/>
      <c r="LBH12" s="12"/>
      <c r="LBI12" s="11"/>
      <c r="LBL12" s="12"/>
      <c r="LBM12" s="11"/>
      <c r="LBP12" s="12"/>
      <c r="LBQ12" s="11"/>
      <c r="LBT12" s="12"/>
      <c r="LBU12" s="11"/>
      <c r="LBX12" s="12"/>
      <c r="LBY12" s="11"/>
      <c r="LCB12" s="12"/>
      <c r="LCC12" s="11"/>
      <c r="LCF12" s="12"/>
      <c r="LCG12" s="11"/>
      <c r="LCJ12" s="12"/>
      <c r="LCK12" s="11"/>
      <c r="LCN12" s="12"/>
      <c r="LCO12" s="11"/>
      <c r="LCR12" s="12"/>
      <c r="LCS12" s="11"/>
      <c r="LCV12" s="12"/>
      <c r="LCW12" s="11"/>
      <c r="LCZ12" s="12"/>
      <c r="LDA12" s="11"/>
      <c r="LDD12" s="12"/>
      <c r="LDE12" s="11"/>
      <c r="LDH12" s="12"/>
      <c r="LDI12" s="11"/>
      <c r="LDL12" s="12"/>
      <c r="LDM12" s="11"/>
      <c r="LDP12" s="12"/>
      <c r="LDQ12" s="11"/>
      <c r="LDT12" s="12"/>
      <c r="LDU12" s="11"/>
      <c r="LDX12" s="12"/>
      <c r="LDY12" s="11"/>
      <c r="LEB12" s="12"/>
      <c r="LEC12" s="11"/>
      <c r="LEF12" s="12"/>
      <c r="LEG12" s="11"/>
      <c r="LEJ12" s="12"/>
      <c r="LEK12" s="11"/>
      <c r="LEN12" s="12"/>
      <c r="LEO12" s="11"/>
      <c r="LER12" s="12"/>
      <c r="LES12" s="11"/>
      <c r="LEV12" s="12"/>
      <c r="LEW12" s="11"/>
      <c r="LEZ12" s="12"/>
      <c r="LFA12" s="11"/>
      <c r="LFD12" s="12"/>
      <c r="LFE12" s="11"/>
      <c r="LFH12" s="12"/>
      <c r="LFI12" s="11"/>
      <c r="LFL12" s="12"/>
      <c r="LFM12" s="11"/>
      <c r="LFP12" s="12"/>
      <c r="LFQ12" s="11"/>
      <c r="LFT12" s="12"/>
      <c r="LFU12" s="11"/>
      <c r="LFX12" s="12"/>
      <c r="LFY12" s="11"/>
      <c r="LGB12" s="12"/>
      <c r="LGC12" s="11"/>
      <c r="LGF12" s="12"/>
      <c r="LGG12" s="11"/>
      <c r="LGJ12" s="12"/>
      <c r="LGK12" s="11"/>
      <c r="LGN12" s="12"/>
      <c r="LGO12" s="11"/>
      <c r="LGR12" s="12"/>
      <c r="LGS12" s="11"/>
      <c r="LGV12" s="12"/>
      <c r="LGW12" s="11"/>
      <c r="LGZ12" s="12"/>
      <c r="LHA12" s="11"/>
      <c r="LHD12" s="12"/>
      <c r="LHE12" s="11"/>
      <c r="LHH12" s="12"/>
      <c r="LHI12" s="11"/>
      <c r="LHL12" s="12"/>
      <c r="LHM12" s="11"/>
      <c r="LHP12" s="12"/>
      <c r="LHQ12" s="11"/>
      <c r="LHT12" s="12"/>
      <c r="LHU12" s="11"/>
      <c r="LHX12" s="12"/>
      <c r="LHY12" s="11"/>
      <c r="LIB12" s="12"/>
      <c r="LIC12" s="11"/>
      <c r="LIF12" s="12"/>
      <c r="LIG12" s="11"/>
      <c r="LIJ12" s="12"/>
      <c r="LIK12" s="11"/>
      <c r="LIN12" s="12"/>
      <c r="LIO12" s="11"/>
      <c r="LIR12" s="12"/>
      <c r="LIS12" s="11"/>
      <c r="LIV12" s="12"/>
      <c r="LIW12" s="11"/>
      <c r="LIZ12" s="12"/>
      <c r="LJA12" s="11"/>
      <c r="LJD12" s="12"/>
      <c r="LJE12" s="11"/>
      <c r="LJH12" s="12"/>
      <c r="LJI12" s="11"/>
      <c r="LJL12" s="12"/>
      <c r="LJM12" s="11"/>
      <c r="LJP12" s="12"/>
      <c r="LJQ12" s="11"/>
      <c r="LJT12" s="12"/>
      <c r="LJU12" s="11"/>
      <c r="LJX12" s="12"/>
      <c r="LJY12" s="11"/>
      <c r="LKB12" s="12"/>
      <c r="LKC12" s="11"/>
      <c r="LKF12" s="12"/>
      <c r="LKG12" s="11"/>
      <c r="LKJ12" s="12"/>
      <c r="LKK12" s="11"/>
      <c r="LKN12" s="12"/>
      <c r="LKO12" s="11"/>
      <c r="LKR12" s="12"/>
      <c r="LKS12" s="11"/>
      <c r="LKV12" s="12"/>
      <c r="LKW12" s="11"/>
      <c r="LKZ12" s="12"/>
      <c r="LLA12" s="11"/>
      <c r="LLD12" s="12"/>
      <c r="LLE12" s="11"/>
      <c r="LLH12" s="12"/>
      <c r="LLI12" s="11"/>
      <c r="LLL12" s="12"/>
      <c r="LLM12" s="11"/>
      <c r="LLP12" s="12"/>
      <c r="LLQ12" s="11"/>
      <c r="LLT12" s="12"/>
      <c r="LLU12" s="11"/>
      <c r="LLX12" s="12"/>
      <c r="LLY12" s="11"/>
      <c r="LMB12" s="12"/>
      <c r="LMC12" s="11"/>
      <c r="LMF12" s="12"/>
      <c r="LMG12" s="11"/>
      <c r="LMJ12" s="12"/>
      <c r="LMK12" s="11"/>
      <c r="LMN12" s="12"/>
      <c r="LMO12" s="11"/>
      <c r="LMR12" s="12"/>
      <c r="LMS12" s="11"/>
      <c r="LMV12" s="12"/>
      <c r="LMW12" s="11"/>
      <c r="LMZ12" s="12"/>
      <c r="LNA12" s="11"/>
      <c r="LND12" s="12"/>
      <c r="LNE12" s="11"/>
      <c r="LNH12" s="12"/>
      <c r="LNI12" s="11"/>
      <c r="LNL12" s="12"/>
      <c r="LNM12" s="11"/>
      <c r="LNP12" s="12"/>
      <c r="LNQ12" s="11"/>
      <c r="LNT12" s="12"/>
      <c r="LNU12" s="11"/>
      <c r="LNX12" s="12"/>
      <c r="LNY12" s="11"/>
      <c r="LOB12" s="12"/>
      <c r="LOC12" s="11"/>
      <c r="LOF12" s="12"/>
      <c r="LOG12" s="11"/>
      <c r="LOJ12" s="12"/>
      <c r="LOK12" s="11"/>
      <c r="LON12" s="12"/>
      <c r="LOO12" s="11"/>
      <c r="LOR12" s="12"/>
      <c r="LOS12" s="11"/>
      <c r="LOV12" s="12"/>
      <c r="LOW12" s="11"/>
      <c r="LOZ12" s="12"/>
      <c r="LPA12" s="11"/>
      <c r="LPD12" s="12"/>
      <c r="LPE12" s="11"/>
      <c r="LPH12" s="12"/>
      <c r="LPI12" s="11"/>
      <c r="LPL12" s="12"/>
      <c r="LPM12" s="11"/>
      <c r="LPP12" s="12"/>
      <c r="LPQ12" s="11"/>
      <c r="LPT12" s="12"/>
      <c r="LPU12" s="11"/>
      <c r="LPX12" s="12"/>
      <c r="LPY12" s="11"/>
      <c r="LQB12" s="12"/>
      <c r="LQC12" s="11"/>
      <c r="LQF12" s="12"/>
      <c r="LQG12" s="11"/>
      <c r="LQJ12" s="12"/>
      <c r="LQK12" s="11"/>
      <c r="LQN12" s="12"/>
      <c r="LQO12" s="11"/>
      <c r="LQR12" s="12"/>
      <c r="LQS12" s="11"/>
      <c r="LQV12" s="12"/>
      <c r="LQW12" s="11"/>
      <c r="LQZ12" s="12"/>
      <c r="LRA12" s="11"/>
      <c r="LRD12" s="12"/>
      <c r="LRE12" s="11"/>
      <c r="LRH12" s="12"/>
      <c r="LRI12" s="11"/>
      <c r="LRL12" s="12"/>
      <c r="LRM12" s="11"/>
      <c r="LRP12" s="12"/>
      <c r="LRQ12" s="11"/>
      <c r="LRT12" s="12"/>
      <c r="LRU12" s="11"/>
      <c r="LRX12" s="12"/>
      <c r="LRY12" s="11"/>
      <c r="LSB12" s="12"/>
      <c r="LSC12" s="11"/>
      <c r="LSF12" s="12"/>
      <c r="LSG12" s="11"/>
      <c r="LSJ12" s="12"/>
      <c r="LSK12" s="11"/>
      <c r="LSN12" s="12"/>
      <c r="LSO12" s="11"/>
      <c r="LSR12" s="12"/>
      <c r="LSS12" s="11"/>
      <c r="LSV12" s="12"/>
      <c r="LSW12" s="11"/>
      <c r="LSZ12" s="12"/>
      <c r="LTA12" s="11"/>
      <c r="LTD12" s="12"/>
      <c r="LTE12" s="11"/>
      <c r="LTH12" s="12"/>
      <c r="LTI12" s="11"/>
      <c r="LTL12" s="12"/>
      <c r="LTM12" s="11"/>
      <c r="LTP12" s="12"/>
      <c r="LTQ12" s="11"/>
      <c r="LTT12" s="12"/>
      <c r="LTU12" s="11"/>
      <c r="LTX12" s="12"/>
      <c r="LTY12" s="11"/>
      <c r="LUB12" s="12"/>
      <c r="LUC12" s="11"/>
      <c r="LUF12" s="12"/>
      <c r="LUG12" s="11"/>
      <c r="LUJ12" s="12"/>
      <c r="LUK12" s="11"/>
      <c r="LUN12" s="12"/>
      <c r="LUO12" s="11"/>
      <c r="LUR12" s="12"/>
      <c r="LUS12" s="11"/>
      <c r="LUV12" s="12"/>
      <c r="LUW12" s="11"/>
      <c r="LUZ12" s="12"/>
      <c r="LVA12" s="11"/>
      <c r="LVD12" s="12"/>
      <c r="LVE12" s="11"/>
      <c r="LVH12" s="12"/>
      <c r="LVI12" s="11"/>
      <c r="LVL12" s="12"/>
      <c r="LVM12" s="11"/>
      <c r="LVP12" s="12"/>
      <c r="LVQ12" s="11"/>
      <c r="LVT12" s="12"/>
      <c r="LVU12" s="11"/>
      <c r="LVX12" s="12"/>
      <c r="LVY12" s="11"/>
      <c r="LWB12" s="12"/>
      <c r="LWC12" s="11"/>
      <c r="LWF12" s="12"/>
      <c r="LWG12" s="11"/>
      <c r="LWJ12" s="12"/>
      <c r="LWK12" s="11"/>
      <c r="LWN12" s="12"/>
      <c r="LWO12" s="11"/>
      <c r="LWR12" s="12"/>
      <c r="LWS12" s="11"/>
      <c r="LWV12" s="12"/>
      <c r="LWW12" s="11"/>
      <c r="LWZ12" s="12"/>
      <c r="LXA12" s="11"/>
      <c r="LXD12" s="12"/>
      <c r="LXE12" s="11"/>
      <c r="LXH12" s="12"/>
      <c r="LXI12" s="11"/>
      <c r="LXL12" s="12"/>
      <c r="LXM12" s="11"/>
      <c r="LXP12" s="12"/>
      <c r="LXQ12" s="11"/>
      <c r="LXT12" s="12"/>
      <c r="LXU12" s="11"/>
      <c r="LXX12" s="12"/>
      <c r="LXY12" s="11"/>
      <c r="LYB12" s="12"/>
      <c r="LYC12" s="11"/>
      <c r="LYF12" s="12"/>
      <c r="LYG12" s="11"/>
      <c r="LYJ12" s="12"/>
      <c r="LYK12" s="11"/>
      <c r="LYN12" s="12"/>
      <c r="LYO12" s="11"/>
      <c r="LYR12" s="12"/>
      <c r="LYS12" s="11"/>
      <c r="LYV12" s="12"/>
      <c r="LYW12" s="11"/>
      <c r="LYZ12" s="12"/>
      <c r="LZA12" s="11"/>
      <c r="LZD12" s="12"/>
      <c r="LZE12" s="11"/>
      <c r="LZH12" s="12"/>
      <c r="LZI12" s="11"/>
      <c r="LZL12" s="12"/>
      <c r="LZM12" s="11"/>
      <c r="LZP12" s="12"/>
      <c r="LZQ12" s="11"/>
      <c r="LZT12" s="12"/>
      <c r="LZU12" s="11"/>
      <c r="LZX12" s="12"/>
      <c r="LZY12" s="11"/>
      <c r="MAB12" s="12"/>
      <c r="MAC12" s="11"/>
      <c r="MAF12" s="12"/>
      <c r="MAG12" s="11"/>
      <c r="MAJ12" s="12"/>
      <c r="MAK12" s="11"/>
      <c r="MAN12" s="12"/>
      <c r="MAO12" s="11"/>
      <c r="MAR12" s="12"/>
      <c r="MAS12" s="11"/>
      <c r="MAV12" s="12"/>
      <c r="MAW12" s="11"/>
      <c r="MAZ12" s="12"/>
      <c r="MBA12" s="11"/>
      <c r="MBD12" s="12"/>
      <c r="MBE12" s="11"/>
      <c r="MBH12" s="12"/>
      <c r="MBI12" s="11"/>
      <c r="MBL12" s="12"/>
      <c r="MBM12" s="11"/>
      <c r="MBP12" s="12"/>
      <c r="MBQ12" s="11"/>
      <c r="MBT12" s="12"/>
      <c r="MBU12" s="11"/>
      <c r="MBX12" s="12"/>
      <c r="MBY12" s="11"/>
      <c r="MCB12" s="12"/>
      <c r="MCC12" s="11"/>
      <c r="MCF12" s="12"/>
      <c r="MCG12" s="11"/>
      <c r="MCJ12" s="12"/>
      <c r="MCK12" s="11"/>
      <c r="MCN12" s="12"/>
      <c r="MCO12" s="11"/>
      <c r="MCR12" s="12"/>
      <c r="MCS12" s="11"/>
      <c r="MCV12" s="12"/>
      <c r="MCW12" s="11"/>
      <c r="MCZ12" s="12"/>
      <c r="MDA12" s="11"/>
      <c r="MDD12" s="12"/>
      <c r="MDE12" s="11"/>
      <c r="MDH12" s="12"/>
      <c r="MDI12" s="11"/>
      <c r="MDL12" s="12"/>
      <c r="MDM12" s="11"/>
      <c r="MDP12" s="12"/>
      <c r="MDQ12" s="11"/>
      <c r="MDT12" s="12"/>
      <c r="MDU12" s="11"/>
      <c r="MDX12" s="12"/>
      <c r="MDY12" s="11"/>
      <c r="MEB12" s="12"/>
      <c r="MEC12" s="11"/>
      <c r="MEF12" s="12"/>
      <c r="MEG12" s="11"/>
      <c r="MEJ12" s="12"/>
      <c r="MEK12" s="11"/>
      <c r="MEN12" s="12"/>
      <c r="MEO12" s="11"/>
      <c r="MER12" s="12"/>
      <c r="MES12" s="11"/>
      <c r="MEV12" s="12"/>
      <c r="MEW12" s="11"/>
      <c r="MEZ12" s="12"/>
      <c r="MFA12" s="11"/>
      <c r="MFD12" s="12"/>
      <c r="MFE12" s="11"/>
      <c r="MFH12" s="12"/>
      <c r="MFI12" s="11"/>
      <c r="MFL12" s="12"/>
      <c r="MFM12" s="11"/>
      <c r="MFP12" s="12"/>
      <c r="MFQ12" s="11"/>
      <c r="MFT12" s="12"/>
      <c r="MFU12" s="11"/>
      <c r="MFX12" s="12"/>
      <c r="MFY12" s="11"/>
      <c r="MGB12" s="12"/>
      <c r="MGC12" s="11"/>
      <c r="MGF12" s="12"/>
      <c r="MGG12" s="11"/>
      <c r="MGJ12" s="12"/>
      <c r="MGK12" s="11"/>
      <c r="MGN12" s="12"/>
      <c r="MGO12" s="11"/>
      <c r="MGR12" s="12"/>
      <c r="MGS12" s="11"/>
      <c r="MGV12" s="12"/>
      <c r="MGW12" s="11"/>
      <c r="MGZ12" s="12"/>
      <c r="MHA12" s="11"/>
      <c r="MHD12" s="12"/>
      <c r="MHE12" s="11"/>
      <c r="MHH12" s="12"/>
      <c r="MHI12" s="11"/>
      <c r="MHL12" s="12"/>
      <c r="MHM12" s="11"/>
      <c r="MHP12" s="12"/>
      <c r="MHQ12" s="11"/>
      <c r="MHT12" s="12"/>
      <c r="MHU12" s="11"/>
      <c r="MHX12" s="12"/>
      <c r="MHY12" s="11"/>
      <c r="MIB12" s="12"/>
      <c r="MIC12" s="11"/>
      <c r="MIF12" s="12"/>
      <c r="MIG12" s="11"/>
      <c r="MIJ12" s="12"/>
      <c r="MIK12" s="11"/>
      <c r="MIN12" s="12"/>
      <c r="MIO12" s="11"/>
      <c r="MIR12" s="12"/>
      <c r="MIS12" s="11"/>
      <c r="MIV12" s="12"/>
      <c r="MIW12" s="11"/>
      <c r="MIZ12" s="12"/>
      <c r="MJA12" s="11"/>
      <c r="MJD12" s="12"/>
      <c r="MJE12" s="11"/>
      <c r="MJH12" s="12"/>
      <c r="MJI12" s="11"/>
      <c r="MJL12" s="12"/>
      <c r="MJM12" s="11"/>
      <c r="MJP12" s="12"/>
      <c r="MJQ12" s="11"/>
      <c r="MJT12" s="12"/>
      <c r="MJU12" s="11"/>
      <c r="MJX12" s="12"/>
      <c r="MJY12" s="11"/>
      <c r="MKB12" s="12"/>
      <c r="MKC12" s="11"/>
      <c r="MKF12" s="12"/>
      <c r="MKG12" s="11"/>
      <c r="MKJ12" s="12"/>
      <c r="MKK12" s="11"/>
      <c r="MKN12" s="12"/>
      <c r="MKO12" s="11"/>
      <c r="MKR12" s="12"/>
      <c r="MKS12" s="11"/>
      <c r="MKV12" s="12"/>
      <c r="MKW12" s="11"/>
      <c r="MKZ12" s="12"/>
      <c r="MLA12" s="11"/>
      <c r="MLD12" s="12"/>
      <c r="MLE12" s="11"/>
      <c r="MLH12" s="12"/>
      <c r="MLI12" s="11"/>
      <c r="MLL12" s="12"/>
      <c r="MLM12" s="11"/>
      <c r="MLP12" s="12"/>
      <c r="MLQ12" s="11"/>
      <c r="MLT12" s="12"/>
      <c r="MLU12" s="11"/>
      <c r="MLX12" s="12"/>
      <c r="MLY12" s="11"/>
      <c r="MMB12" s="12"/>
      <c r="MMC12" s="11"/>
      <c r="MMF12" s="12"/>
      <c r="MMG12" s="11"/>
      <c r="MMJ12" s="12"/>
      <c r="MMK12" s="11"/>
      <c r="MMN12" s="12"/>
      <c r="MMO12" s="11"/>
      <c r="MMR12" s="12"/>
      <c r="MMS12" s="11"/>
      <c r="MMV12" s="12"/>
      <c r="MMW12" s="11"/>
      <c r="MMZ12" s="12"/>
      <c r="MNA12" s="11"/>
      <c r="MND12" s="12"/>
      <c r="MNE12" s="11"/>
      <c r="MNH12" s="12"/>
      <c r="MNI12" s="11"/>
      <c r="MNL12" s="12"/>
      <c r="MNM12" s="11"/>
      <c r="MNP12" s="12"/>
      <c r="MNQ12" s="11"/>
      <c r="MNT12" s="12"/>
      <c r="MNU12" s="11"/>
      <c r="MNX12" s="12"/>
      <c r="MNY12" s="11"/>
      <c r="MOB12" s="12"/>
      <c r="MOC12" s="11"/>
      <c r="MOF12" s="12"/>
      <c r="MOG12" s="11"/>
      <c r="MOJ12" s="12"/>
      <c r="MOK12" s="11"/>
      <c r="MON12" s="12"/>
      <c r="MOO12" s="11"/>
      <c r="MOR12" s="12"/>
      <c r="MOS12" s="11"/>
      <c r="MOV12" s="12"/>
      <c r="MOW12" s="11"/>
      <c r="MOZ12" s="12"/>
      <c r="MPA12" s="11"/>
      <c r="MPD12" s="12"/>
      <c r="MPE12" s="11"/>
      <c r="MPH12" s="12"/>
      <c r="MPI12" s="11"/>
      <c r="MPL12" s="12"/>
      <c r="MPM12" s="11"/>
      <c r="MPP12" s="12"/>
      <c r="MPQ12" s="11"/>
      <c r="MPT12" s="12"/>
      <c r="MPU12" s="11"/>
      <c r="MPX12" s="12"/>
      <c r="MPY12" s="11"/>
      <c r="MQB12" s="12"/>
      <c r="MQC12" s="11"/>
      <c r="MQF12" s="12"/>
      <c r="MQG12" s="11"/>
      <c r="MQJ12" s="12"/>
      <c r="MQK12" s="11"/>
      <c r="MQN12" s="12"/>
      <c r="MQO12" s="11"/>
      <c r="MQR12" s="12"/>
      <c r="MQS12" s="11"/>
      <c r="MQV12" s="12"/>
      <c r="MQW12" s="11"/>
      <c r="MQZ12" s="12"/>
      <c r="MRA12" s="11"/>
      <c r="MRD12" s="12"/>
      <c r="MRE12" s="11"/>
      <c r="MRH12" s="12"/>
      <c r="MRI12" s="11"/>
      <c r="MRL12" s="12"/>
      <c r="MRM12" s="11"/>
      <c r="MRP12" s="12"/>
      <c r="MRQ12" s="11"/>
      <c r="MRT12" s="12"/>
      <c r="MRU12" s="11"/>
      <c r="MRX12" s="12"/>
      <c r="MRY12" s="11"/>
      <c r="MSB12" s="12"/>
      <c r="MSC12" s="11"/>
      <c r="MSF12" s="12"/>
      <c r="MSG12" s="11"/>
      <c r="MSJ12" s="12"/>
      <c r="MSK12" s="11"/>
      <c r="MSN12" s="12"/>
      <c r="MSO12" s="11"/>
      <c r="MSR12" s="12"/>
      <c r="MSS12" s="11"/>
      <c r="MSV12" s="12"/>
      <c r="MSW12" s="11"/>
      <c r="MSZ12" s="12"/>
      <c r="MTA12" s="11"/>
      <c r="MTD12" s="12"/>
      <c r="MTE12" s="11"/>
      <c r="MTH12" s="12"/>
      <c r="MTI12" s="11"/>
      <c r="MTL12" s="12"/>
      <c r="MTM12" s="11"/>
      <c r="MTP12" s="12"/>
      <c r="MTQ12" s="11"/>
      <c r="MTT12" s="12"/>
      <c r="MTU12" s="11"/>
      <c r="MTX12" s="12"/>
      <c r="MTY12" s="11"/>
      <c r="MUB12" s="12"/>
      <c r="MUC12" s="11"/>
      <c r="MUF12" s="12"/>
      <c r="MUG12" s="11"/>
      <c r="MUJ12" s="12"/>
      <c r="MUK12" s="11"/>
      <c r="MUN12" s="12"/>
      <c r="MUO12" s="11"/>
      <c r="MUR12" s="12"/>
      <c r="MUS12" s="11"/>
      <c r="MUV12" s="12"/>
      <c r="MUW12" s="11"/>
      <c r="MUZ12" s="12"/>
      <c r="MVA12" s="11"/>
      <c r="MVD12" s="12"/>
      <c r="MVE12" s="11"/>
      <c r="MVH12" s="12"/>
      <c r="MVI12" s="11"/>
      <c r="MVL12" s="12"/>
      <c r="MVM12" s="11"/>
      <c r="MVP12" s="12"/>
      <c r="MVQ12" s="11"/>
      <c r="MVT12" s="12"/>
      <c r="MVU12" s="11"/>
      <c r="MVX12" s="12"/>
      <c r="MVY12" s="11"/>
      <c r="MWB12" s="12"/>
      <c r="MWC12" s="11"/>
      <c r="MWF12" s="12"/>
      <c r="MWG12" s="11"/>
      <c r="MWJ12" s="12"/>
      <c r="MWK12" s="11"/>
      <c r="MWN12" s="12"/>
      <c r="MWO12" s="11"/>
      <c r="MWR12" s="12"/>
      <c r="MWS12" s="11"/>
      <c r="MWV12" s="12"/>
      <c r="MWW12" s="11"/>
      <c r="MWZ12" s="12"/>
      <c r="MXA12" s="11"/>
      <c r="MXD12" s="12"/>
      <c r="MXE12" s="11"/>
      <c r="MXH12" s="12"/>
      <c r="MXI12" s="11"/>
      <c r="MXL12" s="12"/>
      <c r="MXM12" s="11"/>
      <c r="MXP12" s="12"/>
      <c r="MXQ12" s="11"/>
      <c r="MXT12" s="12"/>
      <c r="MXU12" s="11"/>
      <c r="MXX12" s="12"/>
      <c r="MXY12" s="11"/>
      <c r="MYB12" s="12"/>
      <c r="MYC12" s="11"/>
      <c r="MYF12" s="12"/>
      <c r="MYG12" s="11"/>
      <c r="MYJ12" s="12"/>
      <c r="MYK12" s="11"/>
      <c r="MYN12" s="12"/>
      <c r="MYO12" s="11"/>
      <c r="MYR12" s="12"/>
      <c r="MYS12" s="11"/>
      <c r="MYV12" s="12"/>
      <c r="MYW12" s="11"/>
      <c r="MYZ12" s="12"/>
      <c r="MZA12" s="11"/>
      <c r="MZD12" s="12"/>
      <c r="MZE12" s="11"/>
      <c r="MZH12" s="12"/>
      <c r="MZI12" s="11"/>
      <c r="MZL12" s="12"/>
      <c r="MZM12" s="11"/>
      <c r="MZP12" s="12"/>
      <c r="MZQ12" s="11"/>
      <c r="MZT12" s="12"/>
      <c r="MZU12" s="11"/>
      <c r="MZX12" s="12"/>
      <c r="MZY12" s="11"/>
      <c r="NAB12" s="12"/>
      <c r="NAC12" s="11"/>
      <c r="NAF12" s="12"/>
      <c r="NAG12" s="11"/>
      <c r="NAJ12" s="12"/>
      <c r="NAK12" s="11"/>
      <c r="NAN12" s="12"/>
      <c r="NAO12" s="11"/>
      <c r="NAR12" s="12"/>
      <c r="NAS12" s="11"/>
      <c r="NAV12" s="12"/>
      <c r="NAW12" s="11"/>
      <c r="NAZ12" s="12"/>
      <c r="NBA12" s="11"/>
      <c r="NBD12" s="12"/>
      <c r="NBE12" s="11"/>
      <c r="NBH12" s="12"/>
      <c r="NBI12" s="11"/>
      <c r="NBL12" s="12"/>
      <c r="NBM12" s="11"/>
      <c r="NBP12" s="12"/>
      <c r="NBQ12" s="11"/>
      <c r="NBT12" s="12"/>
      <c r="NBU12" s="11"/>
      <c r="NBX12" s="12"/>
      <c r="NBY12" s="11"/>
      <c r="NCB12" s="12"/>
      <c r="NCC12" s="11"/>
      <c r="NCF12" s="12"/>
      <c r="NCG12" s="11"/>
      <c r="NCJ12" s="12"/>
      <c r="NCK12" s="11"/>
      <c r="NCN12" s="12"/>
      <c r="NCO12" s="11"/>
      <c r="NCR12" s="12"/>
      <c r="NCS12" s="11"/>
      <c r="NCV12" s="12"/>
      <c r="NCW12" s="11"/>
      <c r="NCZ12" s="12"/>
      <c r="NDA12" s="11"/>
      <c r="NDD12" s="12"/>
      <c r="NDE12" s="11"/>
      <c r="NDH12" s="12"/>
      <c r="NDI12" s="11"/>
      <c r="NDL12" s="12"/>
      <c r="NDM12" s="11"/>
      <c r="NDP12" s="12"/>
      <c r="NDQ12" s="11"/>
      <c r="NDT12" s="12"/>
      <c r="NDU12" s="11"/>
      <c r="NDX12" s="12"/>
      <c r="NDY12" s="11"/>
      <c r="NEB12" s="12"/>
      <c r="NEC12" s="11"/>
      <c r="NEF12" s="12"/>
      <c r="NEG12" s="11"/>
      <c r="NEJ12" s="12"/>
      <c r="NEK12" s="11"/>
      <c r="NEN12" s="12"/>
      <c r="NEO12" s="11"/>
      <c r="NER12" s="12"/>
      <c r="NES12" s="11"/>
      <c r="NEV12" s="12"/>
      <c r="NEW12" s="11"/>
      <c r="NEZ12" s="12"/>
      <c r="NFA12" s="11"/>
      <c r="NFD12" s="12"/>
      <c r="NFE12" s="11"/>
      <c r="NFH12" s="12"/>
      <c r="NFI12" s="11"/>
      <c r="NFL12" s="12"/>
      <c r="NFM12" s="11"/>
      <c r="NFP12" s="12"/>
      <c r="NFQ12" s="11"/>
      <c r="NFT12" s="12"/>
      <c r="NFU12" s="11"/>
      <c r="NFX12" s="12"/>
      <c r="NFY12" s="11"/>
      <c r="NGB12" s="12"/>
      <c r="NGC12" s="11"/>
      <c r="NGF12" s="12"/>
      <c r="NGG12" s="11"/>
      <c r="NGJ12" s="12"/>
      <c r="NGK12" s="11"/>
      <c r="NGN12" s="12"/>
      <c r="NGO12" s="11"/>
      <c r="NGR12" s="12"/>
      <c r="NGS12" s="11"/>
      <c r="NGV12" s="12"/>
      <c r="NGW12" s="11"/>
      <c r="NGZ12" s="12"/>
      <c r="NHA12" s="11"/>
      <c r="NHD12" s="12"/>
      <c r="NHE12" s="11"/>
      <c r="NHH12" s="12"/>
      <c r="NHI12" s="11"/>
      <c r="NHL12" s="12"/>
      <c r="NHM12" s="11"/>
      <c r="NHP12" s="12"/>
      <c r="NHQ12" s="11"/>
      <c r="NHT12" s="12"/>
      <c r="NHU12" s="11"/>
      <c r="NHX12" s="12"/>
      <c r="NHY12" s="11"/>
      <c r="NIB12" s="12"/>
      <c r="NIC12" s="11"/>
      <c r="NIF12" s="12"/>
      <c r="NIG12" s="11"/>
      <c r="NIJ12" s="12"/>
      <c r="NIK12" s="11"/>
      <c r="NIN12" s="12"/>
      <c r="NIO12" s="11"/>
      <c r="NIR12" s="12"/>
      <c r="NIS12" s="11"/>
      <c r="NIV12" s="12"/>
      <c r="NIW12" s="11"/>
      <c r="NIZ12" s="12"/>
      <c r="NJA12" s="11"/>
      <c r="NJD12" s="12"/>
      <c r="NJE12" s="11"/>
      <c r="NJH12" s="12"/>
      <c r="NJI12" s="11"/>
      <c r="NJL12" s="12"/>
      <c r="NJM12" s="11"/>
      <c r="NJP12" s="12"/>
      <c r="NJQ12" s="11"/>
      <c r="NJT12" s="12"/>
      <c r="NJU12" s="11"/>
      <c r="NJX12" s="12"/>
      <c r="NJY12" s="11"/>
      <c r="NKB12" s="12"/>
      <c r="NKC12" s="11"/>
      <c r="NKF12" s="12"/>
      <c r="NKG12" s="11"/>
      <c r="NKJ12" s="12"/>
      <c r="NKK12" s="11"/>
      <c r="NKN12" s="12"/>
      <c r="NKO12" s="11"/>
      <c r="NKR12" s="12"/>
      <c r="NKS12" s="11"/>
      <c r="NKV12" s="12"/>
      <c r="NKW12" s="11"/>
      <c r="NKZ12" s="12"/>
      <c r="NLA12" s="11"/>
      <c r="NLD12" s="12"/>
      <c r="NLE12" s="11"/>
      <c r="NLH12" s="12"/>
      <c r="NLI12" s="11"/>
      <c r="NLL12" s="12"/>
      <c r="NLM12" s="11"/>
      <c r="NLP12" s="12"/>
      <c r="NLQ12" s="11"/>
      <c r="NLT12" s="12"/>
      <c r="NLU12" s="11"/>
      <c r="NLX12" s="12"/>
      <c r="NLY12" s="11"/>
      <c r="NMB12" s="12"/>
      <c r="NMC12" s="11"/>
      <c r="NMF12" s="12"/>
      <c r="NMG12" s="11"/>
      <c r="NMJ12" s="12"/>
      <c r="NMK12" s="11"/>
      <c r="NMN12" s="12"/>
      <c r="NMO12" s="11"/>
      <c r="NMR12" s="12"/>
      <c r="NMS12" s="11"/>
      <c r="NMV12" s="12"/>
      <c r="NMW12" s="11"/>
      <c r="NMZ12" s="12"/>
      <c r="NNA12" s="11"/>
      <c r="NND12" s="12"/>
      <c r="NNE12" s="11"/>
      <c r="NNH12" s="12"/>
      <c r="NNI12" s="11"/>
      <c r="NNL12" s="12"/>
      <c r="NNM12" s="11"/>
      <c r="NNP12" s="12"/>
      <c r="NNQ12" s="11"/>
      <c r="NNT12" s="12"/>
      <c r="NNU12" s="11"/>
      <c r="NNX12" s="12"/>
      <c r="NNY12" s="11"/>
      <c r="NOB12" s="12"/>
      <c r="NOC12" s="11"/>
      <c r="NOF12" s="12"/>
      <c r="NOG12" s="11"/>
      <c r="NOJ12" s="12"/>
      <c r="NOK12" s="11"/>
      <c r="NON12" s="12"/>
      <c r="NOO12" s="11"/>
      <c r="NOR12" s="12"/>
      <c r="NOS12" s="11"/>
      <c r="NOV12" s="12"/>
      <c r="NOW12" s="11"/>
      <c r="NOZ12" s="12"/>
      <c r="NPA12" s="11"/>
      <c r="NPD12" s="12"/>
      <c r="NPE12" s="11"/>
      <c r="NPH12" s="12"/>
      <c r="NPI12" s="11"/>
      <c r="NPL12" s="12"/>
      <c r="NPM12" s="11"/>
      <c r="NPP12" s="12"/>
      <c r="NPQ12" s="11"/>
      <c r="NPT12" s="12"/>
      <c r="NPU12" s="11"/>
      <c r="NPX12" s="12"/>
      <c r="NPY12" s="11"/>
      <c r="NQB12" s="12"/>
      <c r="NQC12" s="11"/>
      <c r="NQF12" s="12"/>
      <c r="NQG12" s="11"/>
      <c r="NQJ12" s="12"/>
      <c r="NQK12" s="11"/>
      <c r="NQN12" s="12"/>
      <c r="NQO12" s="11"/>
      <c r="NQR12" s="12"/>
      <c r="NQS12" s="11"/>
      <c r="NQV12" s="12"/>
      <c r="NQW12" s="11"/>
      <c r="NQZ12" s="12"/>
      <c r="NRA12" s="11"/>
      <c r="NRD12" s="12"/>
      <c r="NRE12" s="11"/>
      <c r="NRH12" s="12"/>
      <c r="NRI12" s="11"/>
      <c r="NRL12" s="12"/>
      <c r="NRM12" s="11"/>
      <c r="NRP12" s="12"/>
      <c r="NRQ12" s="11"/>
      <c r="NRT12" s="12"/>
      <c r="NRU12" s="11"/>
      <c r="NRX12" s="12"/>
      <c r="NRY12" s="11"/>
      <c r="NSB12" s="12"/>
      <c r="NSC12" s="11"/>
      <c r="NSF12" s="12"/>
      <c r="NSG12" s="11"/>
      <c r="NSJ12" s="12"/>
      <c r="NSK12" s="11"/>
      <c r="NSN12" s="12"/>
      <c r="NSO12" s="11"/>
      <c r="NSR12" s="12"/>
      <c r="NSS12" s="11"/>
      <c r="NSV12" s="12"/>
      <c r="NSW12" s="11"/>
      <c r="NSZ12" s="12"/>
      <c r="NTA12" s="11"/>
      <c r="NTD12" s="12"/>
      <c r="NTE12" s="11"/>
      <c r="NTH12" s="12"/>
      <c r="NTI12" s="11"/>
      <c r="NTL12" s="12"/>
      <c r="NTM12" s="11"/>
      <c r="NTP12" s="12"/>
      <c r="NTQ12" s="11"/>
      <c r="NTT12" s="12"/>
      <c r="NTU12" s="11"/>
      <c r="NTX12" s="12"/>
      <c r="NTY12" s="11"/>
      <c r="NUB12" s="12"/>
      <c r="NUC12" s="11"/>
      <c r="NUF12" s="12"/>
      <c r="NUG12" s="11"/>
      <c r="NUJ12" s="12"/>
      <c r="NUK12" s="11"/>
      <c r="NUN12" s="12"/>
      <c r="NUO12" s="11"/>
      <c r="NUR12" s="12"/>
      <c r="NUS12" s="11"/>
      <c r="NUV12" s="12"/>
      <c r="NUW12" s="11"/>
      <c r="NUZ12" s="12"/>
      <c r="NVA12" s="11"/>
      <c r="NVD12" s="12"/>
      <c r="NVE12" s="11"/>
      <c r="NVH12" s="12"/>
      <c r="NVI12" s="11"/>
      <c r="NVL12" s="12"/>
      <c r="NVM12" s="11"/>
      <c r="NVP12" s="12"/>
      <c r="NVQ12" s="11"/>
      <c r="NVT12" s="12"/>
      <c r="NVU12" s="11"/>
      <c r="NVX12" s="12"/>
      <c r="NVY12" s="11"/>
      <c r="NWB12" s="12"/>
      <c r="NWC12" s="11"/>
      <c r="NWF12" s="12"/>
      <c r="NWG12" s="11"/>
      <c r="NWJ12" s="12"/>
      <c r="NWK12" s="11"/>
      <c r="NWN12" s="12"/>
      <c r="NWO12" s="11"/>
      <c r="NWR12" s="12"/>
      <c r="NWS12" s="11"/>
      <c r="NWV12" s="12"/>
      <c r="NWW12" s="11"/>
      <c r="NWZ12" s="12"/>
      <c r="NXA12" s="11"/>
      <c r="NXD12" s="12"/>
      <c r="NXE12" s="11"/>
      <c r="NXH12" s="12"/>
      <c r="NXI12" s="11"/>
      <c r="NXL12" s="12"/>
      <c r="NXM12" s="11"/>
      <c r="NXP12" s="12"/>
      <c r="NXQ12" s="11"/>
      <c r="NXT12" s="12"/>
      <c r="NXU12" s="11"/>
      <c r="NXX12" s="12"/>
      <c r="NXY12" s="11"/>
      <c r="NYB12" s="12"/>
      <c r="NYC12" s="11"/>
      <c r="NYF12" s="12"/>
      <c r="NYG12" s="11"/>
      <c r="NYJ12" s="12"/>
      <c r="NYK12" s="11"/>
      <c r="NYN12" s="12"/>
      <c r="NYO12" s="11"/>
      <c r="NYR12" s="12"/>
      <c r="NYS12" s="11"/>
      <c r="NYV12" s="12"/>
      <c r="NYW12" s="11"/>
      <c r="NYZ12" s="12"/>
      <c r="NZA12" s="11"/>
      <c r="NZD12" s="12"/>
      <c r="NZE12" s="11"/>
      <c r="NZH12" s="12"/>
      <c r="NZI12" s="11"/>
      <c r="NZL12" s="12"/>
      <c r="NZM12" s="11"/>
      <c r="NZP12" s="12"/>
      <c r="NZQ12" s="11"/>
      <c r="NZT12" s="12"/>
      <c r="NZU12" s="11"/>
      <c r="NZX12" s="12"/>
      <c r="NZY12" s="11"/>
      <c r="OAB12" s="12"/>
      <c r="OAC12" s="11"/>
      <c r="OAF12" s="12"/>
      <c r="OAG12" s="11"/>
      <c r="OAJ12" s="12"/>
      <c r="OAK12" s="11"/>
      <c r="OAN12" s="12"/>
      <c r="OAO12" s="11"/>
      <c r="OAR12" s="12"/>
      <c r="OAS12" s="11"/>
      <c r="OAV12" s="12"/>
      <c r="OAW12" s="11"/>
      <c r="OAZ12" s="12"/>
      <c r="OBA12" s="11"/>
      <c r="OBD12" s="12"/>
      <c r="OBE12" s="11"/>
      <c r="OBH12" s="12"/>
      <c r="OBI12" s="11"/>
      <c r="OBL12" s="12"/>
      <c r="OBM12" s="11"/>
      <c r="OBP12" s="12"/>
      <c r="OBQ12" s="11"/>
      <c r="OBT12" s="12"/>
      <c r="OBU12" s="11"/>
      <c r="OBX12" s="12"/>
      <c r="OBY12" s="11"/>
      <c r="OCB12" s="12"/>
      <c r="OCC12" s="11"/>
      <c r="OCF12" s="12"/>
      <c r="OCG12" s="11"/>
      <c r="OCJ12" s="12"/>
      <c r="OCK12" s="11"/>
      <c r="OCN12" s="12"/>
      <c r="OCO12" s="11"/>
      <c r="OCR12" s="12"/>
      <c r="OCS12" s="11"/>
      <c r="OCV12" s="12"/>
      <c r="OCW12" s="11"/>
      <c r="OCZ12" s="12"/>
      <c r="ODA12" s="11"/>
      <c r="ODD12" s="12"/>
      <c r="ODE12" s="11"/>
      <c r="ODH12" s="12"/>
      <c r="ODI12" s="11"/>
      <c r="ODL12" s="12"/>
      <c r="ODM12" s="11"/>
      <c r="ODP12" s="12"/>
      <c r="ODQ12" s="11"/>
      <c r="ODT12" s="12"/>
      <c r="ODU12" s="11"/>
      <c r="ODX12" s="12"/>
      <c r="ODY12" s="11"/>
      <c r="OEB12" s="12"/>
      <c r="OEC12" s="11"/>
      <c r="OEF12" s="12"/>
      <c r="OEG12" s="11"/>
      <c r="OEJ12" s="12"/>
      <c r="OEK12" s="11"/>
      <c r="OEN12" s="12"/>
      <c r="OEO12" s="11"/>
      <c r="OER12" s="12"/>
      <c r="OES12" s="11"/>
      <c r="OEV12" s="12"/>
      <c r="OEW12" s="11"/>
      <c r="OEZ12" s="12"/>
      <c r="OFA12" s="11"/>
      <c r="OFD12" s="12"/>
      <c r="OFE12" s="11"/>
      <c r="OFH12" s="12"/>
      <c r="OFI12" s="11"/>
      <c r="OFL12" s="12"/>
      <c r="OFM12" s="11"/>
      <c r="OFP12" s="12"/>
      <c r="OFQ12" s="11"/>
      <c r="OFT12" s="12"/>
      <c r="OFU12" s="11"/>
      <c r="OFX12" s="12"/>
      <c r="OFY12" s="11"/>
      <c r="OGB12" s="12"/>
      <c r="OGC12" s="11"/>
      <c r="OGF12" s="12"/>
      <c r="OGG12" s="11"/>
      <c r="OGJ12" s="12"/>
      <c r="OGK12" s="11"/>
      <c r="OGN12" s="12"/>
      <c r="OGO12" s="11"/>
      <c r="OGR12" s="12"/>
      <c r="OGS12" s="11"/>
      <c r="OGV12" s="12"/>
      <c r="OGW12" s="11"/>
      <c r="OGZ12" s="12"/>
      <c r="OHA12" s="11"/>
      <c r="OHD12" s="12"/>
      <c r="OHE12" s="11"/>
      <c r="OHH12" s="12"/>
      <c r="OHI12" s="11"/>
      <c r="OHL12" s="12"/>
      <c r="OHM12" s="11"/>
      <c r="OHP12" s="12"/>
      <c r="OHQ12" s="11"/>
      <c r="OHT12" s="12"/>
      <c r="OHU12" s="11"/>
      <c r="OHX12" s="12"/>
      <c r="OHY12" s="11"/>
      <c r="OIB12" s="12"/>
      <c r="OIC12" s="11"/>
      <c r="OIF12" s="12"/>
      <c r="OIG12" s="11"/>
      <c r="OIJ12" s="12"/>
      <c r="OIK12" s="11"/>
      <c r="OIN12" s="12"/>
      <c r="OIO12" s="11"/>
      <c r="OIR12" s="12"/>
      <c r="OIS12" s="11"/>
      <c r="OIV12" s="12"/>
      <c r="OIW12" s="11"/>
      <c r="OIZ12" s="12"/>
      <c r="OJA12" s="11"/>
      <c r="OJD12" s="12"/>
      <c r="OJE12" s="11"/>
      <c r="OJH12" s="12"/>
      <c r="OJI12" s="11"/>
      <c r="OJL12" s="12"/>
      <c r="OJM12" s="11"/>
      <c r="OJP12" s="12"/>
      <c r="OJQ12" s="11"/>
      <c r="OJT12" s="12"/>
      <c r="OJU12" s="11"/>
      <c r="OJX12" s="12"/>
      <c r="OJY12" s="11"/>
      <c r="OKB12" s="12"/>
      <c r="OKC12" s="11"/>
      <c r="OKF12" s="12"/>
      <c r="OKG12" s="11"/>
      <c r="OKJ12" s="12"/>
      <c r="OKK12" s="11"/>
      <c r="OKN12" s="12"/>
      <c r="OKO12" s="11"/>
      <c r="OKR12" s="12"/>
      <c r="OKS12" s="11"/>
      <c r="OKV12" s="12"/>
      <c r="OKW12" s="11"/>
      <c r="OKZ12" s="12"/>
      <c r="OLA12" s="11"/>
      <c r="OLD12" s="12"/>
      <c r="OLE12" s="11"/>
      <c r="OLH12" s="12"/>
      <c r="OLI12" s="11"/>
      <c r="OLL12" s="12"/>
      <c r="OLM12" s="11"/>
      <c r="OLP12" s="12"/>
      <c r="OLQ12" s="11"/>
      <c r="OLT12" s="12"/>
      <c r="OLU12" s="11"/>
      <c r="OLX12" s="12"/>
      <c r="OLY12" s="11"/>
      <c r="OMB12" s="12"/>
      <c r="OMC12" s="11"/>
      <c r="OMF12" s="12"/>
      <c r="OMG12" s="11"/>
      <c r="OMJ12" s="12"/>
      <c r="OMK12" s="11"/>
      <c r="OMN12" s="12"/>
      <c r="OMO12" s="11"/>
      <c r="OMR12" s="12"/>
      <c r="OMS12" s="11"/>
      <c r="OMV12" s="12"/>
      <c r="OMW12" s="11"/>
      <c r="OMZ12" s="12"/>
      <c r="ONA12" s="11"/>
      <c r="OND12" s="12"/>
      <c r="ONE12" s="11"/>
      <c r="ONH12" s="12"/>
      <c r="ONI12" s="11"/>
      <c r="ONL12" s="12"/>
      <c r="ONM12" s="11"/>
      <c r="ONP12" s="12"/>
      <c r="ONQ12" s="11"/>
      <c r="ONT12" s="12"/>
      <c r="ONU12" s="11"/>
      <c r="ONX12" s="12"/>
      <c r="ONY12" s="11"/>
      <c r="OOB12" s="12"/>
      <c r="OOC12" s="11"/>
      <c r="OOF12" s="12"/>
      <c r="OOG12" s="11"/>
      <c r="OOJ12" s="12"/>
      <c r="OOK12" s="11"/>
      <c r="OON12" s="12"/>
      <c r="OOO12" s="11"/>
      <c r="OOR12" s="12"/>
      <c r="OOS12" s="11"/>
      <c r="OOV12" s="12"/>
      <c r="OOW12" s="11"/>
      <c r="OOZ12" s="12"/>
      <c r="OPA12" s="11"/>
      <c r="OPD12" s="12"/>
      <c r="OPE12" s="11"/>
      <c r="OPH12" s="12"/>
      <c r="OPI12" s="11"/>
      <c r="OPL12" s="12"/>
      <c r="OPM12" s="11"/>
      <c r="OPP12" s="12"/>
      <c r="OPQ12" s="11"/>
      <c r="OPT12" s="12"/>
      <c r="OPU12" s="11"/>
      <c r="OPX12" s="12"/>
      <c r="OPY12" s="11"/>
      <c r="OQB12" s="12"/>
      <c r="OQC12" s="11"/>
      <c r="OQF12" s="12"/>
      <c r="OQG12" s="11"/>
      <c r="OQJ12" s="12"/>
      <c r="OQK12" s="11"/>
      <c r="OQN12" s="12"/>
      <c r="OQO12" s="11"/>
      <c r="OQR12" s="12"/>
      <c r="OQS12" s="11"/>
      <c r="OQV12" s="12"/>
      <c r="OQW12" s="11"/>
      <c r="OQZ12" s="12"/>
      <c r="ORA12" s="11"/>
      <c r="ORD12" s="12"/>
      <c r="ORE12" s="11"/>
      <c r="ORH12" s="12"/>
      <c r="ORI12" s="11"/>
      <c r="ORL12" s="12"/>
      <c r="ORM12" s="11"/>
      <c r="ORP12" s="12"/>
      <c r="ORQ12" s="11"/>
      <c r="ORT12" s="12"/>
      <c r="ORU12" s="11"/>
      <c r="ORX12" s="12"/>
      <c r="ORY12" s="11"/>
      <c r="OSB12" s="12"/>
      <c r="OSC12" s="11"/>
      <c r="OSF12" s="12"/>
      <c r="OSG12" s="11"/>
      <c r="OSJ12" s="12"/>
      <c r="OSK12" s="11"/>
      <c r="OSN12" s="12"/>
      <c r="OSO12" s="11"/>
      <c r="OSR12" s="12"/>
      <c r="OSS12" s="11"/>
      <c r="OSV12" s="12"/>
      <c r="OSW12" s="11"/>
      <c r="OSZ12" s="12"/>
      <c r="OTA12" s="11"/>
      <c r="OTD12" s="12"/>
      <c r="OTE12" s="11"/>
      <c r="OTH12" s="12"/>
      <c r="OTI12" s="11"/>
      <c r="OTL12" s="12"/>
      <c r="OTM12" s="11"/>
      <c r="OTP12" s="12"/>
      <c r="OTQ12" s="11"/>
      <c r="OTT12" s="12"/>
      <c r="OTU12" s="11"/>
      <c r="OTX12" s="12"/>
      <c r="OTY12" s="11"/>
      <c r="OUB12" s="12"/>
      <c r="OUC12" s="11"/>
      <c r="OUF12" s="12"/>
      <c r="OUG12" s="11"/>
      <c r="OUJ12" s="12"/>
      <c r="OUK12" s="11"/>
      <c r="OUN12" s="12"/>
      <c r="OUO12" s="11"/>
      <c r="OUR12" s="12"/>
      <c r="OUS12" s="11"/>
      <c r="OUV12" s="12"/>
      <c r="OUW12" s="11"/>
      <c r="OUZ12" s="12"/>
      <c r="OVA12" s="11"/>
      <c r="OVD12" s="12"/>
      <c r="OVE12" s="11"/>
      <c r="OVH12" s="12"/>
      <c r="OVI12" s="11"/>
      <c r="OVL12" s="12"/>
      <c r="OVM12" s="11"/>
      <c r="OVP12" s="12"/>
      <c r="OVQ12" s="11"/>
      <c r="OVT12" s="12"/>
      <c r="OVU12" s="11"/>
      <c r="OVX12" s="12"/>
      <c r="OVY12" s="11"/>
      <c r="OWB12" s="12"/>
      <c r="OWC12" s="11"/>
      <c r="OWF12" s="12"/>
      <c r="OWG12" s="11"/>
      <c r="OWJ12" s="12"/>
      <c r="OWK12" s="11"/>
      <c r="OWN12" s="12"/>
      <c r="OWO12" s="11"/>
      <c r="OWR12" s="12"/>
      <c r="OWS12" s="11"/>
      <c r="OWV12" s="12"/>
      <c r="OWW12" s="11"/>
      <c r="OWZ12" s="12"/>
      <c r="OXA12" s="11"/>
      <c r="OXD12" s="12"/>
      <c r="OXE12" s="11"/>
      <c r="OXH12" s="12"/>
      <c r="OXI12" s="11"/>
      <c r="OXL12" s="12"/>
      <c r="OXM12" s="11"/>
      <c r="OXP12" s="12"/>
      <c r="OXQ12" s="11"/>
      <c r="OXT12" s="12"/>
      <c r="OXU12" s="11"/>
      <c r="OXX12" s="12"/>
      <c r="OXY12" s="11"/>
      <c r="OYB12" s="12"/>
      <c r="OYC12" s="11"/>
      <c r="OYF12" s="12"/>
      <c r="OYG12" s="11"/>
      <c r="OYJ12" s="12"/>
      <c r="OYK12" s="11"/>
      <c r="OYN12" s="12"/>
      <c r="OYO12" s="11"/>
      <c r="OYR12" s="12"/>
      <c r="OYS12" s="11"/>
      <c r="OYV12" s="12"/>
      <c r="OYW12" s="11"/>
      <c r="OYZ12" s="12"/>
      <c r="OZA12" s="11"/>
      <c r="OZD12" s="12"/>
      <c r="OZE12" s="11"/>
      <c r="OZH12" s="12"/>
      <c r="OZI12" s="11"/>
      <c r="OZL12" s="12"/>
      <c r="OZM12" s="11"/>
      <c r="OZP12" s="12"/>
      <c r="OZQ12" s="11"/>
      <c r="OZT12" s="12"/>
      <c r="OZU12" s="11"/>
      <c r="OZX12" s="12"/>
      <c r="OZY12" s="11"/>
      <c r="PAB12" s="12"/>
      <c r="PAC12" s="11"/>
      <c r="PAF12" s="12"/>
      <c r="PAG12" s="11"/>
      <c r="PAJ12" s="12"/>
      <c r="PAK12" s="11"/>
      <c r="PAN12" s="12"/>
      <c r="PAO12" s="11"/>
      <c r="PAR12" s="12"/>
      <c r="PAS12" s="11"/>
      <c r="PAV12" s="12"/>
      <c r="PAW12" s="11"/>
      <c r="PAZ12" s="12"/>
      <c r="PBA12" s="11"/>
      <c r="PBD12" s="12"/>
      <c r="PBE12" s="11"/>
      <c r="PBH12" s="12"/>
      <c r="PBI12" s="11"/>
      <c r="PBL12" s="12"/>
      <c r="PBM12" s="11"/>
      <c r="PBP12" s="12"/>
      <c r="PBQ12" s="11"/>
      <c r="PBT12" s="12"/>
      <c r="PBU12" s="11"/>
      <c r="PBX12" s="12"/>
      <c r="PBY12" s="11"/>
      <c r="PCB12" s="12"/>
      <c r="PCC12" s="11"/>
      <c r="PCF12" s="12"/>
      <c r="PCG12" s="11"/>
      <c r="PCJ12" s="12"/>
      <c r="PCK12" s="11"/>
      <c r="PCN12" s="12"/>
      <c r="PCO12" s="11"/>
      <c r="PCR12" s="12"/>
      <c r="PCS12" s="11"/>
      <c r="PCV12" s="12"/>
      <c r="PCW12" s="11"/>
      <c r="PCZ12" s="12"/>
      <c r="PDA12" s="11"/>
      <c r="PDD12" s="12"/>
      <c r="PDE12" s="11"/>
      <c r="PDH12" s="12"/>
      <c r="PDI12" s="11"/>
      <c r="PDL12" s="12"/>
      <c r="PDM12" s="11"/>
      <c r="PDP12" s="12"/>
      <c r="PDQ12" s="11"/>
      <c r="PDT12" s="12"/>
      <c r="PDU12" s="11"/>
      <c r="PDX12" s="12"/>
      <c r="PDY12" s="11"/>
      <c r="PEB12" s="12"/>
      <c r="PEC12" s="11"/>
      <c r="PEF12" s="12"/>
      <c r="PEG12" s="11"/>
      <c r="PEJ12" s="12"/>
      <c r="PEK12" s="11"/>
      <c r="PEN12" s="12"/>
      <c r="PEO12" s="11"/>
      <c r="PER12" s="12"/>
      <c r="PES12" s="11"/>
      <c r="PEV12" s="12"/>
      <c r="PEW12" s="11"/>
      <c r="PEZ12" s="12"/>
      <c r="PFA12" s="11"/>
      <c r="PFD12" s="12"/>
      <c r="PFE12" s="11"/>
      <c r="PFH12" s="12"/>
      <c r="PFI12" s="11"/>
      <c r="PFL12" s="12"/>
      <c r="PFM12" s="11"/>
      <c r="PFP12" s="12"/>
      <c r="PFQ12" s="11"/>
      <c r="PFT12" s="12"/>
      <c r="PFU12" s="11"/>
      <c r="PFX12" s="12"/>
      <c r="PFY12" s="11"/>
      <c r="PGB12" s="12"/>
      <c r="PGC12" s="11"/>
      <c r="PGF12" s="12"/>
      <c r="PGG12" s="11"/>
      <c r="PGJ12" s="12"/>
      <c r="PGK12" s="11"/>
      <c r="PGN12" s="12"/>
      <c r="PGO12" s="11"/>
      <c r="PGR12" s="12"/>
      <c r="PGS12" s="11"/>
      <c r="PGV12" s="12"/>
      <c r="PGW12" s="11"/>
      <c r="PGZ12" s="12"/>
      <c r="PHA12" s="11"/>
      <c r="PHD12" s="12"/>
      <c r="PHE12" s="11"/>
      <c r="PHH12" s="12"/>
      <c r="PHI12" s="11"/>
      <c r="PHL12" s="12"/>
      <c r="PHM12" s="11"/>
      <c r="PHP12" s="12"/>
      <c r="PHQ12" s="11"/>
      <c r="PHT12" s="12"/>
      <c r="PHU12" s="11"/>
      <c r="PHX12" s="12"/>
      <c r="PHY12" s="11"/>
      <c r="PIB12" s="12"/>
      <c r="PIC12" s="11"/>
      <c r="PIF12" s="12"/>
      <c r="PIG12" s="11"/>
      <c r="PIJ12" s="12"/>
      <c r="PIK12" s="11"/>
      <c r="PIN12" s="12"/>
      <c r="PIO12" s="11"/>
      <c r="PIR12" s="12"/>
      <c r="PIS12" s="11"/>
      <c r="PIV12" s="12"/>
      <c r="PIW12" s="11"/>
      <c r="PIZ12" s="12"/>
      <c r="PJA12" s="11"/>
      <c r="PJD12" s="12"/>
      <c r="PJE12" s="11"/>
      <c r="PJH12" s="12"/>
      <c r="PJI12" s="11"/>
      <c r="PJL12" s="12"/>
      <c r="PJM12" s="11"/>
      <c r="PJP12" s="12"/>
      <c r="PJQ12" s="11"/>
      <c r="PJT12" s="12"/>
      <c r="PJU12" s="11"/>
      <c r="PJX12" s="12"/>
      <c r="PJY12" s="11"/>
      <c r="PKB12" s="12"/>
      <c r="PKC12" s="11"/>
      <c r="PKF12" s="12"/>
      <c r="PKG12" s="11"/>
      <c r="PKJ12" s="12"/>
      <c r="PKK12" s="11"/>
      <c r="PKN12" s="12"/>
      <c r="PKO12" s="11"/>
      <c r="PKR12" s="12"/>
      <c r="PKS12" s="11"/>
      <c r="PKV12" s="12"/>
      <c r="PKW12" s="11"/>
      <c r="PKZ12" s="12"/>
      <c r="PLA12" s="11"/>
      <c r="PLD12" s="12"/>
      <c r="PLE12" s="11"/>
      <c r="PLH12" s="12"/>
      <c r="PLI12" s="11"/>
      <c r="PLL12" s="12"/>
      <c r="PLM12" s="11"/>
      <c r="PLP12" s="12"/>
      <c r="PLQ12" s="11"/>
      <c r="PLT12" s="12"/>
      <c r="PLU12" s="11"/>
      <c r="PLX12" s="12"/>
      <c r="PLY12" s="11"/>
      <c r="PMB12" s="12"/>
      <c r="PMC12" s="11"/>
      <c r="PMF12" s="12"/>
      <c r="PMG12" s="11"/>
      <c r="PMJ12" s="12"/>
      <c r="PMK12" s="11"/>
      <c r="PMN12" s="12"/>
      <c r="PMO12" s="11"/>
      <c r="PMR12" s="12"/>
      <c r="PMS12" s="11"/>
      <c r="PMV12" s="12"/>
      <c r="PMW12" s="11"/>
      <c r="PMZ12" s="12"/>
      <c r="PNA12" s="11"/>
      <c r="PND12" s="12"/>
      <c r="PNE12" s="11"/>
      <c r="PNH12" s="12"/>
      <c r="PNI12" s="11"/>
      <c r="PNL12" s="12"/>
      <c r="PNM12" s="11"/>
      <c r="PNP12" s="12"/>
      <c r="PNQ12" s="11"/>
      <c r="PNT12" s="12"/>
      <c r="PNU12" s="11"/>
      <c r="PNX12" s="12"/>
      <c r="PNY12" s="11"/>
      <c r="POB12" s="12"/>
      <c r="POC12" s="11"/>
      <c r="POF12" s="12"/>
      <c r="POG12" s="11"/>
      <c r="POJ12" s="12"/>
      <c r="POK12" s="11"/>
      <c r="PON12" s="12"/>
      <c r="POO12" s="11"/>
      <c r="POR12" s="12"/>
      <c r="POS12" s="11"/>
      <c r="POV12" s="12"/>
      <c r="POW12" s="11"/>
      <c r="POZ12" s="12"/>
      <c r="PPA12" s="11"/>
      <c r="PPD12" s="12"/>
      <c r="PPE12" s="11"/>
      <c r="PPH12" s="12"/>
      <c r="PPI12" s="11"/>
      <c r="PPL12" s="12"/>
      <c r="PPM12" s="11"/>
      <c r="PPP12" s="12"/>
      <c r="PPQ12" s="11"/>
      <c r="PPT12" s="12"/>
      <c r="PPU12" s="11"/>
      <c r="PPX12" s="12"/>
      <c r="PPY12" s="11"/>
      <c r="PQB12" s="12"/>
      <c r="PQC12" s="11"/>
      <c r="PQF12" s="12"/>
      <c r="PQG12" s="11"/>
      <c r="PQJ12" s="12"/>
      <c r="PQK12" s="11"/>
      <c r="PQN12" s="12"/>
      <c r="PQO12" s="11"/>
      <c r="PQR12" s="12"/>
      <c r="PQS12" s="11"/>
      <c r="PQV12" s="12"/>
      <c r="PQW12" s="11"/>
      <c r="PQZ12" s="12"/>
      <c r="PRA12" s="11"/>
      <c r="PRD12" s="12"/>
      <c r="PRE12" s="11"/>
      <c r="PRH12" s="12"/>
      <c r="PRI12" s="11"/>
      <c r="PRL12" s="12"/>
      <c r="PRM12" s="11"/>
      <c r="PRP12" s="12"/>
      <c r="PRQ12" s="11"/>
      <c r="PRT12" s="12"/>
      <c r="PRU12" s="11"/>
      <c r="PRX12" s="12"/>
      <c r="PRY12" s="11"/>
      <c r="PSB12" s="12"/>
      <c r="PSC12" s="11"/>
      <c r="PSF12" s="12"/>
      <c r="PSG12" s="11"/>
      <c r="PSJ12" s="12"/>
      <c r="PSK12" s="11"/>
      <c r="PSN12" s="12"/>
      <c r="PSO12" s="11"/>
      <c r="PSR12" s="12"/>
      <c r="PSS12" s="11"/>
      <c r="PSV12" s="12"/>
      <c r="PSW12" s="11"/>
      <c r="PSZ12" s="12"/>
      <c r="PTA12" s="11"/>
      <c r="PTD12" s="12"/>
      <c r="PTE12" s="11"/>
      <c r="PTH12" s="12"/>
      <c r="PTI12" s="11"/>
      <c r="PTL12" s="12"/>
      <c r="PTM12" s="11"/>
      <c r="PTP12" s="12"/>
      <c r="PTQ12" s="11"/>
      <c r="PTT12" s="12"/>
      <c r="PTU12" s="11"/>
      <c r="PTX12" s="12"/>
      <c r="PTY12" s="11"/>
      <c r="PUB12" s="12"/>
      <c r="PUC12" s="11"/>
      <c r="PUF12" s="12"/>
      <c r="PUG12" s="11"/>
      <c r="PUJ12" s="12"/>
      <c r="PUK12" s="11"/>
      <c r="PUN12" s="12"/>
      <c r="PUO12" s="11"/>
      <c r="PUR12" s="12"/>
      <c r="PUS12" s="11"/>
      <c r="PUV12" s="12"/>
      <c r="PUW12" s="11"/>
      <c r="PUZ12" s="12"/>
      <c r="PVA12" s="11"/>
      <c r="PVD12" s="12"/>
      <c r="PVE12" s="11"/>
      <c r="PVH12" s="12"/>
      <c r="PVI12" s="11"/>
      <c r="PVL12" s="12"/>
      <c r="PVM12" s="11"/>
      <c r="PVP12" s="12"/>
      <c r="PVQ12" s="11"/>
      <c r="PVT12" s="12"/>
      <c r="PVU12" s="11"/>
      <c r="PVX12" s="12"/>
      <c r="PVY12" s="11"/>
      <c r="PWB12" s="12"/>
      <c r="PWC12" s="11"/>
      <c r="PWF12" s="12"/>
      <c r="PWG12" s="11"/>
      <c r="PWJ12" s="12"/>
      <c r="PWK12" s="11"/>
      <c r="PWN12" s="12"/>
      <c r="PWO12" s="11"/>
      <c r="PWR12" s="12"/>
      <c r="PWS12" s="11"/>
      <c r="PWV12" s="12"/>
      <c r="PWW12" s="11"/>
      <c r="PWZ12" s="12"/>
      <c r="PXA12" s="11"/>
      <c r="PXD12" s="12"/>
      <c r="PXE12" s="11"/>
      <c r="PXH12" s="12"/>
      <c r="PXI12" s="11"/>
      <c r="PXL12" s="12"/>
      <c r="PXM12" s="11"/>
      <c r="PXP12" s="12"/>
      <c r="PXQ12" s="11"/>
      <c r="PXT12" s="12"/>
      <c r="PXU12" s="11"/>
      <c r="PXX12" s="12"/>
      <c r="PXY12" s="11"/>
      <c r="PYB12" s="12"/>
      <c r="PYC12" s="11"/>
      <c r="PYF12" s="12"/>
      <c r="PYG12" s="11"/>
      <c r="PYJ12" s="12"/>
      <c r="PYK12" s="11"/>
      <c r="PYN12" s="12"/>
      <c r="PYO12" s="11"/>
      <c r="PYR12" s="12"/>
      <c r="PYS12" s="11"/>
      <c r="PYV12" s="12"/>
      <c r="PYW12" s="11"/>
      <c r="PYZ12" s="12"/>
      <c r="PZA12" s="11"/>
      <c r="PZD12" s="12"/>
      <c r="PZE12" s="11"/>
      <c r="PZH12" s="12"/>
      <c r="PZI12" s="11"/>
      <c r="PZL12" s="12"/>
      <c r="PZM12" s="11"/>
      <c r="PZP12" s="12"/>
      <c r="PZQ12" s="11"/>
      <c r="PZT12" s="12"/>
      <c r="PZU12" s="11"/>
      <c r="PZX12" s="12"/>
      <c r="PZY12" s="11"/>
      <c r="QAB12" s="12"/>
      <c r="QAC12" s="11"/>
      <c r="QAF12" s="12"/>
      <c r="QAG12" s="11"/>
      <c r="QAJ12" s="12"/>
      <c r="QAK12" s="11"/>
      <c r="QAN12" s="12"/>
      <c r="QAO12" s="11"/>
      <c r="QAR12" s="12"/>
      <c r="QAS12" s="11"/>
      <c r="QAV12" s="12"/>
      <c r="QAW12" s="11"/>
      <c r="QAZ12" s="12"/>
      <c r="QBA12" s="11"/>
      <c r="QBD12" s="12"/>
      <c r="QBE12" s="11"/>
      <c r="QBH12" s="12"/>
      <c r="QBI12" s="11"/>
      <c r="QBL12" s="12"/>
      <c r="QBM12" s="11"/>
      <c r="QBP12" s="12"/>
      <c r="QBQ12" s="11"/>
      <c r="QBT12" s="12"/>
      <c r="QBU12" s="11"/>
      <c r="QBX12" s="12"/>
      <c r="QBY12" s="11"/>
      <c r="QCB12" s="12"/>
      <c r="QCC12" s="11"/>
      <c r="QCF12" s="12"/>
      <c r="QCG12" s="11"/>
      <c r="QCJ12" s="12"/>
      <c r="QCK12" s="11"/>
      <c r="QCN12" s="12"/>
      <c r="QCO12" s="11"/>
      <c r="QCR12" s="12"/>
      <c r="QCS12" s="11"/>
      <c r="QCV12" s="12"/>
      <c r="QCW12" s="11"/>
      <c r="QCZ12" s="12"/>
      <c r="QDA12" s="11"/>
      <c r="QDD12" s="12"/>
      <c r="QDE12" s="11"/>
      <c r="QDH12" s="12"/>
      <c r="QDI12" s="11"/>
      <c r="QDL12" s="12"/>
      <c r="QDM12" s="11"/>
      <c r="QDP12" s="12"/>
      <c r="QDQ12" s="11"/>
      <c r="QDT12" s="12"/>
      <c r="QDU12" s="11"/>
      <c r="QDX12" s="12"/>
      <c r="QDY12" s="11"/>
      <c r="QEB12" s="12"/>
      <c r="QEC12" s="11"/>
      <c r="QEF12" s="12"/>
      <c r="QEG12" s="11"/>
      <c r="QEJ12" s="12"/>
      <c r="QEK12" s="11"/>
      <c r="QEN12" s="12"/>
      <c r="QEO12" s="11"/>
      <c r="QER12" s="12"/>
      <c r="QES12" s="11"/>
      <c r="QEV12" s="12"/>
      <c r="QEW12" s="11"/>
      <c r="QEZ12" s="12"/>
      <c r="QFA12" s="11"/>
      <c r="QFD12" s="12"/>
      <c r="QFE12" s="11"/>
      <c r="QFH12" s="12"/>
      <c r="QFI12" s="11"/>
      <c r="QFL12" s="12"/>
      <c r="QFM12" s="11"/>
      <c r="QFP12" s="12"/>
      <c r="QFQ12" s="11"/>
      <c r="QFT12" s="12"/>
      <c r="QFU12" s="11"/>
      <c r="QFX12" s="12"/>
      <c r="QFY12" s="11"/>
      <c r="QGB12" s="12"/>
      <c r="QGC12" s="11"/>
      <c r="QGF12" s="12"/>
      <c r="QGG12" s="11"/>
      <c r="QGJ12" s="12"/>
      <c r="QGK12" s="11"/>
      <c r="QGN12" s="12"/>
      <c r="QGO12" s="11"/>
      <c r="QGR12" s="12"/>
      <c r="QGS12" s="11"/>
      <c r="QGV12" s="12"/>
      <c r="QGW12" s="11"/>
      <c r="QGZ12" s="12"/>
      <c r="QHA12" s="11"/>
      <c r="QHD12" s="12"/>
      <c r="QHE12" s="11"/>
      <c r="QHH12" s="12"/>
      <c r="QHI12" s="11"/>
      <c r="QHL12" s="12"/>
      <c r="QHM12" s="11"/>
      <c r="QHP12" s="12"/>
      <c r="QHQ12" s="11"/>
      <c r="QHT12" s="12"/>
      <c r="QHU12" s="11"/>
      <c r="QHX12" s="12"/>
      <c r="QHY12" s="11"/>
      <c r="QIB12" s="12"/>
      <c r="QIC12" s="11"/>
      <c r="QIF12" s="12"/>
      <c r="QIG12" s="11"/>
      <c r="QIJ12" s="12"/>
      <c r="QIK12" s="11"/>
      <c r="QIN12" s="12"/>
      <c r="QIO12" s="11"/>
      <c r="QIR12" s="12"/>
      <c r="QIS12" s="11"/>
      <c r="QIV12" s="12"/>
      <c r="QIW12" s="11"/>
      <c r="QIZ12" s="12"/>
      <c r="QJA12" s="11"/>
      <c r="QJD12" s="12"/>
      <c r="QJE12" s="11"/>
      <c r="QJH12" s="12"/>
      <c r="QJI12" s="11"/>
      <c r="QJL12" s="12"/>
      <c r="QJM12" s="11"/>
      <c r="QJP12" s="12"/>
      <c r="QJQ12" s="11"/>
      <c r="QJT12" s="12"/>
      <c r="QJU12" s="11"/>
      <c r="QJX12" s="12"/>
      <c r="QJY12" s="11"/>
      <c r="QKB12" s="12"/>
      <c r="QKC12" s="11"/>
      <c r="QKF12" s="12"/>
      <c r="QKG12" s="11"/>
      <c r="QKJ12" s="12"/>
      <c r="QKK12" s="11"/>
      <c r="QKN12" s="12"/>
      <c r="QKO12" s="11"/>
      <c r="QKR12" s="12"/>
      <c r="QKS12" s="11"/>
      <c r="QKV12" s="12"/>
      <c r="QKW12" s="11"/>
      <c r="QKZ12" s="12"/>
      <c r="QLA12" s="11"/>
      <c r="QLD12" s="12"/>
      <c r="QLE12" s="11"/>
      <c r="QLH12" s="12"/>
      <c r="QLI12" s="11"/>
      <c r="QLL12" s="12"/>
      <c r="QLM12" s="11"/>
      <c r="QLP12" s="12"/>
      <c r="QLQ12" s="11"/>
      <c r="QLT12" s="12"/>
      <c r="QLU12" s="11"/>
      <c r="QLX12" s="12"/>
      <c r="QLY12" s="11"/>
      <c r="QMB12" s="12"/>
      <c r="QMC12" s="11"/>
      <c r="QMF12" s="12"/>
      <c r="QMG12" s="11"/>
      <c r="QMJ12" s="12"/>
      <c r="QMK12" s="11"/>
      <c r="QMN12" s="12"/>
      <c r="QMO12" s="11"/>
      <c r="QMR12" s="12"/>
      <c r="QMS12" s="11"/>
      <c r="QMV12" s="12"/>
      <c r="QMW12" s="11"/>
      <c r="QMZ12" s="12"/>
      <c r="QNA12" s="11"/>
      <c r="QND12" s="12"/>
      <c r="QNE12" s="11"/>
      <c r="QNH12" s="12"/>
      <c r="QNI12" s="11"/>
      <c r="QNL12" s="12"/>
      <c r="QNM12" s="11"/>
      <c r="QNP12" s="12"/>
      <c r="QNQ12" s="11"/>
      <c r="QNT12" s="12"/>
      <c r="QNU12" s="11"/>
      <c r="QNX12" s="12"/>
      <c r="QNY12" s="11"/>
      <c r="QOB12" s="12"/>
      <c r="QOC12" s="11"/>
      <c r="QOF12" s="12"/>
      <c r="QOG12" s="11"/>
      <c r="QOJ12" s="12"/>
      <c r="QOK12" s="11"/>
      <c r="QON12" s="12"/>
      <c r="QOO12" s="11"/>
      <c r="QOR12" s="12"/>
      <c r="QOS12" s="11"/>
      <c r="QOV12" s="12"/>
      <c r="QOW12" s="11"/>
      <c r="QOZ12" s="12"/>
      <c r="QPA12" s="11"/>
      <c r="QPD12" s="12"/>
      <c r="QPE12" s="11"/>
      <c r="QPH12" s="12"/>
      <c r="QPI12" s="11"/>
      <c r="QPL12" s="12"/>
      <c r="QPM12" s="11"/>
      <c r="QPP12" s="12"/>
      <c r="QPQ12" s="11"/>
      <c r="QPT12" s="12"/>
      <c r="QPU12" s="11"/>
      <c r="QPX12" s="12"/>
      <c r="QPY12" s="11"/>
      <c r="QQB12" s="12"/>
      <c r="QQC12" s="11"/>
      <c r="QQF12" s="12"/>
      <c r="QQG12" s="11"/>
      <c r="QQJ12" s="12"/>
      <c r="QQK12" s="11"/>
      <c r="QQN12" s="12"/>
      <c r="QQO12" s="11"/>
      <c r="QQR12" s="12"/>
      <c r="QQS12" s="11"/>
      <c r="QQV12" s="12"/>
      <c r="QQW12" s="11"/>
      <c r="QQZ12" s="12"/>
      <c r="QRA12" s="11"/>
      <c r="QRD12" s="12"/>
      <c r="QRE12" s="11"/>
      <c r="QRH12" s="12"/>
      <c r="QRI12" s="11"/>
      <c r="QRL12" s="12"/>
      <c r="QRM12" s="11"/>
      <c r="QRP12" s="12"/>
      <c r="QRQ12" s="11"/>
      <c r="QRT12" s="12"/>
      <c r="QRU12" s="11"/>
      <c r="QRX12" s="12"/>
      <c r="QRY12" s="11"/>
      <c r="QSB12" s="12"/>
      <c r="QSC12" s="11"/>
      <c r="QSF12" s="12"/>
      <c r="QSG12" s="11"/>
      <c r="QSJ12" s="12"/>
      <c r="QSK12" s="11"/>
      <c r="QSN12" s="12"/>
      <c r="QSO12" s="11"/>
      <c r="QSR12" s="12"/>
      <c r="QSS12" s="11"/>
      <c r="QSV12" s="12"/>
      <c r="QSW12" s="11"/>
      <c r="QSZ12" s="12"/>
      <c r="QTA12" s="11"/>
      <c r="QTD12" s="12"/>
      <c r="QTE12" s="11"/>
      <c r="QTH12" s="12"/>
      <c r="QTI12" s="11"/>
      <c r="QTL12" s="12"/>
      <c r="QTM12" s="11"/>
      <c r="QTP12" s="12"/>
      <c r="QTQ12" s="11"/>
      <c r="QTT12" s="12"/>
      <c r="QTU12" s="11"/>
      <c r="QTX12" s="12"/>
      <c r="QTY12" s="11"/>
      <c r="QUB12" s="12"/>
      <c r="QUC12" s="11"/>
      <c r="QUF12" s="12"/>
      <c r="QUG12" s="11"/>
      <c r="QUJ12" s="12"/>
      <c r="QUK12" s="11"/>
      <c r="QUN12" s="12"/>
      <c r="QUO12" s="11"/>
      <c r="QUR12" s="12"/>
      <c r="QUS12" s="11"/>
      <c r="QUV12" s="12"/>
      <c r="QUW12" s="11"/>
      <c r="QUZ12" s="12"/>
      <c r="QVA12" s="11"/>
      <c r="QVD12" s="12"/>
      <c r="QVE12" s="11"/>
      <c r="QVH12" s="12"/>
      <c r="QVI12" s="11"/>
      <c r="QVL12" s="12"/>
      <c r="QVM12" s="11"/>
      <c r="QVP12" s="12"/>
      <c r="QVQ12" s="11"/>
      <c r="QVT12" s="12"/>
      <c r="QVU12" s="11"/>
      <c r="QVX12" s="12"/>
      <c r="QVY12" s="11"/>
      <c r="QWB12" s="12"/>
      <c r="QWC12" s="11"/>
      <c r="QWF12" s="12"/>
      <c r="QWG12" s="11"/>
      <c r="QWJ12" s="12"/>
      <c r="QWK12" s="11"/>
      <c r="QWN12" s="12"/>
      <c r="QWO12" s="11"/>
      <c r="QWR12" s="12"/>
      <c r="QWS12" s="11"/>
      <c r="QWV12" s="12"/>
      <c r="QWW12" s="11"/>
      <c r="QWZ12" s="12"/>
      <c r="QXA12" s="11"/>
      <c r="QXD12" s="12"/>
      <c r="QXE12" s="11"/>
      <c r="QXH12" s="12"/>
      <c r="QXI12" s="11"/>
      <c r="QXL12" s="12"/>
      <c r="QXM12" s="11"/>
      <c r="QXP12" s="12"/>
      <c r="QXQ12" s="11"/>
      <c r="QXT12" s="12"/>
      <c r="QXU12" s="11"/>
      <c r="QXX12" s="12"/>
      <c r="QXY12" s="11"/>
      <c r="QYB12" s="12"/>
      <c r="QYC12" s="11"/>
      <c r="QYF12" s="12"/>
      <c r="QYG12" s="11"/>
      <c r="QYJ12" s="12"/>
      <c r="QYK12" s="11"/>
      <c r="QYN12" s="12"/>
      <c r="QYO12" s="11"/>
      <c r="QYR12" s="12"/>
      <c r="QYS12" s="11"/>
      <c r="QYV12" s="12"/>
      <c r="QYW12" s="11"/>
      <c r="QYZ12" s="12"/>
      <c r="QZA12" s="11"/>
      <c r="QZD12" s="12"/>
      <c r="QZE12" s="11"/>
      <c r="QZH12" s="12"/>
      <c r="QZI12" s="11"/>
      <c r="QZL12" s="12"/>
      <c r="QZM12" s="11"/>
      <c r="QZP12" s="12"/>
      <c r="QZQ12" s="11"/>
      <c r="QZT12" s="12"/>
      <c r="QZU12" s="11"/>
      <c r="QZX12" s="12"/>
      <c r="QZY12" s="11"/>
      <c r="RAB12" s="12"/>
      <c r="RAC12" s="11"/>
      <c r="RAF12" s="12"/>
      <c r="RAG12" s="11"/>
      <c r="RAJ12" s="12"/>
      <c r="RAK12" s="11"/>
      <c r="RAN12" s="12"/>
      <c r="RAO12" s="11"/>
      <c r="RAR12" s="12"/>
      <c r="RAS12" s="11"/>
      <c r="RAV12" s="12"/>
      <c r="RAW12" s="11"/>
      <c r="RAZ12" s="12"/>
      <c r="RBA12" s="11"/>
      <c r="RBD12" s="12"/>
      <c r="RBE12" s="11"/>
      <c r="RBH12" s="12"/>
      <c r="RBI12" s="11"/>
      <c r="RBL12" s="12"/>
      <c r="RBM12" s="11"/>
      <c r="RBP12" s="12"/>
      <c r="RBQ12" s="11"/>
      <c r="RBT12" s="12"/>
      <c r="RBU12" s="11"/>
      <c r="RBX12" s="12"/>
      <c r="RBY12" s="11"/>
      <c r="RCB12" s="12"/>
      <c r="RCC12" s="11"/>
      <c r="RCF12" s="12"/>
      <c r="RCG12" s="11"/>
      <c r="RCJ12" s="12"/>
      <c r="RCK12" s="11"/>
      <c r="RCN12" s="12"/>
      <c r="RCO12" s="11"/>
      <c r="RCR12" s="12"/>
      <c r="RCS12" s="11"/>
      <c r="RCV12" s="12"/>
      <c r="RCW12" s="11"/>
      <c r="RCZ12" s="12"/>
      <c r="RDA12" s="11"/>
      <c r="RDD12" s="12"/>
      <c r="RDE12" s="11"/>
      <c r="RDH12" s="12"/>
      <c r="RDI12" s="11"/>
      <c r="RDL12" s="12"/>
      <c r="RDM12" s="11"/>
      <c r="RDP12" s="12"/>
      <c r="RDQ12" s="11"/>
      <c r="RDT12" s="12"/>
      <c r="RDU12" s="11"/>
      <c r="RDX12" s="12"/>
      <c r="RDY12" s="11"/>
      <c r="REB12" s="12"/>
      <c r="REC12" s="11"/>
      <c r="REF12" s="12"/>
      <c r="REG12" s="11"/>
      <c r="REJ12" s="12"/>
      <c r="REK12" s="11"/>
      <c r="REN12" s="12"/>
      <c r="REO12" s="11"/>
      <c r="RER12" s="12"/>
      <c r="RES12" s="11"/>
      <c r="REV12" s="12"/>
      <c r="REW12" s="11"/>
      <c r="REZ12" s="12"/>
      <c r="RFA12" s="11"/>
      <c r="RFD12" s="12"/>
      <c r="RFE12" s="11"/>
      <c r="RFH12" s="12"/>
      <c r="RFI12" s="11"/>
      <c r="RFL12" s="12"/>
      <c r="RFM12" s="11"/>
      <c r="RFP12" s="12"/>
      <c r="RFQ12" s="11"/>
      <c r="RFT12" s="12"/>
      <c r="RFU12" s="11"/>
      <c r="RFX12" s="12"/>
      <c r="RFY12" s="11"/>
      <c r="RGB12" s="12"/>
      <c r="RGC12" s="11"/>
      <c r="RGF12" s="12"/>
      <c r="RGG12" s="11"/>
      <c r="RGJ12" s="12"/>
      <c r="RGK12" s="11"/>
      <c r="RGN12" s="12"/>
      <c r="RGO12" s="11"/>
      <c r="RGR12" s="12"/>
      <c r="RGS12" s="11"/>
      <c r="RGV12" s="12"/>
      <c r="RGW12" s="11"/>
      <c r="RGZ12" s="12"/>
      <c r="RHA12" s="11"/>
      <c r="RHD12" s="12"/>
      <c r="RHE12" s="11"/>
      <c r="RHH12" s="12"/>
      <c r="RHI12" s="11"/>
      <c r="RHL12" s="12"/>
      <c r="RHM12" s="11"/>
      <c r="RHP12" s="12"/>
      <c r="RHQ12" s="11"/>
      <c r="RHT12" s="12"/>
      <c r="RHU12" s="11"/>
      <c r="RHX12" s="12"/>
      <c r="RHY12" s="11"/>
      <c r="RIB12" s="12"/>
      <c r="RIC12" s="11"/>
      <c r="RIF12" s="12"/>
      <c r="RIG12" s="11"/>
      <c r="RIJ12" s="12"/>
      <c r="RIK12" s="11"/>
      <c r="RIN12" s="12"/>
      <c r="RIO12" s="11"/>
      <c r="RIR12" s="12"/>
      <c r="RIS12" s="11"/>
      <c r="RIV12" s="12"/>
      <c r="RIW12" s="11"/>
      <c r="RIZ12" s="12"/>
      <c r="RJA12" s="11"/>
      <c r="RJD12" s="12"/>
      <c r="RJE12" s="11"/>
      <c r="RJH12" s="12"/>
      <c r="RJI12" s="11"/>
      <c r="RJL12" s="12"/>
      <c r="RJM12" s="11"/>
      <c r="RJP12" s="12"/>
      <c r="RJQ12" s="11"/>
      <c r="RJT12" s="12"/>
      <c r="RJU12" s="11"/>
      <c r="RJX12" s="12"/>
      <c r="RJY12" s="11"/>
      <c r="RKB12" s="12"/>
      <c r="RKC12" s="11"/>
      <c r="RKF12" s="12"/>
      <c r="RKG12" s="11"/>
      <c r="RKJ12" s="12"/>
      <c r="RKK12" s="11"/>
      <c r="RKN12" s="12"/>
      <c r="RKO12" s="11"/>
      <c r="RKR12" s="12"/>
      <c r="RKS12" s="11"/>
      <c r="RKV12" s="12"/>
      <c r="RKW12" s="11"/>
      <c r="RKZ12" s="12"/>
      <c r="RLA12" s="11"/>
      <c r="RLD12" s="12"/>
      <c r="RLE12" s="11"/>
      <c r="RLH12" s="12"/>
      <c r="RLI12" s="11"/>
      <c r="RLL12" s="12"/>
      <c r="RLM12" s="11"/>
      <c r="RLP12" s="12"/>
      <c r="RLQ12" s="11"/>
      <c r="RLT12" s="12"/>
      <c r="RLU12" s="11"/>
      <c r="RLX12" s="12"/>
      <c r="RLY12" s="11"/>
      <c r="RMB12" s="12"/>
      <c r="RMC12" s="11"/>
      <c r="RMF12" s="12"/>
      <c r="RMG12" s="11"/>
      <c r="RMJ12" s="12"/>
      <c r="RMK12" s="11"/>
      <c r="RMN12" s="12"/>
      <c r="RMO12" s="11"/>
      <c r="RMR12" s="12"/>
      <c r="RMS12" s="11"/>
      <c r="RMV12" s="12"/>
      <c r="RMW12" s="11"/>
      <c r="RMZ12" s="12"/>
      <c r="RNA12" s="11"/>
      <c r="RND12" s="12"/>
      <c r="RNE12" s="11"/>
      <c r="RNH12" s="12"/>
      <c r="RNI12" s="11"/>
      <c r="RNL12" s="12"/>
      <c r="RNM12" s="11"/>
      <c r="RNP12" s="12"/>
      <c r="RNQ12" s="11"/>
      <c r="RNT12" s="12"/>
      <c r="RNU12" s="11"/>
      <c r="RNX12" s="12"/>
      <c r="RNY12" s="11"/>
      <c r="ROB12" s="12"/>
      <c r="ROC12" s="11"/>
      <c r="ROF12" s="12"/>
      <c r="ROG12" s="11"/>
      <c r="ROJ12" s="12"/>
      <c r="ROK12" s="11"/>
      <c r="RON12" s="12"/>
      <c r="ROO12" s="11"/>
      <c r="ROR12" s="12"/>
      <c r="ROS12" s="11"/>
      <c r="ROV12" s="12"/>
      <c r="ROW12" s="11"/>
      <c r="ROZ12" s="12"/>
      <c r="RPA12" s="11"/>
      <c r="RPD12" s="12"/>
      <c r="RPE12" s="11"/>
      <c r="RPH12" s="12"/>
      <c r="RPI12" s="11"/>
      <c r="RPL12" s="12"/>
      <c r="RPM12" s="11"/>
      <c r="RPP12" s="12"/>
      <c r="RPQ12" s="11"/>
      <c r="RPT12" s="12"/>
      <c r="RPU12" s="11"/>
      <c r="RPX12" s="12"/>
      <c r="RPY12" s="11"/>
      <c r="RQB12" s="12"/>
      <c r="RQC12" s="11"/>
      <c r="RQF12" s="12"/>
      <c r="RQG12" s="11"/>
      <c r="RQJ12" s="12"/>
      <c r="RQK12" s="11"/>
      <c r="RQN12" s="12"/>
      <c r="RQO12" s="11"/>
      <c r="RQR12" s="12"/>
      <c r="RQS12" s="11"/>
      <c r="RQV12" s="12"/>
      <c r="RQW12" s="11"/>
      <c r="RQZ12" s="12"/>
      <c r="RRA12" s="11"/>
      <c r="RRD12" s="12"/>
      <c r="RRE12" s="11"/>
      <c r="RRH12" s="12"/>
      <c r="RRI12" s="11"/>
      <c r="RRL12" s="12"/>
      <c r="RRM12" s="11"/>
      <c r="RRP12" s="12"/>
      <c r="RRQ12" s="11"/>
      <c r="RRT12" s="12"/>
      <c r="RRU12" s="11"/>
      <c r="RRX12" s="12"/>
      <c r="RRY12" s="11"/>
      <c r="RSB12" s="12"/>
      <c r="RSC12" s="11"/>
      <c r="RSF12" s="12"/>
      <c r="RSG12" s="11"/>
      <c r="RSJ12" s="12"/>
      <c r="RSK12" s="11"/>
      <c r="RSN12" s="12"/>
      <c r="RSO12" s="11"/>
      <c r="RSR12" s="12"/>
      <c r="RSS12" s="11"/>
      <c r="RSV12" s="12"/>
      <c r="RSW12" s="11"/>
      <c r="RSZ12" s="12"/>
      <c r="RTA12" s="11"/>
      <c r="RTD12" s="12"/>
      <c r="RTE12" s="11"/>
      <c r="RTH12" s="12"/>
      <c r="RTI12" s="11"/>
      <c r="RTL12" s="12"/>
      <c r="RTM12" s="11"/>
      <c r="RTP12" s="12"/>
      <c r="RTQ12" s="11"/>
      <c r="RTT12" s="12"/>
      <c r="RTU12" s="11"/>
      <c r="RTX12" s="12"/>
      <c r="RTY12" s="11"/>
      <c r="RUB12" s="12"/>
      <c r="RUC12" s="11"/>
      <c r="RUF12" s="12"/>
      <c r="RUG12" s="11"/>
      <c r="RUJ12" s="12"/>
      <c r="RUK12" s="11"/>
      <c r="RUN12" s="12"/>
      <c r="RUO12" s="11"/>
      <c r="RUR12" s="12"/>
      <c r="RUS12" s="11"/>
      <c r="RUV12" s="12"/>
      <c r="RUW12" s="11"/>
      <c r="RUZ12" s="12"/>
      <c r="RVA12" s="11"/>
      <c r="RVD12" s="12"/>
      <c r="RVE12" s="11"/>
      <c r="RVH12" s="12"/>
      <c r="RVI12" s="11"/>
      <c r="RVL12" s="12"/>
      <c r="RVM12" s="11"/>
      <c r="RVP12" s="12"/>
      <c r="RVQ12" s="11"/>
      <c r="RVT12" s="12"/>
      <c r="RVU12" s="11"/>
      <c r="RVX12" s="12"/>
      <c r="RVY12" s="11"/>
      <c r="RWB12" s="12"/>
      <c r="RWC12" s="11"/>
      <c r="RWF12" s="12"/>
      <c r="RWG12" s="11"/>
      <c r="RWJ12" s="12"/>
      <c r="RWK12" s="11"/>
      <c r="RWN12" s="12"/>
      <c r="RWO12" s="11"/>
      <c r="RWR12" s="12"/>
      <c r="RWS12" s="11"/>
      <c r="RWV12" s="12"/>
      <c r="RWW12" s="11"/>
      <c r="RWZ12" s="12"/>
      <c r="RXA12" s="11"/>
      <c r="RXD12" s="12"/>
      <c r="RXE12" s="11"/>
      <c r="RXH12" s="12"/>
      <c r="RXI12" s="11"/>
      <c r="RXL12" s="12"/>
      <c r="RXM12" s="11"/>
      <c r="RXP12" s="12"/>
      <c r="RXQ12" s="11"/>
      <c r="RXT12" s="12"/>
      <c r="RXU12" s="11"/>
      <c r="RXX12" s="12"/>
      <c r="RXY12" s="11"/>
      <c r="RYB12" s="12"/>
      <c r="RYC12" s="11"/>
      <c r="RYF12" s="12"/>
      <c r="RYG12" s="11"/>
      <c r="RYJ12" s="12"/>
      <c r="RYK12" s="11"/>
      <c r="RYN12" s="12"/>
      <c r="RYO12" s="11"/>
      <c r="RYR12" s="12"/>
      <c r="RYS12" s="11"/>
      <c r="RYV12" s="12"/>
      <c r="RYW12" s="11"/>
      <c r="RYZ12" s="12"/>
      <c r="RZA12" s="11"/>
      <c r="RZD12" s="12"/>
      <c r="RZE12" s="11"/>
      <c r="RZH12" s="12"/>
      <c r="RZI12" s="11"/>
      <c r="RZL12" s="12"/>
      <c r="RZM12" s="11"/>
      <c r="RZP12" s="12"/>
      <c r="RZQ12" s="11"/>
      <c r="RZT12" s="12"/>
      <c r="RZU12" s="11"/>
      <c r="RZX12" s="12"/>
      <c r="RZY12" s="11"/>
      <c r="SAB12" s="12"/>
      <c r="SAC12" s="11"/>
      <c r="SAF12" s="12"/>
      <c r="SAG12" s="11"/>
      <c r="SAJ12" s="12"/>
      <c r="SAK12" s="11"/>
      <c r="SAN12" s="12"/>
      <c r="SAO12" s="11"/>
      <c r="SAR12" s="12"/>
      <c r="SAS12" s="11"/>
      <c r="SAV12" s="12"/>
      <c r="SAW12" s="11"/>
      <c r="SAZ12" s="12"/>
      <c r="SBA12" s="11"/>
      <c r="SBD12" s="12"/>
      <c r="SBE12" s="11"/>
      <c r="SBH12" s="12"/>
      <c r="SBI12" s="11"/>
      <c r="SBL12" s="12"/>
      <c r="SBM12" s="11"/>
      <c r="SBP12" s="12"/>
      <c r="SBQ12" s="11"/>
      <c r="SBT12" s="12"/>
      <c r="SBU12" s="11"/>
      <c r="SBX12" s="12"/>
      <c r="SBY12" s="11"/>
      <c r="SCB12" s="12"/>
      <c r="SCC12" s="11"/>
      <c r="SCF12" s="12"/>
      <c r="SCG12" s="11"/>
      <c r="SCJ12" s="12"/>
      <c r="SCK12" s="11"/>
      <c r="SCN12" s="12"/>
      <c r="SCO12" s="11"/>
      <c r="SCR12" s="12"/>
      <c r="SCS12" s="11"/>
      <c r="SCV12" s="12"/>
      <c r="SCW12" s="11"/>
      <c r="SCZ12" s="12"/>
      <c r="SDA12" s="11"/>
      <c r="SDD12" s="12"/>
      <c r="SDE12" s="11"/>
      <c r="SDH12" s="12"/>
      <c r="SDI12" s="11"/>
      <c r="SDL12" s="12"/>
      <c r="SDM12" s="11"/>
      <c r="SDP12" s="12"/>
      <c r="SDQ12" s="11"/>
      <c r="SDT12" s="12"/>
      <c r="SDU12" s="11"/>
      <c r="SDX12" s="12"/>
      <c r="SDY12" s="11"/>
      <c r="SEB12" s="12"/>
      <c r="SEC12" s="11"/>
      <c r="SEF12" s="12"/>
      <c r="SEG12" s="11"/>
      <c r="SEJ12" s="12"/>
      <c r="SEK12" s="11"/>
      <c r="SEN12" s="12"/>
      <c r="SEO12" s="11"/>
      <c r="SER12" s="12"/>
      <c r="SES12" s="11"/>
      <c r="SEV12" s="12"/>
      <c r="SEW12" s="11"/>
      <c r="SEZ12" s="12"/>
      <c r="SFA12" s="11"/>
      <c r="SFD12" s="12"/>
      <c r="SFE12" s="11"/>
      <c r="SFH12" s="12"/>
      <c r="SFI12" s="11"/>
      <c r="SFL12" s="12"/>
      <c r="SFM12" s="11"/>
      <c r="SFP12" s="12"/>
      <c r="SFQ12" s="11"/>
      <c r="SFT12" s="12"/>
      <c r="SFU12" s="11"/>
      <c r="SFX12" s="12"/>
      <c r="SFY12" s="11"/>
      <c r="SGB12" s="12"/>
      <c r="SGC12" s="11"/>
      <c r="SGF12" s="12"/>
      <c r="SGG12" s="11"/>
      <c r="SGJ12" s="12"/>
      <c r="SGK12" s="11"/>
      <c r="SGN12" s="12"/>
      <c r="SGO12" s="11"/>
      <c r="SGR12" s="12"/>
      <c r="SGS12" s="11"/>
      <c r="SGV12" s="12"/>
      <c r="SGW12" s="11"/>
      <c r="SGZ12" s="12"/>
      <c r="SHA12" s="11"/>
      <c r="SHD12" s="12"/>
      <c r="SHE12" s="11"/>
      <c r="SHH12" s="12"/>
      <c r="SHI12" s="11"/>
      <c r="SHL12" s="12"/>
      <c r="SHM12" s="11"/>
      <c r="SHP12" s="12"/>
      <c r="SHQ12" s="11"/>
      <c r="SHT12" s="12"/>
      <c r="SHU12" s="11"/>
      <c r="SHX12" s="12"/>
      <c r="SHY12" s="11"/>
      <c r="SIB12" s="12"/>
      <c r="SIC12" s="11"/>
      <c r="SIF12" s="12"/>
      <c r="SIG12" s="11"/>
      <c r="SIJ12" s="12"/>
      <c r="SIK12" s="11"/>
      <c r="SIN12" s="12"/>
      <c r="SIO12" s="11"/>
      <c r="SIR12" s="12"/>
      <c r="SIS12" s="11"/>
      <c r="SIV12" s="12"/>
      <c r="SIW12" s="11"/>
      <c r="SIZ12" s="12"/>
      <c r="SJA12" s="11"/>
      <c r="SJD12" s="12"/>
      <c r="SJE12" s="11"/>
      <c r="SJH12" s="12"/>
      <c r="SJI12" s="11"/>
      <c r="SJL12" s="12"/>
      <c r="SJM12" s="11"/>
      <c r="SJP12" s="12"/>
      <c r="SJQ12" s="11"/>
      <c r="SJT12" s="12"/>
      <c r="SJU12" s="11"/>
      <c r="SJX12" s="12"/>
      <c r="SJY12" s="11"/>
      <c r="SKB12" s="12"/>
      <c r="SKC12" s="11"/>
      <c r="SKF12" s="12"/>
      <c r="SKG12" s="11"/>
      <c r="SKJ12" s="12"/>
      <c r="SKK12" s="11"/>
      <c r="SKN12" s="12"/>
      <c r="SKO12" s="11"/>
      <c r="SKR12" s="12"/>
      <c r="SKS12" s="11"/>
      <c r="SKV12" s="12"/>
      <c r="SKW12" s="11"/>
      <c r="SKZ12" s="12"/>
      <c r="SLA12" s="11"/>
      <c r="SLD12" s="12"/>
      <c r="SLE12" s="11"/>
      <c r="SLH12" s="12"/>
      <c r="SLI12" s="11"/>
      <c r="SLL12" s="12"/>
      <c r="SLM12" s="11"/>
      <c r="SLP12" s="12"/>
      <c r="SLQ12" s="11"/>
      <c r="SLT12" s="12"/>
      <c r="SLU12" s="11"/>
      <c r="SLX12" s="12"/>
      <c r="SLY12" s="11"/>
      <c r="SMB12" s="12"/>
      <c r="SMC12" s="11"/>
      <c r="SMF12" s="12"/>
      <c r="SMG12" s="11"/>
      <c r="SMJ12" s="12"/>
      <c r="SMK12" s="11"/>
      <c r="SMN12" s="12"/>
      <c r="SMO12" s="11"/>
      <c r="SMR12" s="12"/>
      <c r="SMS12" s="11"/>
      <c r="SMV12" s="12"/>
      <c r="SMW12" s="11"/>
      <c r="SMZ12" s="12"/>
      <c r="SNA12" s="11"/>
      <c r="SND12" s="12"/>
      <c r="SNE12" s="11"/>
      <c r="SNH12" s="12"/>
      <c r="SNI12" s="11"/>
      <c r="SNL12" s="12"/>
      <c r="SNM12" s="11"/>
      <c r="SNP12" s="12"/>
      <c r="SNQ12" s="11"/>
      <c r="SNT12" s="12"/>
      <c r="SNU12" s="11"/>
      <c r="SNX12" s="12"/>
      <c r="SNY12" s="11"/>
      <c r="SOB12" s="12"/>
      <c r="SOC12" s="11"/>
      <c r="SOF12" s="12"/>
      <c r="SOG12" s="11"/>
      <c r="SOJ12" s="12"/>
      <c r="SOK12" s="11"/>
      <c r="SON12" s="12"/>
      <c r="SOO12" s="11"/>
      <c r="SOR12" s="12"/>
      <c r="SOS12" s="11"/>
      <c r="SOV12" s="12"/>
      <c r="SOW12" s="11"/>
      <c r="SOZ12" s="12"/>
      <c r="SPA12" s="11"/>
      <c r="SPD12" s="12"/>
      <c r="SPE12" s="11"/>
      <c r="SPH12" s="12"/>
      <c r="SPI12" s="11"/>
      <c r="SPL12" s="12"/>
      <c r="SPM12" s="11"/>
      <c r="SPP12" s="12"/>
      <c r="SPQ12" s="11"/>
      <c r="SPT12" s="12"/>
      <c r="SPU12" s="11"/>
      <c r="SPX12" s="12"/>
      <c r="SPY12" s="11"/>
      <c r="SQB12" s="12"/>
      <c r="SQC12" s="11"/>
      <c r="SQF12" s="12"/>
      <c r="SQG12" s="11"/>
      <c r="SQJ12" s="12"/>
      <c r="SQK12" s="11"/>
      <c r="SQN12" s="12"/>
      <c r="SQO12" s="11"/>
      <c r="SQR12" s="12"/>
      <c r="SQS12" s="11"/>
      <c r="SQV12" s="12"/>
      <c r="SQW12" s="11"/>
      <c r="SQZ12" s="12"/>
      <c r="SRA12" s="11"/>
      <c r="SRD12" s="12"/>
      <c r="SRE12" s="11"/>
      <c r="SRH12" s="12"/>
      <c r="SRI12" s="11"/>
      <c r="SRL12" s="12"/>
      <c r="SRM12" s="11"/>
      <c r="SRP12" s="12"/>
      <c r="SRQ12" s="11"/>
      <c r="SRT12" s="12"/>
      <c r="SRU12" s="11"/>
      <c r="SRX12" s="12"/>
      <c r="SRY12" s="11"/>
      <c r="SSB12" s="12"/>
      <c r="SSC12" s="11"/>
      <c r="SSF12" s="12"/>
      <c r="SSG12" s="11"/>
      <c r="SSJ12" s="12"/>
      <c r="SSK12" s="11"/>
      <c r="SSN12" s="12"/>
      <c r="SSO12" s="11"/>
      <c r="SSR12" s="12"/>
      <c r="SSS12" s="11"/>
      <c r="SSV12" s="12"/>
      <c r="SSW12" s="11"/>
      <c r="SSZ12" s="12"/>
      <c r="STA12" s="11"/>
      <c r="STD12" s="12"/>
      <c r="STE12" s="11"/>
      <c r="STH12" s="12"/>
      <c r="STI12" s="11"/>
      <c r="STL12" s="12"/>
      <c r="STM12" s="11"/>
      <c r="STP12" s="12"/>
      <c r="STQ12" s="11"/>
      <c r="STT12" s="12"/>
      <c r="STU12" s="11"/>
      <c r="STX12" s="12"/>
      <c r="STY12" s="11"/>
      <c r="SUB12" s="12"/>
      <c r="SUC12" s="11"/>
      <c r="SUF12" s="12"/>
      <c r="SUG12" s="11"/>
      <c r="SUJ12" s="12"/>
      <c r="SUK12" s="11"/>
      <c r="SUN12" s="12"/>
      <c r="SUO12" s="11"/>
      <c r="SUR12" s="12"/>
      <c r="SUS12" s="11"/>
      <c r="SUV12" s="12"/>
      <c r="SUW12" s="11"/>
      <c r="SUZ12" s="12"/>
      <c r="SVA12" s="11"/>
      <c r="SVD12" s="12"/>
      <c r="SVE12" s="11"/>
      <c r="SVH12" s="12"/>
      <c r="SVI12" s="11"/>
      <c r="SVL12" s="12"/>
      <c r="SVM12" s="11"/>
      <c r="SVP12" s="12"/>
      <c r="SVQ12" s="11"/>
      <c r="SVT12" s="12"/>
      <c r="SVU12" s="11"/>
      <c r="SVX12" s="12"/>
      <c r="SVY12" s="11"/>
      <c r="SWB12" s="12"/>
      <c r="SWC12" s="11"/>
      <c r="SWF12" s="12"/>
      <c r="SWG12" s="11"/>
      <c r="SWJ12" s="12"/>
      <c r="SWK12" s="11"/>
      <c r="SWN12" s="12"/>
      <c r="SWO12" s="11"/>
      <c r="SWR12" s="12"/>
      <c r="SWS12" s="11"/>
      <c r="SWV12" s="12"/>
      <c r="SWW12" s="11"/>
      <c r="SWZ12" s="12"/>
      <c r="SXA12" s="11"/>
      <c r="SXD12" s="12"/>
      <c r="SXE12" s="11"/>
      <c r="SXH12" s="12"/>
      <c r="SXI12" s="11"/>
      <c r="SXL12" s="12"/>
      <c r="SXM12" s="11"/>
      <c r="SXP12" s="12"/>
      <c r="SXQ12" s="11"/>
      <c r="SXT12" s="12"/>
      <c r="SXU12" s="11"/>
      <c r="SXX12" s="12"/>
      <c r="SXY12" s="11"/>
      <c r="SYB12" s="12"/>
      <c r="SYC12" s="11"/>
      <c r="SYF12" s="12"/>
      <c r="SYG12" s="11"/>
      <c r="SYJ12" s="12"/>
      <c r="SYK12" s="11"/>
      <c r="SYN12" s="12"/>
      <c r="SYO12" s="11"/>
      <c r="SYR12" s="12"/>
      <c r="SYS12" s="11"/>
      <c r="SYV12" s="12"/>
      <c r="SYW12" s="11"/>
      <c r="SYZ12" s="12"/>
      <c r="SZA12" s="11"/>
      <c r="SZD12" s="12"/>
      <c r="SZE12" s="11"/>
      <c r="SZH12" s="12"/>
      <c r="SZI12" s="11"/>
      <c r="SZL12" s="12"/>
      <c r="SZM12" s="11"/>
      <c r="SZP12" s="12"/>
      <c r="SZQ12" s="11"/>
      <c r="SZT12" s="12"/>
      <c r="SZU12" s="11"/>
      <c r="SZX12" s="12"/>
      <c r="SZY12" s="11"/>
      <c r="TAB12" s="12"/>
      <c r="TAC12" s="11"/>
      <c r="TAF12" s="12"/>
      <c r="TAG12" s="11"/>
      <c r="TAJ12" s="12"/>
      <c r="TAK12" s="11"/>
      <c r="TAN12" s="12"/>
      <c r="TAO12" s="11"/>
      <c r="TAR12" s="12"/>
      <c r="TAS12" s="11"/>
      <c r="TAV12" s="12"/>
      <c r="TAW12" s="11"/>
      <c r="TAZ12" s="12"/>
      <c r="TBA12" s="11"/>
      <c r="TBD12" s="12"/>
      <c r="TBE12" s="11"/>
      <c r="TBH12" s="12"/>
      <c r="TBI12" s="11"/>
      <c r="TBL12" s="12"/>
      <c r="TBM12" s="11"/>
      <c r="TBP12" s="12"/>
      <c r="TBQ12" s="11"/>
      <c r="TBT12" s="12"/>
      <c r="TBU12" s="11"/>
      <c r="TBX12" s="12"/>
      <c r="TBY12" s="11"/>
      <c r="TCB12" s="12"/>
      <c r="TCC12" s="11"/>
      <c r="TCF12" s="12"/>
      <c r="TCG12" s="11"/>
      <c r="TCJ12" s="12"/>
      <c r="TCK12" s="11"/>
      <c r="TCN12" s="12"/>
      <c r="TCO12" s="11"/>
      <c r="TCR12" s="12"/>
      <c r="TCS12" s="11"/>
      <c r="TCV12" s="12"/>
      <c r="TCW12" s="11"/>
      <c r="TCZ12" s="12"/>
      <c r="TDA12" s="11"/>
      <c r="TDD12" s="12"/>
      <c r="TDE12" s="11"/>
      <c r="TDH12" s="12"/>
      <c r="TDI12" s="11"/>
      <c r="TDL12" s="12"/>
      <c r="TDM12" s="11"/>
      <c r="TDP12" s="12"/>
      <c r="TDQ12" s="11"/>
      <c r="TDT12" s="12"/>
      <c r="TDU12" s="11"/>
      <c r="TDX12" s="12"/>
      <c r="TDY12" s="11"/>
      <c r="TEB12" s="12"/>
      <c r="TEC12" s="11"/>
      <c r="TEF12" s="12"/>
      <c r="TEG12" s="11"/>
      <c r="TEJ12" s="12"/>
      <c r="TEK12" s="11"/>
      <c r="TEN12" s="12"/>
      <c r="TEO12" s="11"/>
      <c r="TER12" s="12"/>
      <c r="TES12" s="11"/>
      <c r="TEV12" s="12"/>
      <c r="TEW12" s="11"/>
      <c r="TEZ12" s="12"/>
      <c r="TFA12" s="11"/>
      <c r="TFD12" s="12"/>
      <c r="TFE12" s="11"/>
      <c r="TFH12" s="12"/>
      <c r="TFI12" s="11"/>
      <c r="TFL12" s="12"/>
      <c r="TFM12" s="11"/>
      <c r="TFP12" s="12"/>
      <c r="TFQ12" s="11"/>
      <c r="TFT12" s="12"/>
      <c r="TFU12" s="11"/>
      <c r="TFX12" s="12"/>
      <c r="TFY12" s="11"/>
      <c r="TGB12" s="12"/>
      <c r="TGC12" s="11"/>
      <c r="TGF12" s="12"/>
      <c r="TGG12" s="11"/>
      <c r="TGJ12" s="12"/>
      <c r="TGK12" s="11"/>
      <c r="TGN12" s="12"/>
      <c r="TGO12" s="11"/>
      <c r="TGR12" s="12"/>
      <c r="TGS12" s="11"/>
      <c r="TGV12" s="12"/>
      <c r="TGW12" s="11"/>
      <c r="TGZ12" s="12"/>
      <c r="THA12" s="11"/>
      <c r="THD12" s="12"/>
      <c r="THE12" s="11"/>
      <c r="THH12" s="12"/>
      <c r="THI12" s="11"/>
      <c r="THL12" s="12"/>
      <c r="THM12" s="11"/>
      <c r="THP12" s="12"/>
      <c r="THQ12" s="11"/>
      <c r="THT12" s="12"/>
      <c r="THU12" s="11"/>
      <c r="THX12" s="12"/>
      <c r="THY12" s="11"/>
      <c r="TIB12" s="12"/>
      <c r="TIC12" s="11"/>
      <c r="TIF12" s="12"/>
      <c r="TIG12" s="11"/>
      <c r="TIJ12" s="12"/>
      <c r="TIK12" s="11"/>
      <c r="TIN12" s="12"/>
      <c r="TIO12" s="11"/>
      <c r="TIR12" s="12"/>
      <c r="TIS12" s="11"/>
      <c r="TIV12" s="12"/>
      <c r="TIW12" s="11"/>
      <c r="TIZ12" s="12"/>
      <c r="TJA12" s="11"/>
      <c r="TJD12" s="12"/>
      <c r="TJE12" s="11"/>
      <c r="TJH12" s="12"/>
      <c r="TJI12" s="11"/>
      <c r="TJL12" s="12"/>
      <c r="TJM12" s="11"/>
      <c r="TJP12" s="12"/>
      <c r="TJQ12" s="11"/>
      <c r="TJT12" s="12"/>
      <c r="TJU12" s="11"/>
      <c r="TJX12" s="12"/>
      <c r="TJY12" s="11"/>
      <c r="TKB12" s="12"/>
      <c r="TKC12" s="11"/>
      <c r="TKF12" s="12"/>
      <c r="TKG12" s="11"/>
      <c r="TKJ12" s="12"/>
      <c r="TKK12" s="11"/>
      <c r="TKN12" s="12"/>
      <c r="TKO12" s="11"/>
      <c r="TKR12" s="12"/>
      <c r="TKS12" s="11"/>
      <c r="TKV12" s="12"/>
      <c r="TKW12" s="11"/>
      <c r="TKZ12" s="12"/>
      <c r="TLA12" s="11"/>
      <c r="TLD12" s="12"/>
      <c r="TLE12" s="11"/>
      <c r="TLH12" s="12"/>
      <c r="TLI12" s="11"/>
      <c r="TLL12" s="12"/>
      <c r="TLM12" s="11"/>
      <c r="TLP12" s="12"/>
      <c r="TLQ12" s="11"/>
      <c r="TLT12" s="12"/>
      <c r="TLU12" s="11"/>
      <c r="TLX12" s="12"/>
      <c r="TLY12" s="11"/>
      <c r="TMB12" s="12"/>
      <c r="TMC12" s="11"/>
      <c r="TMF12" s="12"/>
      <c r="TMG12" s="11"/>
      <c r="TMJ12" s="12"/>
      <c r="TMK12" s="11"/>
      <c r="TMN12" s="12"/>
      <c r="TMO12" s="11"/>
      <c r="TMR12" s="12"/>
      <c r="TMS12" s="11"/>
      <c r="TMV12" s="12"/>
      <c r="TMW12" s="11"/>
      <c r="TMZ12" s="12"/>
      <c r="TNA12" s="11"/>
      <c r="TND12" s="12"/>
      <c r="TNE12" s="11"/>
      <c r="TNH12" s="12"/>
      <c r="TNI12" s="11"/>
      <c r="TNL12" s="12"/>
      <c r="TNM12" s="11"/>
      <c r="TNP12" s="12"/>
      <c r="TNQ12" s="11"/>
      <c r="TNT12" s="12"/>
      <c r="TNU12" s="11"/>
      <c r="TNX12" s="12"/>
      <c r="TNY12" s="11"/>
      <c r="TOB12" s="12"/>
      <c r="TOC12" s="11"/>
      <c r="TOF12" s="12"/>
      <c r="TOG12" s="11"/>
      <c r="TOJ12" s="12"/>
      <c r="TOK12" s="11"/>
      <c r="TON12" s="12"/>
      <c r="TOO12" s="11"/>
      <c r="TOR12" s="12"/>
      <c r="TOS12" s="11"/>
      <c r="TOV12" s="12"/>
      <c r="TOW12" s="11"/>
      <c r="TOZ12" s="12"/>
      <c r="TPA12" s="11"/>
      <c r="TPD12" s="12"/>
      <c r="TPE12" s="11"/>
      <c r="TPH12" s="12"/>
      <c r="TPI12" s="11"/>
      <c r="TPL12" s="12"/>
      <c r="TPM12" s="11"/>
      <c r="TPP12" s="12"/>
      <c r="TPQ12" s="11"/>
      <c r="TPT12" s="12"/>
      <c r="TPU12" s="11"/>
      <c r="TPX12" s="12"/>
      <c r="TPY12" s="11"/>
      <c r="TQB12" s="12"/>
      <c r="TQC12" s="11"/>
      <c r="TQF12" s="12"/>
      <c r="TQG12" s="11"/>
      <c r="TQJ12" s="12"/>
      <c r="TQK12" s="11"/>
      <c r="TQN12" s="12"/>
      <c r="TQO12" s="11"/>
      <c r="TQR12" s="12"/>
      <c r="TQS12" s="11"/>
      <c r="TQV12" s="12"/>
      <c r="TQW12" s="11"/>
      <c r="TQZ12" s="12"/>
      <c r="TRA12" s="11"/>
      <c r="TRD12" s="12"/>
      <c r="TRE12" s="11"/>
      <c r="TRH12" s="12"/>
      <c r="TRI12" s="11"/>
      <c r="TRL12" s="12"/>
      <c r="TRM12" s="11"/>
      <c r="TRP12" s="12"/>
      <c r="TRQ12" s="11"/>
      <c r="TRT12" s="12"/>
      <c r="TRU12" s="11"/>
      <c r="TRX12" s="12"/>
      <c r="TRY12" s="11"/>
      <c r="TSB12" s="12"/>
      <c r="TSC12" s="11"/>
      <c r="TSF12" s="12"/>
      <c r="TSG12" s="11"/>
      <c r="TSJ12" s="12"/>
      <c r="TSK12" s="11"/>
      <c r="TSN12" s="12"/>
      <c r="TSO12" s="11"/>
      <c r="TSR12" s="12"/>
      <c r="TSS12" s="11"/>
      <c r="TSV12" s="12"/>
      <c r="TSW12" s="11"/>
      <c r="TSZ12" s="12"/>
      <c r="TTA12" s="11"/>
      <c r="TTD12" s="12"/>
      <c r="TTE12" s="11"/>
      <c r="TTH12" s="12"/>
      <c r="TTI12" s="11"/>
      <c r="TTL12" s="12"/>
      <c r="TTM12" s="11"/>
      <c r="TTP12" s="12"/>
      <c r="TTQ12" s="11"/>
      <c r="TTT12" s="12"/>
      <c r="TTU12" s="11"/>
      <c r="TTX12" s="12"/>
      <c r="TTY12" s="11"/>
      <c r="TUB12" s="12"/>
      <c r="TUC12" s="11"/>
      <c r="TUF12" s="12"/>
      <c r="TUG12" s="11"/>
      <c r="TUJ12" s="12"/>
      <c r="TUK12" s="11"/>
      <c r="TUN12" s="12"/>
      <c r="TUO12" s="11"/>
      <c r="TUR12" s="12"/>
      <c r="TUS12" s="11"/>
      <c r="TUV12" s="12"/>
      <c r="TUW12" s="11"/>
      <c r="TUZ12" s="12"/>
      <c r="TVA12" s="11"/>
      <c r="TVD12" s="12"/>
      <c r="TVE12" s="11"/>
      <c r="TVH12" s="12"/>
      <c r="TVI12" s="11"/>
      <c r="TVL12" s="12"/>
      <c r="TVM12" s="11"/>
      <c r="TVP12" s="12"/>
      <c r="TVQ12" s="11"/>
      <c r="TVT12" s="12"/>
      <c r="TVU12" s="11"/>
      <c r="TVX12" s="12"/>
      <c r="TVY12" s="11"/>
      <c r="TWB12" s="12"/>
      <c r="TWC12" s="11"/>
      <c r="TWF12" s="12"/>
      <c r="TWG12" s="11"/>
      <c r="TWJ12" s="12"/>
      <c r="TWK12" s="11"/>
      <c r="TWN12" s="12"/>
      <c r="TWO12" s="11"/>
      <c r="TWR12" s="12"/>
      <c r="TWS12" s="11"/>
      <c r="TWV12" s="12"/>
      <c r="TWW12" s="11"/>
      <c r="TWZ12" s="12"/>
      <c r="TXA12" s="11"/>
      <c r="TXD12" s="12"/>
      <c r="TXE12" s="11"/>
      <c r="TXH12" s="12"/>
      <c r="TXI12" s="11"/>
      <c r="TXL12" s="12"/>
      <c r="TXM12" s="11"/>
      <c r="TXP12" s="12"/>
      <c r="TXQ12" s="11"/>
      <c r="TXT12" s="12"/>
      <c r="TXU12" s="11"/>
      <c r="TXX12" s="12"/>
      <c r="TXY12" s="11"/>
      <c r="TYB12" s="12"/>
      <c r="TYC12" s="11"/>
      <c r="TYF12" s="12"/>
      <c r="TYG12" s="11"/>
      <c r="TYJ12" s="12"/>
      <c r="TYK12" s="11"/>
      <c r="TYN12" s="12"/>
      <c r="TYO12" s="11"/>
      <c r="TYR12" s="12"/>
      <c r="TYS12" s="11"/>
      <c r="TYV12" s="12"/>
      <c r="TYW12" s="11"/>
      <c r="TYZ12" s="12"/>
      <c r="TZA12" s="11"/>
      <c r="TZD12" s="12"/>
      <c r="TZE12" s="11"/>
      <c r="TZH12" s="12"/>
      <c r="TZI12" s="11"/>
      <c r="TZL12" s="12"/>
      <c r="TZM12" s="11"/>
      <c r="TZP12" s="12"/>
      <c r="TZQ12" s="11"/>
      <c r="TZT12" s="12"/>
      <c r="TZU12" s="11"/>
      <c r="TZX12" s="12"/>
      <c r="TZY12" s="11"/>
      <c r="UAB12" s="12"/>
      <c r="UAC12" s="11"/>
      <c r="UAF12" s="12"/>
      <c r="UAG12" s="11"/>
      <c r="UAJ12" s="12"/>
      <c r="UAK12" s="11"/>
      <c r="UAN12" s="12"/>
      <c r="UAO12" s="11"/>
      <c r="UAR12" s="12"/>
      <c r="UAS12" s="11"/>
      <c r="UAV12" s="12"/>
      <c r="UAW12" s="11"/>
      <c r="UAZ12" s="12"/>
      <c r="UBA12" s="11"/>
      <c r="UBD12" s="12"/>
      <c r="UBE12" s="11"/>
      <c r="UBH12" s="12"/>
      <c r="UBI12" s="11"/>
      <c r="UBL12" s="12"/>
      <c r="UBM12" s="11"/>
      <c r="UBP12" s="12"/>
      <c r="UBQ12" s="11"/>
      <c r="UBT12" s="12"/>
      <c r="UBU12" s="11"/>
      <c r="UBX12" s="12"/>
      <c r="UBY12" s="11"/>
      <c r="UCB12" s="12"/>
      <c r="UCC12" s="11"/>
      <c r="UCF12" s="12"/>
      <c r="UCG12" s="11"/>
      <c r="UCJ12" s="12"/>
      <c r="UCK12" s="11"/>
      <c r="UCN12" s="12"/>
      <c r="UCO12" s="11"/>
      <c r="UCR12" s="12"/>
      <c r="UCS12" s="11"/>
      <c r="UCV12" s="12"/>
      <c r="UCW12" s="11"/>
      <c r="UCZ12" s="12"/>
      <c r="UDA12" s="11"/>
      <c r="UDD12" s="12"/>
      <c r="UDE12" s="11"/>
      <c r="UDH12" s="12"/>
      <c r="UDI12" s="11"/>
      <c r="UDL12" s="12"/>
      <c r="UDM12" s="11"/>
      <c r="UDP12" s="12"/>
      <c r="UDQ12" s="11"/>
      <c r="UDT12" s="12"/>
      <c r="UDU12" s="11"/>
      <c r="UDX12" s="12"/>
      <c r="UDY12" s="11"/>
      <c r="UEB12" s="12"/>
      <c r="UEC12" s="11"/>
      <c r="UEF12" s="12"/>
      <c r="UEG12" s="11"/>
      <c r="UEJ12" s="12"/>
      <c r="UEK12" s="11"/>
      <c r="UEN12" s="12"/>
      <c r="UEO12" s="11"/>
      <c r="UER12" s="12"/>
      <c r="UES12" s="11"/>
      <c r="UEV12" s="12"/>
      <c r="UEW12" s="11"/>
      <c r="UEZ12" s="12"/>
      <c r="UFA12" s="11"/>
      <c r="UFD12" s="12"/>
      <c r="UFE12" s="11"/>
      <c r="UFH12" s="12"/>
      <c r="UFI12" s="11"/>
      <c r="UFL12" s="12"/>
      <c r="UFM12" s="11"/>
      <c r="UFP12" s="12"/>
      <c r="UFQ12" s="11"/>
      <c r="UFT12" s="12"/>
      <c r="UFU12" s="11"/>
      <c r="UFX12" s="12"/>
      <c r="UFY12" s="11"/>
      <c r="UGB12" s="12"/>
      <c r="UGC12" s="11"/>
      <c r="UGF12" s="12"/>
      <c r="UGG12" s="11"/>
      <c r="UGJ12" s="12"/>
      <c r="UGK12" s="11"/>
      <c r="UGN12" s="12"/>
      <c r="UGO12" s="11"/>
      <c r="UGR12" s="12"/>
      <c r="UGS12" s="11"/>
      <c r="UGV12" s="12"/>
      <c r="UGW12" s="11"/>
      <c r="UGZ12" s="12"/>
      <c r="UHA12" s="11"/>
      <c r="UHD12" s="12"/>
      <c r="UHE12" s="11"/>
      <c r="UHH12" s="12"/>
      <c r="UHI12" s="11"/>
      <c r="UHL12" s="12"/>
      <c r="UHM12" s="11"/>
      <c r="UHP12" s="12"/>
      <c r="UHQ12" s="11"/>
      <c r="UHT12" s="12"/>
      <c r="UHU12" s="11"/>
      <c r="UHX12" s="12"/>
      <c r="UHY12" s="11"/>
      <c r="UIB12" s="12"/>
      <c r="UIC12" s="11"/>
      <c r="UIF12" s="12"/>
      <c r="UIG12" s="11"/>
      <c r="UIJ12" s="12"/>
      <c r="UIK12" s="11"/>
      <c r="UIN12" s="12"/>
      <c r="UIO12" s="11"/>
      <c r="UIR12" s="12"/>
      <c r="UIS12" s="11"/>
      <c r="UIV12" s="12"/>
      <c r="UIW12" s="11"/>
      <c r="UIZ12" s="12"/>
      <c r="UJA12" s="11"/>
      <c r="UJD12" s="12"/>
      <c r="UJE12" s="11"/>
      <c r="UJH12" s="12"/>
      <c r="UJI12" s="11"/>
      <c r="UJL12" s="12"/>
      <c r="UJM12" s="11"/>
      <c r="UJP12" s="12"/>
      <c r="UJQ12" s="11"/>
      <c r="UJT12" s="12"/>
      <c r="UJU12" s="11"/>
      <c r="UJX12" s="12"/>
      <c r="UJY12" s="11"/>
      <c r="UKB12" s="12"/>
      <c r="UKC12" s="11"/>
      <c r="UKF12" s="12"/>
      <c r="UKG12" s="11"/>
      <c r="UKJ12" s="12"/>
      <c r="UKK12" s="11"/>
      <c r="UKN12" s="12"/>
      <c r="UKO12" s="11"/>
      <c r="UKR12" s="12"/>
      <c r="UKS12" s="11"/>
      <c r="UKV12" s="12"/>
      <c r="UKW12" s="11"/>
      <c r="UKZ12" s="12"/>
      <c r="ULA12" s="11"/>
      <c r="ULD12" s="12"/>
      <c r="ULE12" s="11"/>
      <c r="ULH12" s="12"/>
      <c r="ULI12" s="11"/>
      <c r="ULL12" s="12"/>
      <c r="ULM12" s="11"/>
      <c r="ULP12" s="12"/>
      <c r="ULQ12" s="11"/>
      <c r="ULT12" s="12"/>
      <c r="ULU12" s="11"/>
      <c r="ULX12" s="12"/>
      <c r="ULY12" s="11"/>
      <c r="UMB12" s="12"/>
      <c r="UMC12" s="11"/>
      <c r="UMF12" s="12"/>
      <c r="UMG12" s="11"/>
      <c r="UMJ12" s="12"/>
      <c r="UMK12" s="11"/>
      <c r="UMN12" s="12"/>
      <c r="UMO12" s="11"/>
      <c r="UMR12" s="12"/>
      <c r="UMS12" s="11"/>
      <c r="UMV12" s="12"/>
      <c r="UMW12" s="11"/>
      <c r="UMZ12" s="12"/>
      <c r="UNA12" s="11"/>
      <c r="UND12" s="12"/>
      <c r="UNE12" s="11"/>
      <c r="UNH12" s="12"/>
      <c r="UNI12" s="11"/>
      <c r="UNL12" s="12"/>
      <c r="UNM12" s="11"/>
      <c r="UNP12" s="12"/>
      <c r="UNQ12" s="11"/>
      <c r="UNT12" s="12"/>
      <c r="UNU12" s="11"/>
      <c r="UNX12" s="12"/>
      <c r="UNY12" s="11"/>
      <c r="UOB12" s="12"/>
      <c r="UOC12" s="11"/>
      <c r="UOF12" s="12"/>
      <c r="UOG12" s="11"/>
      <c r="UOJ12" s="12"/>
      <c r="UOK12" s="11"/>
      <c r="UON12" s="12"/>
      <c r="UOO12" s="11"/>
      <c r="UOR12" s="12"/>
      <c r="UOS12" s="11"/>
      <c r="UOV12" s="12"/>
      <c r="UOW12" s="11"/>
      <c r="UOZ12" s="12"/>
      <c r="UPA12" s="11"/>
      <c r="UPD12" s="12"/>
      <c r="UPE12" s="11"/>
      <c r="UPH12" s="12"/>
      <c r="UPI12" s="11"/>
      <c r="UPL12" s="12"/>
      <c r="UPM12" s="11"/>
      <c r="UPP12" s="12"/>
      <c r="UPQ12" s="11"/>
      <c r="UPT12" s="12"/>
      <c r="UPU12" s="11"/>
      <c r="UPX12" s="12"/>
      <c r="UPY12" s="11"/>
      <c r="UQB12" s="12"/>
      <c r="UQC12" s="11"/>
      <c r="UQF12" s="12"/>
      <c r="UQG12" s="11"/>
      <c r="UQJ12" s="12"/>
      <c r="UQK12" s="11"/>
      <c r="UQN12" s="12"/>
      <c r="UQO12" s="11"/>
      <c r="UQR12" s="12"/>
      <c r="UQS12" s="11"/>
      <c r="UQV12" s="12"/>
      <c r="UQW12" s="11"/>
      <c r="UQZ12" s="12"/>
      <c r="URA12" s="11"/>
      <c r="URD12" s="12"/>
      <c r="URE12" s="11"/>
      <c r="URH12" s="12"/>
      <c r="URI12" s="11"/>
      <c r="URL12" s="12"/>
      <c r="URM12" s="11"/>
      <c r="URP12" s="12"/>
      <c r="URQ12" s="11"/>
      <c r="URT12" s="12"/>
      <c r="URU12" s="11"/>
      <c r="URX12" s="12"/>
      <c r="URY12" s="11"/>
      <c r="USB12" s="12"/>
      <c r="USC12" s="11"/>
      <c r="USF12" s="12"/>
      <c r="USG12" s="11"/>
      <c r="USJ12" s="12"/>
      <c r="USK12" s="11"/>
      <c r="USN12" s="12"/>
      <c r="USO12" s="11"/>
      <c r="USR12" s="12"/>
      <c r="USS12" s="11"/>
      <c r="USV12" s="12"/>
      <c r="USW12" s="11"/>
      <c r="USZ12" s="12"/>
      <c r="UTA12" s="11"/>
      <c r="UTD12" s="12"/>
      <c r="UTE12" s="11"/>
      <c r="UTH12" s="12"/>
      <c r="UTI12" s="11"/>
      <c r="UTL12" s="12"/>
      <c r="UTM12" s="11"/>
      <c r="UTP12" s="12"/>
      <c r="UTQ12" s="11"/>
      <c r="UTT12" s="12"/>
      <c r="UTU12" s="11"/>
      <c r="UTX12" s="12"/>
      <c r="UTY12" s="11"/>
      <c r="UUB12" s="12"/>
      <c r="UUC12" s="11"/>
      <c r="UUF12" s="12"/>
      <c r="UUG12" s="11"/>
      <c r="UUJ12" s="12"/>
      <c r="UUK12" s="11"/>
      <c r="UUN12" s="12"/>
      <c r="UUO12" s="11"/>
      <c r="UUR12" s="12"/>
      <c r="UUS12" s="11"/>
      <c r="UUV12" s="12"/>
      <c r="UUW12" s="11"/>
      <c r="UUZ12" s="12"/>
      <c r="UVA12" s="11"/>
      <c r="UVD12" s="12"/>
      <c r="UVE12" s="11"/>
      <c r="UVH12" s="12"/>
      <c r="UVI12" s="11"/>
      <c r="UVL12" s="12"/>
      <c r="UVM12" s="11"/>
      <c r="UVP12" s="12"/>
      <c r="UVQ12" s="11"/>
      <c r="UVT12" s="12"/>
      <c r="UVU12" s="11"/>
      <c r="UVX12" s="12"/>
      <c r="UVY12" s="11"/>
      <c r="UWB12" s="12"/>
      <c r="UWC12" s="11"/>
      <c r="UWF12" s="12"/>
      <c r="UWG12" s="11"/>
      <c r="UWJ12" s="12"/>
      <c r="UWK12" s="11"/>
      <c r="UWN12" s="12"/>
      <c r="UWO12" s="11"/>
      <c r="UWR12" s="12"/>
      <c r="UWS12" s="11"/>
      <c r="UWV12" s="12"/>
      <c r="UWW12" s="11"/>
      <c r="UWZ12" s="12"/>
      <c r="UXA12" s="11"/>
      <c r="UXD12" s="12"/>
      <c r="UXE12" s="11"/>
      <c r="UXH12" s="12"/>
      <c r="UXI12" s="11"/>
      <c r="UXL12" s="12"/>
      <c r="UXM12" s="11"/>
      <c r="UXP12" s="12"/>
      <c r="UXQ12" s="11"/>
      <c r="UXT12" s="12"/>
      <c r="UXU12" s="11"/>
      <c r="UXX12" s="12"/>
      <c r="UXY12" s="11"/>
      <c r="UYB12" s="12"/>
      <c r="UYC12" s="11"/>
      <c r="UYF12" s="12"/>
      <c r="UYG12" s="11"/>
      <c r="UYJ12" s="12"/>
      <c r="UYK12" s="11"/>
      <c r="UYN12" s="12"/>
      <c r="UYO12" s="11"/>
      <c r="UYR12" s="12"/>
      <c r="UYS12" s="11"/>
      <c r="UYV12" s="12"/>
      <c r="UYW12" s="11"/>
      <c r="UYZ12" s="12"/>
      <c r="UZA12" s="11"/>
      <c r="UZD12" s="12"/>
      <c r="UZE12" s="11"/>
      <c r="UZH12" s="12"/>
      <c r="UZI12" s="11"/>
      <c r="UZL12" s="12"/>
      <c r="UZM12" s="11"/>
      <c r="UZP12" s="12"/>
      <c r="UZQ12" s="11"/>
      <c r="UZT12" s="12"/>
      <c r="UZU12" s="11"/>
      <c r="UZX12" s="12"/>
      <c r="UZY12" s="11"/>
      <c r="VAB12" s="12"/>
      <c r="VAC12" s="11"/>
      <c r="VAF12" s="12"/>
      <c r="VAG12" s="11"/>
      <c r="VAJ12" s="12"/>
      <c r="VAK12" s="11"/>
      <c r="VAN12" s="12"/>
      <c r="VAO12" s="11"/>
      <c r="VAR12" s="12"/>
      <c r="VAS12" s="11"/>
      <c r="VAV12" s="12"/>
      <c r="VAW12" s="11"/>
      <c r="VAZ12" s="12"/>
      <c r="VBA12" s="11"/>
      <c r="VBD12" s="12"/>
      <c r="VBE12" s="11"/>
      <c r="VBH12" s="12"/>
      <c r="VBI12" s="11"/>
      <c r="VBL12" s="12"/>
      <c r="VBM12" s="11"/>
      <c r="VBP12" s="12"/>
      <c r="VBQ12" s="11"/>
      <c r="VBT12" s="12"/>
      <c r="VBU12" s="11"/>
      <c r="VBX12" s="12"/>
      <c r="VBY12" s="11"/>
      <c r="VCB12" s="12"/>
      <c r="VCC12" s="11"/>
      <c r="VCF12" s="12"/>
      <c r="VCG12" s="11"/>
      <c r="VCJ12" s="12"/>
      <c r="VCK12" s="11"/>
      <c r="VCN12" s="12"/>
      <c r="VCO12" s="11"/>
      <c r="VCR12" s="12"/>
      <c r="VCS12" s="11"/>
      <c r="VCV12" s="12"/>
      <c r="VCW12" s="11"/>
      <c r="VCZ12" s="12"/>
      <c r="VDA12" s="11"/>
      <c r="VDD12" s="12"/>
      <c r="VDE12" s="11"/>
      <c r="VDH12" s="12"/>
      <c r="VDI12" s="11"/>
      <c r="VDL12" s="12"/>
      <c r="VDM12" s="11"/>
      <c r="VDP12" s="12"/>
      <c r="VDQ12" s="11"/>
      <c r="VDT12" s="12"/>
      <c r="VDU12" s="11"/>
      <c r="VDX12" s="12"/>
      <c r="VDY12" s="11"/>
      <c r="VEB12" s="12"/>
      <c r="VEC12" s="11"/>
      <c r="VEF12" s="12"/>
      <c r="VEG12" s="11"/>
      <c r="VEJ12" s="12"/>
      <c r="VEK12" s="11"/>
      <c r="VEN12" s="12"/>
      <c r="VEO12" s="11"/>
      <c r="VER12" s="12"/>
      <c r="VES12" s="11"/>
      <c r="VEV12" s="12"/>
      <c r="VEW12" s="11"/>
      <c r="VEZ12" s="12"/>
      <c r="VFA12" s="11"/>
      <c r="VFD12" s="12"/>
      <c r="VFE12" s="11"/>
      <c r="VFH12" s="12"/>
      <c r="VFI12" s="11"/>
      <c r="VFL12" s="12"/>
      <c r="VFM12" s="11"/>
      <c r="VFP12" s="12"/>
      <c r="VFQ12" s="11"/>
      <c r="VFT12" s="12"/>
      <c r="VFU12" s="11"/>
      <c r="VFX12" s="12"/>
      <c r="VFY12" s="11"/>
      <c r="VGB12" s="12"/>
      <c r="VGC12" s="11"/>
      <c r="VGF12" s="12"/>
      <c r="VGG12" s="11"/>
      <c r="VGJ12" s="12"/>
      <c r="VGK12" s="11"/>
      <c r="VGN12" s="12"/>
      <c r="VGO12" s="11"/>
      <c r="VGR12" s="12"/>
      <c r="VGS12" s="11"/>
      <c r="VGV12" s="12"/>
      <c r="VGW12" s="11"/>
      <c r="VGZ12" s="12"/>
      <c r="VHA12" s="11"/>
      <c r="VHD12" s="12"/>
      <c r="VHE12" s="11"/>
      <c r="VHH12" s="12"/>
      <c r="VHI12" s="11"/>
      <c r="VHL12" s="12"/>
      <c r="VHM12" s="11"/>
      <c r="VHP12" s="12"/>
      <c r="VHQ12" s="11"/>
      <c r="VHT12" s="12"/>
      <c r="VHU12" s="11"/>
      <c r="VHX12" s="12"/>
      <c r="VHY12" s="11"/>
      <c r="VIB12" s="12"/>
      <c r="VIC12" s="11"/>
      <c r="VIF12" s="12"/>
      <c r="VIG12" s="11"/>
      <c r="VIJ12" s="12"/>
      <c r="VIK12" s="11"/>
      <c r="VIN12" s="12"/>
      <c r="VIO12" s="11"/>
      <c r="VIR12" s="12"/>
      <c r="VIS12" s="11"/>
      <c r="VIV12" s="12"/>
      <c r="VIW12" s="11"/>
      <c r="VIZ12" s="12"/>
      <c r="VJA12" s="11"/>
      <c r="VJD12" s="12"/>
      <c r="VJE12" s="11"/>
      <c r="VJH12" s="12"/>
      <c r="VJI12" s="11"/>
      <c r="VJL12" s="12"/>
      <c r="VJM12" s="11"/>
      <c r="VJP12" s="12"/>
      <c r="VJQ12" s="11"/>
      <c r="VJT12" s="12"/>
      <c r="VJU12" s="11"/>
      <c r="VJX12" s="12"/>
      <c r="VJY12" s="11"/>
      <c r="VKB12" s="12"/>
      <c r="VKC12" s="11"/>
      <c r="VKF12" s="12"/>
      <c r="VKG12" s="11"/>
      <c r="VKJ12" s="12"/>
      <c r="VKK12" s="11"/>
      <c r="VKN12" s="12"/>
      <c r="VKO12" s="11"/>
      <c r="VKR12" s="12"/>
      <c r="VKS12" s="11"/>
      <c r="VKV12" s="12"/>
      <c r="VKW12" s="11"/>
      <c r="VKZ12" s="12"/>
      <c r="VLA12" s="11"/>
      <c r="VLD12" s="12"/>
      <c r="VLE12" s="11"/>
      <c r="VLH12" s="12"/>
      <c r="VLI12" s="11"/>
      <c r="VLL12" s="12"/>
      <c r="VLM12" s="11"/>
      <c r="VLP12" s="12"/>
      <c r="VLQ12" s="11"/>
      <c r="VLT12" s="12"/>
      <c r="VLU12" s="11"/>
      <c r="VLX12" s="12"/>
      <c r="VLY12" s="11"/>
      <c r="VMB12" s="12"/>
      <c r="VMC12" s="11"/>
      <c r="VMF12" s="12"/>
      <c r="VMG12" s="11"/>
      <c r="VMJ12" s="12"/>
      <c r="VMK12" s="11"/>
      <c r="VMN12" s="12"/>
      <c r="VMO12" s="11"/>
      <c r="VMR12" s="12"/>
      <c r="VMS12" s="11"/>
      <c r="VMV12" s="12"/>
      <c r="VMW12" s="11"/>
      <c r="VMZ12" s="12"/>
      <c r="VNA12" s="11"/>
      <c r="VND12" s="12"/>
      <c r="VNE12" s="11"/>
      <c r="VNH12" s="12"/>
      <c r="VNI12" s="11"/>
      <c r="VNL12" s="12"/>
      <c r="VNM12" s="11"/>
      <c r="VNP12" s="12"/>
      <c r="VNQ12" s="11"/>
      <c r="VNT12" s="12"/>
      <c r="VNU12" s="11"/>
      <c r="VNX12" s="12"/>
      <c r="VNY12" s="11"/>
      <c r="VOB12" s="12"/>
      <c r="VOC12" s="11"/>
      <c r="VOF12" s="12"/>
      <c r="VOG12" s="11"/>
      <c r="VOJ12" s="12"/>
      <c r="VOK12" s="11"/>
      <c r="VON12" s="12"/>
      <c r="VOO12" s="11"/>
      <c r="VOR12" s="12"/>
      <c r="VOS12" s="11"/>
      <c r="VOV12" s="12"/>
      <c r="VOW12" s="11"/>
      <c r="VOZ12" s="12"/>
      <c r="VPA12" s="11"/>
      <c r="VPD12" s="12"/>
      <c r="VPE12" s="11"/>
      <c r="VPH12" s="12"/>
      <c r="VPI12" s="11"/>
      <c r="VPL12" s="12"/>
      <c r="VPM12" s="11"/>
      <c r="VPP12" s="12"/>
      <c r="VPQ12" s="11"/>
      <c r="VPT12" s="12"/>
      <c r="VPU12" s="11"/>
      <c r="VPX12" s="12"/>
      <c r="VPY12" s="11"/>
      <c r="VQB12" s="12"/>
      <c r="VQC12" s="11"/>
      <c r="VQF12" s="12"/>
      <c r="VQG12" s="11"/>
      <c r="VQJ12" s="12"/>
      <c r="VQK12" s="11"/>
      <c r="VQN12" s="12"/>
      <c r="VQO12" s="11"/>
      <c r="VQR12" s="12"/>
      <c r="VQS12" s="11"/>
      <c r="VQV12" s="12"/>
      <c r="VQW12" s="11"/>
      <c r="VQZ12" s="12"/>
      <c r="VRA12" s="11"/>
      <c r="VRD12" s="12"/>
      <c r="VRE12" s="11"/>
      <c r="VRH12" s="12"/>
      <c r="VRI12" s="11"/>
      <c r="VRL12" s="12"/>
      <c r="VRM12" s="11"/>
      <c r="VRP12" s="12"/>
      <c r="VRQ12" s="11"/>
      <c r="VRT12" s="12"/>
      <c r="VRU12" s="11"/>
      <c r="VRX12" s="12"/>
      <c r="VRY12" s="11"/>
      <c r="VSB12" s="12"/>
      <c r="VSC12" s="11"/>
      <c r="VSF12" s="12"/>
      <c r="VSG12" s="11"/>
      <c r="VSJ12" s="12"/>
      <c r="VSK12" s="11"/>
      <c r="VSN12" s="12"/>
      <c r="VSO12" s="11"/>
      <c r="VSR12" s="12"/>
      <c r="VSS12" s="11"/>
      <c r="VSV12" s="12"/>
      <c r="VSW12" s="11"/>
      <c r="VSZ12" s="12"/>
      <c r="VTA12" s="11"/>
      <c r="VTD12" s="12"/>
      <c r="VTE12" s="11"/>
      <c r="VTH12" s="12"/>
      <c r="VTI12" s="11"/>
      <c r="VTL12" s="12"/>
      <c r="VTM12" s="11"/>
      <c r="VTP12" s="12"/>
      <c r="VTQ12" s="11"/>
      <c r="VTT12" s="12"/>
      <c r="VTU12" s="11"/>
      <c r="VTX12" s="12"/>
      <c r="VTY12" s="11"/>
      <c r="VUB12" s="12"/>
      <c r="VUC12" s="11"/>
      <c r="VUF12" s="12"/>
      <c r="VUG12" s="11"/>
      <c r="VUJ12" s="12"/>
      <c r="VUK12" s="11"/>
      <c r="VUN12" s="12"/>
      <c r="VUO12" s="11"/>
      <c r="VUR12" s="12"/>
      <c r="VUS12" s="11"/>
      <c r="VUV12" s="12"/>
      <c r="VUW12" s="11"/>
      <c r="VUZ12" s="12"/>
      <c r="VVA12" s="11"/>
      <c r="VVD12" s="12"/>
      <c r="VVE12" s="11"/>
      <c r="VVH12" s="12"/>
      <c r="VVI12" s="11"/>
      <c r="VVL12" s="12"/>
      <c r="VVM12" s="11"/>
      <c r="VVP12" s="12"/>
      <c r="VVQ12" s="11"/>
      <c r="VVT12" s="12"/>
      <c r="VVU12" s="11"/>
      <c r="VVX12" s="12"/>
      <c r="VVY12" s="11"/>
      <c r="VWB12" s="12"/>
      <c r="VWC12" s="11"/>
      <c r="VWF12" s="12"/>
      <c r="VWG12" s="11"/>
      <c r="VWJ12" s="12"/>
      <c r="VWK12" s="11"/>
      <c r="VWN12" s="12"/>
      <c r="VWO12" s="11"/>
      <c r="VWR12" s="12"/>
      <c r="VWS12" s="11"/>
      <c r="VWV12" s="12"/>
      <c r="VWW12" s="11"/>
      <c r="VWZ12" s="12"/>
      <c r="VXA12" s="11"/>
      <c r="VXD12" s="12"/>
      <c r="VXE12" s="11"/>
      <c r="VXH12" s="12"/>
      <c r="VXI12" s="11"/>
      <c r="VXL12" s="12"/>
      <c r="VXM12" s="11"/>
      <c r="VXP12" s="12"/>
      <c r="VXQ12" s="11"/>
      <c r="VXT12" s="12"/>
      <c r="VXU12" s="11"/>
      <c r="VXX12" s="12"/>
      <c r="VXY12" s="11"/>
      <c r="VYB12" s="12"/>
      <c r="VYC12" s="11"/>
      <c r="VYF12" s="12"/>
      <c r="VYG12" s="11"/>
      <c r="VYJ12" s="12"/>
      <c r="VYK12" s="11"/>
      <c r="VYN12" s="12"/>
      <c r="VYO12" s="11"/>
      <c r="VYR12" s="12"/>
      <c r="VYS12" s="11"/>
      <c r="VYV12" s="12"/>
      <c r="VYW12" s="11"/>
      <c r="VYZ12" s="12"/>
      <c r="VZA12" s="11"/>
      <c r="VZD12" s="12"/>
      <c r="VZE12" s="11"/>
      <c r="VZH12" s="12"/>
      <c r="VZI12" s="11"/>
      <c r="VZL12" s="12"/>
      <c r="VZM12" s="11"/>
      <c r="VZP12" s="12"/>
      <c r="VZQ12" s="11"/>
      <c r="VZT12" s="12"/>
      <c r="VZU12" s="11"/>
      <c r="VZX12" s="12"/>
      <c r="VZY12" s="11"/>
      <c r="WAB12" s="12"/>
      <c r="WAC12" s="11"/>
      <c r="WAF12" s="12"/>
      <c r="WAG12" s="11"/>
      <c r="WAJ12" s="12"/>
      <c r="WAK12" s="11"/>
      <c r="WAN12" s="12"/>
      <c r="WAO12" s="11"/>
      <c r="WAR12" s="12"/>
      <c r="WAS12" s="11"/>
      <c r="WAV12" s="12"/>
      <c r="WAW12" s="11"/>
      <c r="WAZ12" s="12"/>
      <c r="WBA12" s="11"/>
      <c r="WBD12" s="12"/>
      <c r="WBE12" s="11"/>
      <c r="WBH12" s="12"/>
      <c r="WBI12" s="11"/>
      <c r="WBL12" s="12"/>
      <c r="WBM12" s="11"/>
      <c r="WBP12" s="12"/>
      <c r="WBQ12" s="11"/>
      <c r="WBT12" s="12"/>
      <c r="WBU12" s="11"/>
      <c r="WBX12" s="12"/>
      <c r="WBY12" s="11"/>
      <c r="WCB12" s="12"/>
      <c r="WCC12" s="11"/>
      <c r="WCF12" s="12"/>
      <c r="WCG12" s="11"/>
      <c r="WCJ12" s="12"/>
      <c r="WCK12" s="11"/>
      <c r="WCN12" s="12"/>
      <c r="WCO12" s="11"/>
      <c r="WCR12" s="12"/>
      <c r="WCS12" s="11"/>
      <c r="WCV12" s="12"/>
      <c r="WCW12" s="11"/>
      <c r="WCZ12" s="12"/>
      <c r="WDA12" s="11"/>
      <c r="WDD12" s="12"/>
      <c r="WDE12" s="11"/>
      <c r="WDH12" s="12"/>
      <c r="WDI12" s="11"/>
      <c r="WDL12" s="12"/>
      <c r="WDM12" s="11"/>
      <c r="WDP12" s="12"/>
      <c r="WDQ12" s="11"/>
      <c r="WDT12" s="12"/>
      <c r="WDU12" s="11"/>
      <c r="WDX12" s="12"/>
      <c r="WDY12" s="11"/>
      <c r="WEB12" s="12"/>
      <c r="WEC12" s="11"/>
      <c r="WEF12" s="12"/>
      <c r="WEG12" s="11"/>
      <c r="WEJ12" s="12"/>
      <c r="WEK12" s="11"/>
      <c r="WEN12" s="12"/>
      <c r="WEO12" s="11"/>
      <c r="WER12" s="12"/>
      <c r="WES12" s="11"/>
      <c r="WEV12" s="12"/>
      <c r="WEW12" s="11"/>
      <c r="WEZ12" s="12"/>
      <c r="WFA12" s="11"/>
      <c r="WFD12" s="12"/>
      <c r="WFE12" s="11"/>
      <c r="WFH12" s="12"/>
      <c r="WFI12" s="11"/>
      <c r="WFL12" s="12"/>
      <c r="WFM12" s="11"/>
      <c r="WFP12" s="12"/>
      <c r="WFQ12" s="11"/>
      <c r="WFT12" s="12"/>
      <c r="WFU12" s="11"/>
      <c r="WFX12" s="12"/>
      <c r="WFY12" s="11"/>
      <c r="WGB12" s="12"/>
      <c r="WGC12" s="11"/>
      <c r="WGF12" s="12"/>
      <c r="WGG12" s="11"/>
      <c r="WGJ12" s="12"/>
      <c r="WGK12" s="11"/>
      <c r="WGN12" s="12"/>
      <c r="WGO12" s="11"/>
      <c r="WGR12" s="12"/>
      <c r="WGS12" s="11"/>
      <c r="WGV12" s="12"/>
      <c r="WGW12" s="11"/>
      <c r="WGZ12" s="12"/>
      <c r="WHA12" s="11"/>
      <c r="WHD12" s="12"/>
      <c r="WHE12" s="11"/>
      <c r="WHH12" s="12"/>
      <c r="WHI12" s="11"/>
      <c r="WHL12" s="12"/>
      <c r="WHM12" s="11"/>
      <c r="WHP12" s="12"/>
      <c r="WHQ12" s="11"/>
      <c r="WHT12" s="12"/>
      <c r="WHU12" s="11"/>
      <c r="WHX12" s="12"/>
      <c r="WHY12" s="11"/>
      <c r="WIB12" s="12"/>
      <c r="WIC12" s="11"/>
      <c r="WIF12" s="12"/>
      <c r="WIG12" s="11"/>
      <c r="WIJ12" s="12"/>
      <c r="WIK12" s="11"/>
      <c r="WIN12" s="12"/>
      <c r="WIO12" s="11"/>
      <c r="WIR12" s="12"/>
      <c r="WIS12" s="11"/>
      <c r="WIV12" s="12"/>
      <c r="WIW12" s="11"/>
      <c r="WIZ12" s="12"/>
      <c r="WJA12" s="11"/>
      <c r="WJD12" s="12"/>
      <c r="WJE12" s="11"/>
      <c r="WJH12" s="12"/>
      <c r="WJI12" s="11"/>
      <c r="WJL12" s="12"/>
      <c r="WJM12" s="11"/>
      <c r="WJP12" s="12"/>
      <c r="WJQ12" s="11"/>
      <c r="WJT12" s="12"/>
      <c r="WJU12" s="11"/>
      <c r="WJX12" s="12"/>
      <c r="WJY12" s="11"/>
      <c r="WKB12" s="12"/>
      <c r="WKC12" s="11"/>
      <c r="WKF12" s="12"/>
      <c r="WKG12" s="11"/>
      <c r="WKJ12" s="12"/>
      <c r="WKK12" s="11"/>
      <c r="WKN12" s="12"/>
      <c r="WKO12" s="11"/>
      <c r="WKR12" s="12"/>
      <c r="WKS12" s="11"/>
      <c r="WKV12" s="12"/>
      <c r="WKW12" s="11"/>
      <c r="WKZ12" s="12"/>
      <c r="WLA12" s="11"/>
      <c r="WLD12" s="12"/>
      <c r="WLE12" s="11"/>
      <c r="WLH12" s="12"/>
      <c r="WLI12" s="11"/>
      <c r="WLL12" s="12"/>
      <c r="WLM12" s="11"/>
      <c r="WLP12" s="12"/>
      <c r="WLQ12" s="11"/>
      <c r="WLT12" s="12"/>
      <c r="WLU12" s="11"/>
      <c r="WLX12" s="12"/>
      <c r="WLY12" s="11"/>
      <c r="WMB12" s="12"/>
      <c r="WMC12" s="11"/>
      <c r="WMF12" s="12"/>
      <c r="WMG12" s="11"/>
      <c r="WMJ12" s="12"/>
      <c r="WMK12" s="11"/>
      <c r="WMN12" s="12"/>
      <c r="WMO12" s="11"/>
      <c r="WMR12" s="12"/>
      <c r="WMS12" s="11"/>
      <c r="WMV12" s="12"/>
      <c r="WMW12" s="11"/>
      <c r="WMZ12" s="12"/>
      <c r="WNA12" s="11"/>
      <c r="WND12" s="12"/>
      <c r="WNE12" s="11"/>
      <c r="WNH12" s="12"/>
      <c r="WNI12" s="11"/>
      <c r="WNL12" s="12"/>
      <c r="WNM12" s="11"/>
      <c r="WNP12" s="12"/>
      <c r="WNQ12" s="11"/>
      <c r="WNT12" s="12"/>
      <c r="WNU12" s="11"/>
      <c r="WNX12" s="12"/>
      <c r="WNY12" s="11"/>
      <c r="WOB12" s="12"/>
      <c r="WOC12" s="11"/>
      <c r="WOF12" s="12"/>
      <c r="WOG12" s="11"/>
      <c r="WOJ12" s="12"/>
      <c r="WOK12" s="11"/>
      <c r="WON12" s="12"/>
      <c r="WOO12" s="11"/>
      <c r="WOR12" s="12"/>
      <c r="WOS12" s="11"/>
      <c r="WOV12" s="12"/>
      <c r="WOW12" s="11"/>
      <c r="WOZ12" s="12"/>
      <c r="WPA12" s="11"/>
      <c r="WPD12" s="12"/>
      <c r="WPE12" s="11"/>
      <c r="WPH12" s="12"/>
      <c r="WPI12" s="11"/>
      <c r="WPL12" s="12"/>
      <c r="WPM12" s="11"/>
      <c r="WPP12" s="12"/>
      <c r="WPQ12" s="11"/>
      <c r="WPT12" s="12"/>
      <c r="WPU12" s="11"/>
      <c r="WPX12" s="12"/>
      <c r="WPY12" s="11"/>
      <c r="WQB12" s="12"/>
      <c r="WQC12" s="11"/>
      <c r="WQF12" s="12"/>
      <c r="WQG12" s="11"/>
      <c r="WQJ12" s="12"/>
      <c r="WQK12" s="11"/>
      <c r="WQN12" s="12"/>
      <c r="WQO12" s="11"/>
      <c r="WQR12" s="12"/>
      <c r="WQS12" s="11"/>
      <c r="WQV12" s="12"/>
      <c r="WQW12" s="11"/>
      <c r="WQZ12" s="12"/>
      <c r="WRA12" s="11"/>
      <c r="WRD12" s="12"/>
      <c r="WRE12" s="11"/>
      <c r="WRH12" s="12"/>
      <c r="WRI12" s="11"/>
      <c r="WRL12" s="12"/>
      <c r="WRM12" s="11"/>
      <c r="WRP12" s="12"/>
      <c r="WRQ12" s="11"/>
      <c r="WRT12" s="12"/>
      <c r="WRU12" s="11"/>
      <c r="WRX12" s="12"/>
      <c r="WRY12" s="11"/>
      <c r="WSB12" s="12"/>
      <c r="WSC12" s="11"/>
      <c r="WSF12" s="12"/>
      <c r="WSG12" s="11"/>
      <c r="WSJ12" s="12"/>
      <c r="WSK12" s="11"/>
      <c r="WSN12" s="12"/>
      <c r="WSO12" s="11"/>
      <c r="WSR12" s="12"/>
      <c r="WSS12" s="11"/>
      <c r="WSV12" s="12"/>
      <c r="WSW12" s="11"/>
      <c r="WSZ12" s="12"/>
      <c r="WTA12" s="11"/>
      <c r="WTD12" s="12"/>
      <c r="WTE12" s="11"/>
      <c r="WTH12" s="12"/>
      <c r="WTI12" s="11"/>
      <c r="WTL12" s="12"/>
      <c r="WTM12" s="11"/>
      <c r="WTP12" s="12"/>
      <c r="WTQ12" s="11"/>
      <c r="WTT12" s="12"/>
      <c r="WTU12" s="11"/>
      <c r="WTX12" s="12"/>
      <c r="WTY12" s="11"/>
      <c r="WUB12" s="12"/>
      <c r="WUC12" s="11"/>
      <c r="WUF12" s="12"/>
      <c r="WUG12" s="11"/>
      <c r="WUJ12" s="12"/>
      <c r="WUK12" s="11"/>
      <c r="WUN12" s="12"/>
      <c r="WUO12" s="11"/>
      <c r="WUR12" s="12"/>
      <c r="WUS12" s="11"/>
      <c r="WUV12" s="12"/>
      <c r="WUW12" s="11"/>
      <c r="WUZ12" s="12"/>
      <c r="WVA12" s="11"/>
      <c r="WVD12" s="12"/>
      <c r="WVE12" s="11"/>
      <c r="WVH12" s="12"/>
      <c r="WVI12" s="11"/>
      <c r="WVL12" s="12"/>
      <c r="WVM12" s="11"/>
      <c r="WVP12" s="12"/>
      <c r="WVQ12" s="11"/>
      <c r="WVT12" s="12"/>
      <c r="WVU12" s="11"/>
      <c r="WVX12" s="12"/>
      <c r="WVY12" s="11"/>
      <c r="WWB12" s="12"/>
      <c r="WWC12" s="11"/>
      <c r="WWF12" s="12"/>
      <c r="WWG12" s="11"/>
      <c r="WWJ12" s="12"/>
      <c r="WWK12" s="11"/>
      <c r="WWN12" s="12"/>
      <c r="WWO12" s="11"/>
      <c r="WWR12" s="12"/>
      <c r="WWS12" s="11"/>
      <c r="WWV12" s="12"/>
      <c r="WWW12" s="11"/>
      <c r="WWZ12" s="12"/>
      <c r="WXA12" s="11"/>
      <c r="WXD12" s="12"/>
      <c r="WXE12" s="11"/>
      <c r="WXH12" s="12"/>
      <c r="WXI12" s="11"/>
      <c r="WXL12" s="12"/>
      <c r="WXM12" s="11"/>
      <c r="WXP12" s="12"/>
      <c r="WXQ12" s="11"/>
      <c r="WXT12" s="12"/>
      <c r="WXU12" s="11"/>
      <c r="WXX12" s="12"/>
      <c r="WXY12" s="11"/>
      <c r="WYB12" s="12"/>
      <c r="WYC12" s="11"/>
      <c r="WYF12" s="12"/>
      <c r="WYG12" s="11"/>
      <c r="WYJ12" s="12"/>
      <c r="WYK12" s="11"/>
      <c r="WYN12" s="12"/>
      <c r="WYO12" s="11"/>
      <c r="WYR12" s="12"/>
      <c r="WYS12" s="11"/>
      <c r="WYV12" s="12"/>
      <c r="WYW12" s="11"/>
      <c r="WYZ12" s="12"/>
      <c r="WZA12" s="11"/>
      <c r="WZD12" s="12"/>
      <c r="WZE12" s="11"/>
      <c r="WZH12" s="12"/>
      <c r="WZI12" s="11"/>
      <c r="WZL12" s="12"/>
      <c r="WZM12" s="11"/>
      <c r="WZP12" s="12"/>
      <c r="WZQ12" s="11"/>
      <c r="WZT12" s="12"/>
      <c r="WZU12" s="11"/>
      <c r="WZX12" s="12"/>
      <c r="WZY12" s="11"/>
      <c r="XAB12" s="12"/>
      <c r="XAC12" s="11"/>
      <c r="XAF12" s="12"/>
      <c r="XAG12" s="11"/>
      <c r="XAJ12" s="12"/>
      <c r="XAK12" s="11"/>
      <c r="XAN12" s="12"/>
      <c r="XAO12" s="11"/>
      <c r="XAR12" s="12"/>
      <c r="XAS12" s="11"/>
      <c r="XAV12" s="12"/>
      <c r="XAW12" s="11"/>
      <c r="XAZ12" s="12"/>
      <c r="XBA12" s="11"/>
      <c r="XBD12" s="12"/>
      <c r="XBE12" s="11"/>
      <c r="XBH12" s="12"/>
      <c r="XBI12" s="11"/>
      <c r="XBL12" s="12"/>
      <c r="XBM12" s="11"/>
      <c r="XBP12" s="12"/>
      <c r="XBQ12" s="11"/>
      <c r="XBT12" s="12"/>
      <c r="XBU12" s="11"/>
      <c r="XBX12" s="12"/>
      <c r="XBY12" s="11"/>
      <c r="XCB12" s="12"/>
      <c r="XCC12" s="11"/>
      <c r="XCF12" s="12"/>
      <c r="XCG12" s="11"/>
      <c r="XCJ12" s="12"/>
      <c r="XCK12" s="11"/>
      <c r="XCN12" s="12"/>
      <c r="XCO12" s="11"/>
      <c r="XCR12" s="12"/>
      <c r="XCS12" s="11"/>
      <c r="XCV12" s="12"/>
      <c r="XCW12" s="11"/>
      <c r="XCZ12" s="12"/>
      <c r="XDA12" s="11"/>
      <c r="XDD12" s="12"/>
      <c r="XDE12" s="11"/>
      <c r="XDH12" s="12"/>
      <c r="XDI12" s="11"/>
      <c r="XDL12" s="12"/>
      <c r="XDM12" s="11"/>
      <c r="XDP12" s="12"/>
      <c r="XDQ12" s="11"/>
      <c r="XDT12" s="12"/>
      <c r="XDU12" s="11"/>
      <c r="XDX12" s="12"/>
      <c r="XDY12" s="11"/>
      <c r="XEB12" s="12"/>
      <c r="XEC12" s="11"/>
      <c r="XEF12" s="12"/>
      <c r="XEG12" s="11"/>
      <c r="XEJ12" s="12"/>
      <c r="XEK12" s="11"/>
      <c r="XEN12" s="12"/>
      <c r="XEO12" s="11"/>
      <c r="XER12" s="12"/>
      <c r="XES12" s="11"/>
      <c r="XEV12" s="12"/>
      <c r="XEW12" s="11"/>
      <c r="XEZ12" s="12"/>
      <c r="XFA12" s="11"/>
    </row>
    <row r="13" spans="1:16381" x14ac:dyDescent="0.25">
      <c r="A13" s="10" t="s">
        <v>1866</v>
      </c>
      <c r="B13" s="6" t="s">
        <v>1911</v>
      </c>
      <c r="C13" s="6" t="s">
        <v>1952</v>
      </c>
      <c r="D13" s="6" t="s">
        <v>1997</v>
      </c>
      <c r="E13" s="6" t="s">
        <v>2042</v>
      </c>
      <c r="F13" s="6" t="s">
        <v>2087</v>
      </c>
      <c r="G13" s="6" t="s">
        <v>2131</v>
      </c>
      <c r="H13" s="6" t="s">
        <v>2176</v>
      </c>
      <c r="I13" s="6" t="s">
        <v>2734</v>
      </c>
      <c r="J13" s="6" t="s">
        <v>2631</v>
      </c>
      <c r="K13" s="6" t="s">
        <v>2526</v>
      </c>
      <c r="L13" s="6" t="s">
        <v>2421</v>
      </c>
      <c r="M13" s="6" t="s">
        <v>3576</v>
      </c>
      <c r="N13" s="6" t="s">
        <v>3478</v>
      </c>
    </row>
    <row r="14" spans="1:16381" x14ac:dyDescent="0.25">
      <c r="A14" s="10" t="s">
        <v>1884</v>
      </c>
      <c r="B14" s="6" t="s">
        <v>1927</v>
      </c>
      <c r="C14" s="6" t="s">
        <v>1970</v>
      </c>
      <c r="D14" s="6" t="s">
        <v>2015</v>
      </c>
      <c r="E14" s="6" t="s">
        <v>2060</v>
      </c>
      <c r="F14" s="6" t="s">
        <v>2105</v>
      </c>
      <c r="G14" s="6" t="s">
        <v>2149</v>
      </c>
      <c r="H14" s="6" t="s">
        <v>2194</v>
      </c>
      <c r="I14" s="6" t="s">
        <v>2735</v>
      </c>
      <c r="J14" s="6" t="s">
        <v>2632</v>
      </c>
      <c r="K14" s="6" t="s">
        <v>2527</v>
      </c>
      <c r="L14" s="6" t="s">
        <v>2422</v>
      </c>
      <c r="M14" s="6" t="s">
        <v>3577</v>
      </c>
      <c r="N14" s="6" t="s">
        <v>3479</v>
      </c>
    </row>
    <row r="15" spans="1:16381" x14ac:dyDescent="0.25">
      <c r="A15" s="10" t="s">
        <v>1878</v>
      </c>
      <c r="B15" s="6" t="s">
        <v>1922</v>
      </c>
      <c r="C15" s="6" t="s">
        <v>1964</v>
      </c>
      <c r="D15" s="6" t="s">
        <v>2009</v>
      </c>
      <c r="E15" s="6" t="s">
        <v>2054</v>
      </c>
      <c r="F15" s="6" t="s">
        <v>2099</v>
      </c>
      <c r="G15" s="6" t="s">
        <v>2143</v>
      </c>
      <c r="H15" s="6" t="s">
        <v>2188</v>
      </c>
      <c r="I15" s="6" t="s">
        <v>2736</v>
      </c>
      <c r="J15" s="6" t="s">
        <v>2633</v>
      </c>
      <c r="K15" s="6" t="s">
        <v>2528</v>
      </c>
      <c r="L15" s="6" t="s">
        <v>2423</v>
      </c>
      <c r="M15" s="6" t="s">
        <v>3578</v>
      </c>
      <c r="N15" s="6" t="s">
        <v>3480</v>
      </c>
    </row>
    <row r="16" spans="1:16381" x14ac:dyDescent="0.25">
      <c r="A16" s="10" t="s">
        <v>1864</v>
      </c>
      <c r="B16" s="6" t="s">
        <v>1909</v>
      </c>
      <c r="C16" s="6" t="s">
        <v>1950</v>
      </c>
      <c r="D16" s="6" t="s">
        <v>1995</v>
      </c>
      <c r="E16" s="6" t="s">
        <v>2040</v>
      </c>
      <c r="F16" s="6" t="s">
        <v>2085</v>
      </c>
      <c r="G16" s="6" t="s">
        <v>2129</v>
      </c>
      <c r="H16" s="6" t="s">
        <v>2174</v>
      </c>
      <c r="I16" s="6" t="s">
        <v>2737</v>
      </c>
      <c r="J16" s="6" t="s">
        <v>2634</v>
      </c>
      <c r="K16" s="6" t="s">
        <v>2529</v>
      </c>
      <c r="L16" s="6" t="s">
        <v>2424</v>
      </c>
      <c r="M16" s="6" t="s">
        <v>3579</v>
      </c>
      <c r="N16" s="6" t="s">
        <v>3481</v>
      </c>
    </row>
    <row r="17" spans="1:14" x14ac:dyDescent="0.25">
      <c r="A17" s="10" t="s">
        <v>1861</v>
      </c>
      <c r="B17" s="6" t="s">
        <v>1906</v>
      </c>
      <c r="C17" s="6" t="s">
        <v>1947</v>
      </c>
      <c r="D17" s="6" t="s">
        <v>1992</v>
      </c>
      <c r="E17" s="6" t="s">
        <v>2037</v>
      </c>
      <c r="F17" s="6" t="s">
        <v>2082</v>
      </c>
      <c r="G17" s="6" t="s">
        <v>2126</v>
      </c>
      <c r="H17" s="6" t="s">
        <v>2171</v>
      </c>
      <c r="I17" s="6" t="s">
        <v>2738</v>
      </c>
      <c r="J17" s="6" t="s">
        <v>2635</v>
      </c>
      <c r="K17" s="6" t="s">
        <v>2530</v>
      </c>
      <c r="L17" s="6" t="s">
        <v>2425</v>
      </c>
      <c r="M17" s="6" t="s">
        <v>3580</v>
      </c>
      <c r="N17" s="6" t="s">
        <v>3482</v>
      </c>
    </row>
    <row r="18" spans="1:14" x14ac:dyDescent="0.25">
      <c r="A18" s="10" t="s">
        <v>1882</v>
      </c>
      <c r="B18" s="6" t="s">
        <v>1925</v>
      </c>
      <c r="C18" s="6" t="s">
        <v>1968</v>
      </c>
      <c r="D18" s="6" t="s">
        <v>2013</v>
      </c>
      <c r="E18" s="6" t="s">
        <v>2058</v>
      </c>
      <c r="F18" s="6" t="s">
        <v>2103</v>
      </c>
      <c r="G18" s="6" t="s">
        <v>2147</v>
      </c>
      <c r="H18" s="6" t="s">
        <v>2192</v>
      </c>
      <c r="I18" s="6" t="s">
        <v>2739</v>
      </c>
      <c r="J18" s="6" t="s">
        <v>2636</v>
      </c>
      <c r="K18" s="6" t="s">
        <v>2531</v>
      </c>
      <c r="L18" s="6" t="s">
        <v>2426</v>
      </c>
      <c r="M18" s="6" t="s">
        <v>3581</v>
      </c>
      <c r="N18" s="6" t="s">
        <v>3483</v>
      </c>
    </row>
    <row r="19" spans="1:14" x14ac:dyDescent="0.25">
      <c r="A19" s="10" t="s">
        <v>290</v>
      </c>
      <c r="B19" s="6" t="s">
        <v>638</v>
      </c>
      <c r="C19" s="6" t="s">
        <v>291</v>
      </c>
      <c r="D19" s="6" t="s">
        <v>292</v>
      </c>
      <c r="E19" s="6" t="s">
        <v>293</v>
      </c>
      <c r="F19" s="6" t="s">
        <v>294</v>
      </c>
      <c r="G19" s="6" t="s">
        <v>295</v>
      </c>
      <c r="H19" s="6" t="s">
        <v>296</v>
      </c>
      <c r="I19" s="6" t="s">
        <v>2740</v>
      </c>
      <c r="J19" s="6" t="s">
        <v>2637</v>
      </c>
      <c r="K19" s="6" t="s">
        <v>2532</v>
      </c>
      <c r="L19" s="6" t="s">
        <v>2427</v>
      </c>
      <c r="M19" s="6" t="s">
        <v>3582</v>
      </c>
      <c r="N19" s="6" t="s">
        <v>3484</v>
      </c>
    </row>
    <row r="20" spans="1:14" x14ac:dyDescent="0.25">
      <c r="A20" s="10" t="s">
        <v>2269</v>
      </c>
      <c r="B20" s="6" t="s">
        <v>2283</v>
      </c>
      <c r="C20" s="6" t="s">
        <v>2281</v>
      </c>
      <c r="D20" s="6" t="s">
        <v>2279</v>
      </c>
      <c r="E20" s="6" t="s">
        <v>2277</v>
      </c>
      <c r="F20" s="6" t="s">
        <v>2275</v>
      </c>
      <c r="G20" s="6" t="s">
        <v>2273</v>
      </c>
      <c r="H20" s="6" t="s">
        <v>2271</v>
      </c>
      <c r="I20" s="6" t="s">
        <v>2741</v>
      </c>
      <c r="J20" s="6" t="s">
        <v>2638</v>
      </c>
      <c r="K20" s="6" t="s">
        <v>2533</v>
      </c>
      <c r="L20" s="6" t="s">
        <v>2428</v>
      </c>
      <c r="M20" s="6" t="s">
        <v>3583</v>
      </c>
      <c r="N20" s="6" t="s">
        <v>3485</v>
      </c>
    </row>
    <row r="21" spans="1:14" x14ac:dyDescent="0.25">
      <c r="A21" s="10" t="s">
        <v>1871</v>
      </c>
      <c r="B21" s="6" t="s">
        <v>1915</v>
      </c>
      <c r="C21" s="6" t="s">
        <v>1957</v>
      </c>
      <c r="D21" s="6" t="s">
        <v>2002</v>
      </c>
      <c r="E21" s="6" t="s">
        <v>2047</v>
      </c>
      <c r="F21" s="6" t="s">
        <v>2092</v>
      </c>
      <c r="G21" s="6" t="s">
        <v>2136</v>
      </c>
      <c r="H21" s="6" t="s">
        <v>2181</v>
      </c>
      <c r="I21" s="6" t="s">
        <v>2742</v>
      </c>
      <c r="J21" s="6" t="s">
        <v>2639</v>
      </c>
      <c r="K21" s="6" t="s">
        <v>2534</v>
      </c>
      <c r="L21" s="6" t="s">
        <v>2429</v>
      </c>
      <c r="M21" s="6" t="s">
        <v>3584</v>
      </c>
      <c r="N21" s="6" t="s">
        <v>3486</v>
      </c>
    </row>
    <row r="22" spans="1:14" x14ac:dyDescent="0.25">
      <c r="A22" s="10" t="s">
        <v>1872</v>
      </c>
      <c r="B22" s="6" t="s">
        <v>1916</v>
      </c>
      <c r="C22" s="6" t="s">
        <v>1958</v>
      </c>
      <c r="D22" s="6" t="s">
        <v>2003</v>
      </c>
      <c r="E22" s="6" t="s">
        <v>2048</v>
      </c>
      <c r="F22" s="6" t="s">
        <v>2093</v>
      </c>
      <c r="G22" s="6" t="s">
        <v>2137</v>
      </c>
      <c r="H22" s="6" t="s">
        <v>2182</v>
      </c>
      <c r="I22" s="6" t="s">
        <v>2743</v>
      </c>
      <c r="J22" s="6" t="s">
        <v>2640</v>
      </c>
      <c r="K22" s="6" t="s">
        <v>2535</v>
      </c>
      <c r="L22" s="6" t="s">
        <v>2430</v>
      </c>
      <c r="M22" s="6" t="s">
        <v>3585</v>
      </c>
      <c r="N22" s="6" t="s">
        <v>3487</v>
      </c>
    </row>
    <row r="23" spans="1:14" x14ac:dyDescent="0.25">
      <c r="A23" s="10" t="s">
        <v>2219</v>
      </c>
      <c r="B23" s="6" t="s">
        <v>2225</v>
      </c>
      <c r="C23" s="6" t="s">
        <v>2232</v>
      </c>
      <c r="D23" s="6" t="s">
        <v>2239</v>
      </c>
      <c r="E23" s="6" t="s">
        <v>2246</v>
      </c>
      <c r="F23" s="6" t="s">
        <v>2253</v>
      </c>
      <c r="G23" s="6" t="s">
        <v>2260</v>
      </c>
      <c r="H23" s="6" t="s">
        <v>2267</v>
      </c>
      <c r="I23" s="6" t="s">
        <v>2744</v>
      </c>
      <c r="J23" s="6" t="s">
        <v>2641</v>
      </c>
      <c r="K23" s="6" t="s">
        <v>2536</v>
      </c>
      <c r="L23" s="6" t="s">
        <v>2431</v>
      </c>
      <c r="M23" s="6" t="s">
        <v>3586</v>
      </c>
      <c r="N23" s="6" t="s">
        <v>3488</v>
      </c>
    </row>
    <row r="24" spans="1:14" x14ac:dyDescent="0.25">
      <c r="A24" s="10" t="s">
        <v>1876</v>
      </c>
      <c r="B24" s="6" t="s">
        <v>1920</v>
      </c>
      <c r="C24" s="6" t="s">
        <v>1962</v>
      </c>
      <c r="D24" s="6" t="s">
        <v>2007</v>
      </c>
      <c r="E24" s="6" t="s">
        <v>2052</v>
      </c>
      <c r="F24" s="6" t="s">
        <v>2097</v>
      </c>
      <c r="G24" s="6" t="s">
        <v>2141</v>
      </c>
      <c r="H24" s="6" t="s">
        <v>2186</v>
      </c>
      <c r="I24" s="6" t="s">
        <v>2745</v>
      </c>
      <c r="J24" s="6" t="s">
        <v>2642</v>
      </c>
      <c r="K24" s="6" t="s">
        <v>2537</v>
      </c>
      <c r="L24" s="6" t="s">
        <v>2432</v>
      </c>
      <c r="M24" s="6" t="s">
        <v>3587</v>
      </c>
      <c r="N24" s="6" t="s">
        <v>3489</v>
      </c>
    </row>
    <row r="25" spans="1:14" x14ac:dyDescent="0.25">
      <c r="A25" s="10" t="s">
        <v>2289</v>
      </c>
      <c r="B25" s="6" t="s">
        <v>2291</v>
      </c>
      <c r="C25" s="6" t="s">
        <v>2293</v>
      </c>
      <c r="D25" s="6" t="s">
        <v>2295</v>
      </c>
      <c r="E25" s="6" t="s">
        <v>2297</v>
      </c>
      <c r="F25" s="6" t="s">
        <v>2299</v>
      </c>
      <c r="G25" s="6" t="s">
        <v>2295</v>
      </c>
      <c r="H25" s="6" t="s">
        <v>2302</v>
      </c>
      <c r="I25" s="6" t="s">
        <v>2746</v>
      </c>
      <c r="J25" s="6" t="s">
        <v>2643</v>
      </c>
      <c r="K25" s="6" t="s">
        <v>2538</v>
      </c>
      <c r="L25" s="6" t="s">
        <v>2433</v>
      </c>
      <c r="M25" s="6" t="s">
        <v>3588</v>
      </c>
      <c r="N25" s="6" t="s">
        <v>3490</v>
      </c>
    </row>
    <row r="26" spans="1:14" x14ac:dyDescent="0.25">
      <c r="A26" s="10" t="s">
        <v>491</v>
      </c>
      <c r="B26" s="6" t="s">
        <v>639</v>
      </c>
      <c r="C26" s="6" t="s">
        <v>716</v>
      </c>
      <c r="D26" s="6" t="s">
        <v>807</v>
      </c>
      <c r="E26" s="6" t="s">
        <v>898</v>
      </c>
      <c r="F26" s="6" t="s">
        <v>986</v>
      </c>
      <c r="G26" s="6" t="s">
        <v>1076</v>
      </c>
      <c r="H26" s="6" t="s">
        <v>1156</v>
      </c>
      <c r="I26" s="6" t="s">
        <v>2747</v>
      </c>
      <c r="J26" s="6" t="s">
        <v>2644</v>
      </c>
      <c r="K26" s="6" t="s">
        <v>2539</v>
      </c>
      <c r="L26" s="6" t="s">
        <v>2434</v>
      </c>
      <c r="M26" s="6" t="s">
        <v>3589</v>
      </c>
      <c r="N26" s="6" t="s">
        <v>3491</v>
      </c>
    </row>
    <row r="27" spans="1:14" x14ac:dyDescent="0.25">
      <c r="A27" s="10" t="s">
        <v>235</v>
      </c>
      <c r="B27" s="6" t="s">
        <v>640</v>
      </c>
      <c r="C27" s="6" t="s">
        <v>717</v>
      </c>
      <c r="D27" s="6" t="s">
        <v>236</v>
      </c>
      <c r="E27" s="6" t="s">
        <v>237</v>
      </c>
      <c r="F27" s="6" t="s">
        <v>238</v>
      </c>
      <c r="G27" s="6" t="s">
        <v>239</v>
      </c>
      <c r="H27" s="6" t="s">
        <v>240</v>
      </c>
      <c r="I27" s="6" t="s">
        <v>2748</v>
      </c>
      <c r="J27" s="6" t="s">
        <v>2645</v>
      </c>
      <c r="K27" s="6" t="s">
        <v>2540</v>
      </c>
      <c r="L27" s="6" t="s">
        <v>2435</v>
      </c>
      <c r="M27" s="6" t="s">
        <v>3590</v>
      </c>
      <c r="N27" s="6" t="s">
        <v>3492</v>
      </c>
    </row>
    <row r="28" spans="1:14" x14ac:dyDescent="0.25">
      <c r="A28" s="10" t="s">
        <v>229</v>
      </c>
      <c r="B28" s="6" t="s">
        <v>641</v>
      </c>
      <c r="C28" s="6" t="s">
        <v>718</v>
      </c>
      <c r="D28" s="6" t="s">
        <v>230</v>
      </c>
      <c r="E28" s="6" t="s">
        <v>231</v>
      </c>
      <c r="F28" s="6" t="s">
        <v>232</v>
      </c>
      <c r="G28" s="6" t="s">
        <v>233</v>
      </c>
      <c r="H28" s="6" t="s">
        <v>234</v>
      </c>
      <c r="I28" s="6" t="s">
        <v>2749</v>
      </c>
      <c r="J28" s="6" t="s">
        <v>2646</v>
      </c>
      <c r="K28" s="6" t="s">
        <v>2541</v>
      </c>
      <c r="L28" s="6" t="s">
        <v>2436</v>
      </c>
      <c r="M28" s="6" t="s">
        <v>3591</v>
      </c>
      <c r="N28" s="6" t="s">
        <v>3493</v>
      </c>
    </row>
    <row r="29" spans="1:14" x14ac:dyDescent="0.25">
      <c r="A29" s="10" t="s">
        <v>492</v>
      </c>
      <c r="B29" s="6" t="s">
        <v>642</v>
      </c>
      <c r="C29" s="6" t="s">
        <v>719</v>
      </c>
      <c r="D29" s="6" t="s">
        <v>808</v>
      </c>
      <c r="E29" s="6" t="s">
        <v>899</v>
      </c>
      <c r="F29" s="6" t="s">
        <v>987</v>
      </c>
      <c r="G29" s="6" t="s">
        <v>1077</v>
      </c>
      <c r="H29" s="6" t="s">
        <v>1157</v>
      </c>
      <c r="I29" s="6" t="s">
        <v>2750</v>
      </c>
      <c r="J29" s="6" t="s">
        <v>2647</v>
      </c>
      <c r="K29" s="6" t="s">
        <v>2542</v>
      </c>
      <c r="L29" s="6" t="s">
        <v>2437</v>
      </c>
      <c r="M29" s="6" t="s">
        <v>3592</v>
      </c>
      <c r="N29" s="6" t="s">
        <v>3494</v>
      </c>
    </row>
    <row r="30" spans="1:14" x14ac:dyDescent="0.25">
      <c r="A30" s="10" t="s">
        <v>1841</v>
      </c>
      <c r="B30" s="6" t="s">
        <v>1895</v>
      </c>
      <c r="C30" s="6" t="s">
        <v>1936</v>
      </c>
      <c r="D30" s="6" t="s">
        <v>1981</v>
      </c>
      <c r="E30" s="6" t="s">
        <v>2026</v>
      </c>
      <c r="F30" s="6" t="s">
        <v>2071</v>
      </c>
      <c r="G30" s="6" t="s">
        <v>2116</v>
      </c>
      <c r="H30" s="6" t="s">
        <v>2160</v>
      </c>
      <c r="I30" s="6" t="s">
        <v>2751</v>
      </c>
      <c r="J30" s="6" t="s">
        <v>2648</v>
      </c>
      <c r="K30" s="6" t="s">
        <v>2543</v>
      </c>
      <c r="L30" s="6" t="s">
        <v>2438</v>
      </c>
      <c r="M30" s="6" t="s">
        <v>3593</v>
      </c>
      <c r="N30" s="6" t="s">
        <v>3495</v>
      </c>
    </row>
    <row r="31" spans="1:14" x14ac:dyDescent="0.25">
      <c r="A31" s="10" t="s">
        <v>241</v>
      </c>
      <c r="B31" s="6" t="s">
        <v>643</v>
      </c>
      <c r="C31" s="6" t="s">
        <v>720</v>
      </c>
      <c r="D31" s="6" t="s">
        <v>242</v>
      </c>
      <c r="E31" s="6" t="s">
        <v>243</v>
      </c>
      <c r="F31" s="6" t="s">
        <v>244</v>
      </c>
      <c r="G31" s="6" t="s">
        <v>245</v>
      </c>
      <c r="H31" s="6" t="s">
        <v>246</v>
      </c>
      <c r="I31" s="6" t="s">
        <v>2752</v>
      </c>
      <c r="J31" s="6" t="s">
        <v>2649</v>
      </c>
      <c r="K31" s="6" t="s">
        <v>2544</v>
      </c>
      <c r="L31" s="6" t="s">
        <v>2439</v>
      </c>
      <c r="M31" s="6" t="s">
        <v>3594</v>
      </c>
      <c r="N31" s="6" t="s">
        <v>3496</v>
      </c>
    </row>
    <row r="32" spans="1:14" x14ac:dyDescent="0.25">
      <c r="A32" s="10" t="s">
        <v>1890</v>
      </c>
      <c r="B32" s="6" t="s">
        <v>3465</v>
      </c>
      <c r="C32" s="6" t="s">
        <v>1977</v>
      </c>
      <c r="D32" s="6" t="s">
        <v>2022</v>
      </c>
      <c r="E32" s="6" t="s">
        <v>2067</v>
      </c>
      <c r="F32" s="6" t="s">
        <v>2112</v>
      </c>
      <c r="G32" s="6" t="s">
        <v>2156</v>
      </c>
      <c r="H32" s="6" t="s">
        <v>2201</v>
      </c>
      <c r="I32" s="6" t="s">
        <v>2753</v>
      </c>
      <c r="J32" s="6" t="s">
        <v>2650</v>
      </c>
      <c r="K32" s="6" t="s">
        <v>2545</v>
      </c>
      <c r="L32" s="6" t="s">
        <v>2440</v>
      </c>
      <c r="M32" s="6" t="s">
        <v>3595</v>
      </c>
      <c r="N32" s="6" t="s">
        <v>3497</v>
      </c>
    </row>
    <row r="33" spans="1:14" x14ac:dyDescent="0.25">
      <c r="A33" s="10" t="s">
        <v>493</v>
      </c>
      <c r="B33" s="6" t="s">
        <v>2287</v>
      </c>
      <c r="C33" s="6" t="s">
        <v>721</v>
      </c>
      <c r="D33" s="6" t="s">
        <v>809</v>
      </c>
      <c r="E33" s="6" t="s">
        <v>900</v>
      </c>
      <c r="F33" s="6" t="s">
        <v>988</v>
      </c>
      <c r="G33" s="6" t="s">
        <v>1078</v>
      </c>
      <c r="H33" s="6" t="s">
        <v>1158</v>
      </c>
      <c r="I33" s="6" t="s">
        <v>2754</v>
      </c>
      <c r="J33" s="6" t="s">
        <v>2651</v>
      </c>
      <c r="K33" s="6" t="s">
        <v>2546</v>
      </c>
      <c r="L33" s="6" t="s">
        <v>2441</v>
      </c>
      <c r="M33" s="6" t="s">
        <v>3596</v>
      </c>
      <c r="N33" s="6" t="s">
        <v>3498</v>
      </c>
    </row>
    <row r="34" spans="1:14" x14ac:dyDescent="0.25">
      <c r="A34" s="10" t="s">
        <v>494</v>
      </c>
      <c r="B34" s="6" t="s">
        <v>644</v>
      </c>
      <c r="C34" s="6" t="s">
        <v>722</v>
      </c>
      <c r="D34" s="6" t="s">
        <v>810</v>
      </c>
      <c r="E34" s="6" t="s">
        <v>901</v>
      </c>
      <c r="F34" s="6" t="s">
        <v>989</v>
      </c>
      <c r="G34" s="6" t="s">
        <v>1079</v>
      </c>
      <c r="H34" s="6" t="s">
        <v>1159</v>
      </c>
      <c r="I34" s="6" t="s">
        <v>2755</v>
      </c>
      <c r="J34" s="6" t="s">
        <v>2652</v>
      </c>
      <c r="K34" s="6" t="s">
        <v>2547</v>
      </c>
      <c r="L34" s="6" t="s">
        <v>2442</v>
      </c>
      <c r="M34" s="6" t="s">
        <v>3597</v>
      </c>
      <c r="N34" s="6" t="s">
        <v>3499</v>
      </c>
    </row>
    <row r="35" spans="1:14" x14ac:dyDescent="0.25">
      <c r="A35" s="10" t="s">
        <v>2218</v>
      </c>
      <c r="B35" s="6" t="s">
        <v>2224</v>
      </c>
      <c r="C35" s="6" t="s">
        <v>2231</v>
      </c>
      <c r="D35" s="6" t="s">
        <v>2238</v>
      </c>
      <c r="E35" s="6" t="s">
        <v>2245</v>
      </c>
      <c r="F35" s="6" t="s">
        <v>2252</v>
      </c>
      <c r="G35" s="6" t="s">
        <v>2259</v>
      </c>
      <c r="H35" s="6" t="s">
        <v>2266</v>
      </c>
      <c r="I35" s="6" t="s">
        <v>2756</v>
      </c>
      <c r="J35" s="6" t="s">
        <v>2653</v>
      </c>
      <c r="K35" s="6" t="s">
        <v>2548</v>
      </c>
      <c r="L35" s="6" t="s">
        <v>2443</v>
      </c>
      <c r="M35" s="6" t="s">
        <v>3598</v>
      </c>
      <c r="N35" s="6" t="s">
        <v>3500</v>
      </c>
    </row>
    <row r="36" spans="1:14" x14ac:dyDescent="0.25">
      <c r="A36" s="10" t="s">
        <v>297</v>
      </c>
      <c r="B36" s="6" t="s">
        <v>298</v>
      </c>
      <c r="C36" s="6" t="s">
        <v>299</v>
      </c>
      <c r="D36" s="6" t="s">
        <v>300</v>
      </c>
      <c r="E36" s="6" t="s">
        <v>902</v>
      </c>
      <c r="F36" s="6" t="s">
        <v>301</v>
      </c>
      <c r="G36" s="6" t="s">
        <v>302</v>
      </c>
      <c r="H36" s="6" t="s">
        <v>303</v>
      </c>
      <c r="I36" s="6" t="s">
        <v>2757</v>
      </c>
      <c r="J36" s="6" t="s">
        <v>2654</v>
      </c>
      <c r="K36" s="6" t="s">
        <v>2549</v>
      </c>
      <c r="L36" s="6" t="s">
        <v>2444</v>
      </c>
      <c r="M36" s="6" t="s">
        <v>3599</v>
      </c>
      <c r="N36" s="6" t="s">
        <v>3501</v>
      </c>
    </row>
    <row r="37" spans="1:14" x14ac:dyDescent="0.25">
      <c r="A37" s="10" t="s">
        <v>495</v>
      </c>
      <c r="B37" s="6" t="s">
        <v>645</v>
      </c>
      <c r="C37" s="6" t="s">
        <v>723</v>
      </c>
      <c r="D37" s="6" t="s">
        <v>811</v>
      </c>
      <c r="E37" s="6" t="s">
        <v>903</v>
      </c>
      <c r="F37" s="6" t="s">
        <v>990</v>
      </c>
      <c r="G37" s="6" t="s">
        <v>1080</v>
      </c>
      <c r="H37" s="6" t="s">
        <v>1160</v>
      </c>
      <c r="I37" s="6" t="s">
        <v>2758</v>
      </c>
      <c r="J37" s="6" t="s">
        <v>2655</v>
      </c>
      <c r="K37" s="6" t="s">
        <v>2550</v>
      </c>
      <c r="L37" s="6" t="s">
        <v>2445</v>
      </c>
      <c r="M37" s="6" t="s">
        <v>3600</v>
      </c>
      <c r="N37" s="6" t="s">
        <v>3502</v>
      </c>
    </row>
    <row r="38" spans="1:14" x14ac:dyDescent="0.25">
      <c r="A38" s="10" t="s">
        <v>104</v>
      </c>
      <c r="B38" s="6" t="s">
        <v>646</v>
      </c>
      <c r="C38" s="6" t="s">
        <v>104</v>
      </c>
      <c r="D38" s="6" t="s">
        <v>105</v>
      </c>
      <c r="E38" s="6" t="s">
        <v>104</v>
      </c>
      <c r="F38" s="6" t="s">
        <v>106</v>
      </c>
      <c r="G38" s="6" t="s">
        <v>1081</v>
      </c>
      <c r="H38" s="6" t="s">
        <v>107</v>
      </c>
      <c r="I38" s="6" t="s">
        <v>2759</v>
      </c>
      <c r="J38" s="6" t="s">
        <v>2656</v>
      </c>
      <c r="K38" s="6" t="s">
        <v>2551</v>
      </c>
      <c r="L38" s="6" t="s">
        <v>2446</v>
      </c>
      <c r="M38" s="6" t="s">
        <v>3601</v>
      </c>
      <c r="N38" s="6" t="s">
        <v>3503</v>
      </c>
    </row>
    <row r="39" spans="1:14" x14ac:dyDescent="0.25">
      <c r="A39" s="10" t="s">
        <v>496</v>
      </c>
      <c r="B39" s="6" t="s">
        <v>647</v>
      </c>
      <c r="C39" s="6" t="s">
        <v>724</v>
      </c>
      <c r="D39" s="6" t="s">
        <v>812</v>
      </c>
      <c r="E39" s="6" t="s">
        <v>904</v>
      </c>
      <c r="F39" s="6" t="s">
        <v>991</v>
      </c>
      <c r="G39" s="6" t="s">
        <v>1082</v>
      </c>
      <c r="H39" s="6" t="s">
        <v>1161</v>
      </c>
      <c r="I39" s="6" t="s">
        <v>2760</v>
      </c>
      <c r="J39" s="6" t="s">
        <v>2657</v>
      </c>
      <c r="K39" s="6" t="s">
        <v>2552</v>
      </c>
      <c r="L39" s="6" t="s">
        <v>2447</v>
      </c>
      <c r="M39" s="6" t="s">
        <v>3602</v>
      </c>
      <c r="N39" s="6" t="s">
        <v>3504</v>
      </c>
    </row>
    <row r="40" spans="1:14" x14ac:dyDescent="0.25">
      <c r="A40" s="10" t="s">
        <v>497</v>
      </c>
      <c r="B40" s="6" t="s">
        <v>1829</v>
      </c>
      <c r="C40" s="6" t="s">
        <v>725</v>
      </c>
      <c r="D40" s="6" t="s">
        <v>813</v>
      </c>
      <c r="E40" s="6" t="s">
        <v>905</v>
      </c>
      <c r="F40" s="6" t="s">
        <v>992</v>
      </c>
      <c r="G40" s="6" t="s">
        <v>1083</v>
      </c>
      <c r="H40" s="6" t="s">
        <v>1162</v>
      </c>
      <c r="I40" s="6" t="s">
        <v>2761</v>
      </c>
      <c r="J40" s="6" t="s">
        <v>2658</v>
      </c>
      <c r="K40" s="6" t="s">
        <v>2553</v>
      </c>
      <c r="L40" s="6" t="s">
        <v>2448</v>
      </c>
      <c r="M40" s="6" t="s">
        <v>3603</v>
      </c>
      <c r="N40" s="6" t="s">
        <v>3505</v>
      </c>
    </row>
    <row r="41" spans="1:14" x14ac:dyDescent="0.25">
      <c r="A41" s="10" t="s">
        <v>498</v>
      </c>
      <c r="B41" s="6" t="s">
        <v>1825</v>
      </c>
      <c r="C41" s="6" t="s">
        <v>726</v>
      </c>
      <c r="D41" s="6" t="s">
        <v>814</v>
      </c>
      <c r="E41" s="6" t="s">
        <v>906</v>
      </c>
      <c r="F41" s="6" t="s">
        <v>993</v>
      </c>
      <c r="G41" s="6" t="s">
        <v>1084</v>
      </c>
      <c r="H41" s="6" t="s">
        <v>1163</v>
      </c>
      <c r="I41" s="6" t="s">
        <v>2762</v>
      </c>
      <c r="J41" s="6" t="s">
        <v>2659</v>
      </c>
      <c r="K41" s="6" t="s">
        <v>2554</v>
      </c>
      <c r="L41" s="6" t="s">
        <v>2449</v>
      </c>
      <c r="M41" s="6" t="s">
        <v>3604</v>
      </c>
      <c r="N41" s="6" t="s">
        <v>3506</v>
      </c>
    </row>
    <row r="42" spans="1:14" x14ac:dyDescent="0.25">
      <c r="A42" s="10" t="s">
        <v>4</v>
      </c>
      <c r="B42" s="6" t="s">
        <v>365</v>
      </c>
      <c r="C42" s="6" t="s">
        <v>383</v>
      </c>
      <c r="D42" s="6" t="s">
        <v>815</v>
      </c>
      <c r="E42" s="6" t="s">
        <v>907</v>
      </c>
      <c r="F42" s="6" t="s">
        <v>994</v>
      </c>
      <c r="G42" s="6" t="s">
        <v>1085</v>
      </c>
      <c r="H42" s="6" t="s">
        <v>472</v>
      </c>
      <c r="I42" s="6" t="s">
        <v>2317</v>
      </c>
      <c r="J42" s="6" t="s">
        <v>2341</v>
      </c>
      <c r="K42" s="6" t="s">
        <v>2555</v>
      </c>
      <c r="L42" s="6" t="s">
        <v>2450</v>
      </c>
      <c r="M42" s="6" t="s">
        <v>3605</v>
      </c>
      <c r="N42" s="6" t="s">
        <v>2317</v>
      </c>
    </row>
    <row r="43" spans="1:14" x14ac:dyDescent="0.25">
      <c r="A43" s="10" t="s">
        <v>499</v>
      </c>
      <c r="B43" s="6" t="s">
        <v>648</v>
      </c>
      <c r="C43" s="6" t="s">
        <v>727</v>
      </c>
      <c r="D43" s="6" t="s">
        <v>816</v>
      </c>
      <c r="E43" s="6" t="s">
        <v>908</v>
      </c>
      <c r="F43" s="6" t="s">
        <v>995</v>
      </c>
      <c r="G43" s="6" t="s">
        <v>1086</v>
      </c>
      <c r="H43" s="6" t="s">
        <v>1164</v>
      </c>
      <c r="I43" s="6" t="s">
        <v>2763</v>
      </c>
      <c r="J43" s="6" t="s">
        <v>2660</v>
      </c>
      <c r="K43" s="6" t="s">
        <v>2556</v>
      </c>
      <c r="L43" s="6" t="s">
        <v>2451</v>
      </c>
      <c r="M43" s="6" t="s">
        <v>3606</v>
      </c>
      <c r="N43" s="6" t="s">
        <v>3507</v>
      </c>
    </row>
    <row r="44" spans="1:14" x14ac:dyDescent="0.25">
      <c r="A44" s="10" t="s">
        <v>500</v>
      </c>
      <c r="B44" s="6" t="s">
        <v>1830</v>
      </c>
      <c r="C44" s="6" t="s">
        <v>728</v>
      </c>
      <c r="D44" s="6" t="s">
        <v>817</v>
      </c>
      <c r="E44" s="6" t="s">
        <v>909</v>
      </c>
      <c r="F44" s="6" t="s">
        <v>996</v>
      </c>
      <c r="G44" s="6" t="s">
        <v>1087</v>
      </c>
      <c r="H44" s="6" t="s">
        <v>1165</v>
      </c>
      <c r="I44" s="6" t="s">
        <v>2764</v>
      </c>
      <c r="J44" s="6" t="s">
        <v>2661</v>
      </c>
      <c r="K44" s="6" t="s">
        <v>2557</v>
      </c>
      <c r="L44" s="6" t="s">
        <v>2452</v>
      </c>
      <c r="M44" s="6" t="s">
        <v>3607</v>
      </c>
      <c r="N44" s="6" t="s">
        <v>3508</v>
      </c>
    </row>
    <row r="45" spans="1:14" x14ac:dyDescent="0.25">
      <c r="A45" s="10" t="s">
        <v>6</v>
      </c>
      <c r="B45" s="6" t="s">
        <v>367</v>
      </c>
      <c r="C45" s="6" t="s">
        <v>387</v>
      </c>
      <c r="D45" s="6" t="s">
        <v>818</v>
      </c>
      <c r="E45" s="6" t="s">
        <v>910</v>
      </c>
      <c r="F45" s="6" t="s">
        <v>997</v>
      </c>
      <c r="G45" s="6" t="s">
        <v>460</v>
      </c>
      <c r="H45" s="6" t="s">
        <v>476</v>
      </c>
      <c r="I45" s="6" t="s">
        <v>2321</v>
      </c>
      <c r="J45" s="6" t="s">
        <v>2345</v>
      </c>
      <c r="K45" s="6" t="s">
        <v>2369</v>
      </c>
      <c r="L45" s="6" t="s">
        <v>2394</v>
      </c>
      <c r="M45" s="6" t="s">
        <v>3608</v>
      </c>
      <c r="N45" s="6" t="s">
        <v>3509</v>
      </c>
    </row>
    <row r="46" spans="1:14" x14ac:dyDescent="0.25">
      <c r="A46" s="10" t="s">
        <v>501</v>
      </c>
      <c r="B46" s="6" t="s">
        <v>649</v>
      </c>
      <c r="C46" s="6" t="s">
        <v>729</v>
      </c>
      <c r="D46" s="6" t="s">
        <v>819</v>
      </c>
      <c r="E46" s="6" t="s">
        <v>911</v>
      </c>
      <c r="F46" s="6" t="s">
        <v>998</v>
      </c>
      <c r="G46" s="6" t="s">
        <v>1088</v>
      </c>
      <c r="H46" s="6" t="s">
        <v>1166</v>
      </c>
      <c r="I46" s="6" t="s">
        <v>2765</v>
      </c>
      <c r="J46" s="6" t="s">
        <v>2662</v>
      </c>
      <c r="K46" s="6" t="s">
        <v>2558</v>
      </c>
      <c r="L46" s="6" t="s">
        <v>2453</v>
      </c>
      <c r="M46" s="6" t="s">
        <v>3609</v>
      </c>
      <c r="N46" s="6" t="s">
        <v>3510</v>
      </c>
    </row>
    <row r="47" spans="1:14" x14ac:dyDescent="0.25">
      <c r="A47" s="10" t="s">
        <v>502</v>
      </c>
      <c r="B47" s="6" t="s">
        <v>650</v>
      </c>
      <c r="C47" s="6" t="s">
        <v>730</v>
      </c>
      <c r="D47" s="6" t="s">
        <v>820</v>
      </c>
      <c r="E47" s="6" t="s">
        <v>912</v>
      </c>
      <c r="F47" s="6" t="s">
        <v>999</v>
      </c>
      <c r="G47" s="6" t="s">
        <v>1089</v>
      </c>
      <c r="H47" s="6" t="s">
        <v>1167</v>
      </c>
      <c r="I47" s="6" t="s">
        <v>2766</v>
      </c>
      <c r="J47" s="6" t="s">
        <v>2663</v>
      </c>
      <c r="K47" s="6" t="s">
        <v>2559</v>
      </c>
      <c r="L47" s="6" t="s">
        <v>2454</v>
      </c>
      <c r="M47" s="6" t="s">
        <v>3610</v>
      </c>
      <c r="N47" s="6" t="s">
        <v>3511</v>
      </c>
    </row>
    <row r="48" spans="1:14" x14ac:dyDescent="0.25">
      <c r="A48" s="10" t="s">
        <v>10</v>
      </c>
      <c r="B48" s="6" t="s">
        <v>368</v>
      </c>
      <c r="C48" s="6" t="s">
        <v>390</v>
      </c>
      <c r="D48" s="6" t="s">
        <v>821</v>
      </c>
      <c r="E48" s="6" t="s">
        <v>913</v>
      </c>
      <c r="F48" s="6" t="s">
        <v>1000</v>
      </c>
      <c r="G48" s="6" t="s">
        <v>463</v>
      </c>
      <c r="H48" s="6" t="s">
        <v>1168</v>
      </c>
      <c r="I48" s="6" t="s">
        <v>2324</v>
      </c>
      <c r="J48" s="6" t="s">
        <v>2664</v>
      </c>
      <c r="K48" s="6" t="s">
        <v>2560</v>
      </c>
      <c r="L48" s="6" t="s">
        <v>2397</v>
      </c>
      <c r="M48" s="6" t="s">
        <v>3611</v>
      </c>
      <c r="N48" s="6" t="s">
        <v>3512</v>
      </c>
    </row>
    <row r="49" spans="1:14" x14ac:dyDescent="0.25">
      <c r="A49" s="10" t="s">
        <v>503</v>
      </c>
      <c r="B49" s="6" t="s">
        <v>1826</v>
      </c>
      <c r="C49" s="6" t="s">
        <v>731</v>
      </c>
      <c r="D49" s="6" t="s">
        <v>822</v>
      </c>
      <c r="E49" s="6" t="s">
        <v>914</v>
      </c>
      <c r="F49" s="6" t="s">
        <v>1001</v>
      </c>
      <c r="G49" s="6" t="s">
        <v>1090</v>
      </c>
      <c r="H49" s="6" t="s">
        <v>1169</v>
      </c>
      <c r="I49" s="6" t="s">
        <v>2767</v>
      </c>
      <c r="J49" s="6" t="s">
        <v>2665</v>
      </c>
      <c r="K49" s="6" t="s">
        <v>2561</v>
      </c>
      <c r="L49" s="6" t="s">
        <v>2455</v>
      </c>
      <c r="M49" s="6" t="s">
        <v>3612</v>
      </c>
      <c r="N49" s="6" t="s">
        <v>3513</v>
      </c>
    </row>
    <row r="50" spans="1:14" x14ac:dyDescent="0.25">
      <c r="A50" s="10" t="s">
        <v>12</v>
      </c>
      <c r="B50" s="6" t="s">
        <v>371</v>
      </c>
      <c r="C50" s="6" t="s">
        <v>732</v>
      </c>
      <c r="D50" s="6" t="s">
        <v>823</v>
      </c>
      <c r="E50" s="6" t="s">
        <v>915</v>
      </c>
      <c r="F50" s="6" t="s">
        <v>1002</v>
      </c>
      <c r="G50" s="6" t="s">
        <v>466</v>
      </c>
      <c r="H50" s="6" t="s">
        <v>482</v>
      </c>
      <c r="I50" s="6" t="s">
        <v>2327</v>
      </c>
      <c r="J50" s="6" t="s">
        <v>2351</v>
      </c>
      <c r="K50" s="6" t="s">
        <v>2375</v>
      </c>
      <c r="L50" s="6" t="s">
        <v>2456</v>
      </c>
      <c r="M50" s="6" t="s">
        <v>3613</v>
      </c>
      <c r="N50" s="6" t="s">
        <v>3514</v>
      </c>
    </row>
    <row r="51" spans="1:14" x14ac:dyDescent="0.25">
      <c r="A51" s="10" t="s">
        <v>504</v>
      </c>
      <c r="B51" s="6" t="s">
        <v>651</v>
      </c>
      <c r="C51" s="6" t="s">
        <v>733</v>
      </c>
      <c r="D51" s="6" t="s">
        <v>824</v>
      </c>
      <c r="E51" s="6" t="s">
        <v>916</v>
      </c>
      <c r="F51" s="6" t="s">
        <v>1003</v>
      </c>
      <c r="G51" s="6" t="s">
        <v>1091</v>
      </c>
      <c r="H51" s="6" t="s">
        <v>1170</v>
      </c>
      <c r="I51" s="6" t="s">
        <v>2768</v>
      </c>
      <c r="J51" s="6" t="s">
        <v>2666</v>
      </c>
      <c r="K51" s="6" t="s">
        <v>2562</v>
      </c>
      <c r="L51" s="6" t="s">
        <v>2457</v>
      </c>
      <c r="M51" s="6" t="s">
        <v>3614</v>
      </c>
      <c r="N51" s="6" t="s">
        <v>3515</v>
      </c>
    </row>
    <row r="52" spans="1:14" x14ac:dyDescent="0.25">
      <c r="A52" s="10" t="s">
        <v>16</v>
      </c>
      <c r="B52" s="6" t="s">
        <v>652</v>
      </c>
      <c r="C52" s="6" t="s">
        <v>734</v>
      </c>
      <c r="D52" s="6" t="s">
        <v>825</v>
      </c>
      <c r="E52" s="6" t="s">
        <v>917</v>
      </c>
      <c r="F52" s="6" t="s">
        <v>1004</v>
      </c>
      <c r="G52" s="6" t="s">
        <v>1092</v>
      </c>
      <c r="H52" s="6" t="s">
        <v>1171</v>
      </c>
      <c r="I52" s="6" t="s">
        <v>2769</v>
      </c>
      <c r="J52" s="6" t="s">
        <v>2667</v>
      </c>
      <c r="K52" s="6" t="s">
        <v>2563</v>
      </c>
      <c r="L52" s="6" t="s">
        <v>2458</v>
      </c>
      <c r="M52" s="6" t="s">
        <v>3615</v>
      </c>
      <c r="N52" s="6" t="s">
        <v>3516</v>
      </c>
    </row>
    <row r="53" spans="1:14" x14ac:dyDescent="0.25">
      <c r="A53" s="10" t="s">
        <v>505</v>
      </c>
      <c r="B53" s="6" t="s">
        <v>372</v>
      </c>
      <c r="C53" s="6" t="s">
        <v>735</v>
      </c>
      <c r="D53" s="6" t="s">
        <v>826</v>
      </c>
      <c r="E53" s="6" t="s">
        <v>918</v>
      </c>
      <c r="F53" s="6" t="s">
        <v>1005</v>
      </c>
      <c r="G53" s="6" t="s">
        <v>1093</v>
      </c>
      <c r="H53" s="6" t="s">
        <v>484</v>
      </c>
      <c r="I53" s="6" t="s">
        <v>2329</v>
      </c>
      <c r="J53" s="6" t="s">
        <v>2668</v>
      </c>
      <c r="K53" s="6" t="s">
        <v>2564</v>
      </c>
      <c r="L53" s="6" t="s">
        <v>2459</v>
      </c>
      <c r="M53" s="6" t="s">
        <v>3616</v>
      </c>
      <c r="N53" s="6" t="s">
        <v>2329</v>
      </c>
    </row>
    <row r="54" spans="1:14" x14ac:dyDescent="0.25">
      <c r="A54" s="10" t="s">
        <v>506</v>
      </c>
      <c r="B54" s="6" t="s">
        <v>653</v>
      </c>
      <c r="C54" s="6" t="s">
        <v>736</v>
      </c>
      <c r="D54" s="6" t="s">
        <v>827</v>
      </c>
      <c r="E54" s="6" t="s">
        <v>919</v>
      </c>
      <c r="F54" s="6" t="s">
        <v>1006</v>
      </c>
      <c r="G54" s="6" t="s">
        <v>506</v>
      </c>
      <c r="H54" s="6" t="s">
        <v>1172</v>
      </c>
      <c r="I54" s="6" t="s">
        <v>2770</v>
      </c>
      <c r="J54" s="6" t="s">
        <v>2669</v>
      </c>
      <c r="K54" s="6" t="s">
        <v>2565</v>
      </c>
      <c r="L54" s="6" t="s">
        <v>2460</v>
      </c>
      <c r="M54" s="6" t="s">
        <v>3617</v>
      </c>
      <c r="N54" s="6" t="s">
        <v>3517</v>
      </c>
    </row>
    <row r="55" spans="1:14" x14ac:dyDescent="0.25">
      <c r="A55" s="10" t="s">
        <v>507</v>
      </c>
      <c r="B55" s="6" t="s">
        <v>654</v>
      </c>
      <c r="C55" s="6" t="s">
        <v>737</v>
      </c>
      <c r="D55" s="6" t="s">
        <v>828</v>
      </c>
      <c r="E55" s="6" t="s">
        <v>920</v>
      </c>
      <c r="F55" s="6" t="s">
        <v>1007</v>
      </c>
      <c r="G55" s="6" t="s">
        <v>1094</v>
      </c>
      <c r="H55" s="6" t="s">
        <v>1173</v>
      </c>
      <c r="I55" s="6" t="s">
        <v>2771</v>
      </c>
      <c r="J55" s="6" t="s">
        <v>2670</v>
      </c>
      <c r="K55" s="6" t="s">
        <v>2566</v>
      </c>
      <c r="L55" s="6" t="s">
        <v>2461</v>
      </c>
      <c r="M55" s="6" t="s">
        <v>3618</v>
      </c>
      <c r="N55" s="6" t="s">
        <v>3518</v>
      </c>
    </row>
    <row r="56" spans="1:14" x14ac:dyDescent="0.25">
      <c r="A56" s="17" t="s">
        <v>508</v>
      </c>
      <c r="B56" s="6" t="s">
        <v>655</v>
      </c>
      <c r="C56" s="6" t="s">
        <v>738</v>
      </c>
      <c r="D56" s="6" t="s">
        <v>829</v>
      </c>
      <c r="E56" s="6" t="s">
        <v>921</v>
      </c>
      <c r="F56" s="6" t="s">
        <v>1008</v>
      </c>
      <c r="G56" s="6" t="s">
        <v>1095</v>
      </c>
      <c r="H56" s="6" t="s">
        <v>1174</v>
      </c>
      <c r="I56" s="6" t="s">
        <v>2772</v>
      </c>
      <c r="J56" s="6" t="s">
        <v>2671</v>
      </c>
      <c r="K56" s="6" t="s">
        <v>2567</v>
      </c>
      <c r="L56" s="6" t="s">
        <v>2462</v>
      </c>
      <c r="M56" s="6" t="s">
        <v>3619</v>
      </c>
      <c r="N56" s="6" t="s">
        <v>3519</v>
      </c>
    </row>
    <row r="57" spans="1:14" x14ac:dyDescent="0.25">
      <c r="A57" s="17" t="s">
        <v>19</v>
      </c>
      <c r="B57" s="6" t="s">
        <v>373</v>
      </c>
      <c r="C57" s="6" t="s">
        <v>19</v>
      </c>
      <c r="D57" s="6" t="s">
        <v>830</v>
      </c>
      <c r="E57" s="6" t="s">
        <v>922</v>
      </c>
      <c r="F57" s="6" t="s">
        <v>19</v>
      </c>
      <c r="G57" s="6" t="s">
        <v>416</v>
      </c>
      <c r="H57" s="6" t="s">
        <v>1175</v>
      </c>
      <c r="I57" s="6" t="s">
        <v>359</v>
      </c>
      <c r="J57" s="6" t="s">
        <v>19</v>
      </c>
      <c r="K57" s="6" t="s">
        <v>2568</v>
      </c>
      <c r="L57" s="6" t="s">
        <v>2463</v>
      </c>
      <c r="M57" s="6" t="s">
        <v>3620</v>
      </c>
      <c r="N57" s="6" t="s">
        <v>3520</v>
      </c>
    </row>
    <row r="58" spans="1:14" x14ac:dyDescent="0.25">
      <c r="A58" s="17" t="s">
        <v>509</v>
      </c>
      <c r="B58" s="6" t="s">
        <v>656</v>
      </c>
      <c r="C58" s="6" t="s">
        <v>739</v>
      </c>
      <c r="D58" s="6" t="s">
        <v>831</v>
      </c>
      <c r="E58" s="6" t="s">
        <v>923</v>
      </c>
      <c r="F58" s="6" t="s">
        <v>1009</v>
      </c>
      <c r="G58" s="6" t="s">
        <v>1096</v>
      </c>
      <c r="H58" s="6" t="s">
        <v>1176</v>
      </c>
      <c r="I58" s="6" t="s">
        <v>2773</v>
      </c>
      <c r="J58" s="6" t="s">
        <v>2672</v>
      </c>
      <c r="K58" s="6" t="s">
        <v>2569</v>
      </c>
      <c r="L58" s="6" t="s">
        <v>2464</v>
      </c>
      <c r="M58" s="6" t="s">
        <v>3621</v>
      </c>
      <c r="N58" s="6" t="s">
        <v>3521</v>
      </c>
    </row>
    <row r="59" spans="1:14" x14ac:dyDescent="0.25">
      <c r="A59" s="17" t="s">
        <v>510</v>
      </c>
      <c r="B59" s="6" t="s">
        <v>657</v>
      </c>
      <c r="C59" s="6" t="s">
        <v>740</v>
      </c>
      <c r="D59" s="6" t="s">
        <v>832</v>
      </c>
      <c r="E59" s="6" t="s">
        <v>924</v>
      </c>
      <c r="F59" s="6" t="s">
        <v>1010</v>
      </c>
      <c r="G59" s="6" t="s">
        <v>1097</v>
      </c>
      <c r="H59" s="6" t="s">
        <v>1177</v>
      </c>
      <c r="I59" s="6" t="s">
        <v>2774</v>
      </c>
      <c r="J59" s="6" t="s">
        <v>2673</v>
      </c>
      <c r="K59" s="6" t="s">
        <v>2570</v>
      </c>
      <c r="L59" s="6" t="s">
        <v>2465</v>
      </c>
      <c r="M59" s="6" t="s">
        <v>3622</v>
      </c>
      <c r="N59" s="6" t="s">
        <v>3522</v>
      </c>
    </row>
    <row r="60" spans="1:14" x14ac:dyDescent="0.25">
      <c r="A60" s="17" t="s">
        <v>511</v>
      </c>
      <c r="B60" s="6" t="s">
        <v>658</v>
      </c>
      <c r="C60" s="6" t="s">
        <v>741</v>
      </c>
      <c r="D60" s="6" t="s">
        <v>833</v>
      </c>
      <c r="E60" s="6" t="s">
        <v>925</v>
      </c>
      <c r="F60" s="6" t="s">
        <v>1011</v>
      </c>
      <c r="G60" s="6" t="s">
        <v>1098</v>
      </c>
      <c r="H60" s="6" t="s">
        <v>1178</v>
      </c>
      <c r="I60" s="6" t="s">
        <v>2775</v>
      </c>
      <c r="J60" s="6" t="s">
        <v>2674</v>
      </c>
      <c r="K60" s="6" t="s">
        <v>2571</v>
      </c>
      <c r="L60" s="6" t="s">
        <v>2466</v>
      </c>
      <c r="M60" s="6" t="s">
        <v>3623</v>
      </c>
      <c r="N60" s="6" t="s">
        <v>3523</v>
      </c>
    </row>
    <row r="61" spans="1:14" x14ac:dyDescent="0.25">
      <c r="A61" s="17" t="s">
        <v>97</v>
      </c>
      <c r="B61" s="6" t="s">
        <v>98</v>
      </c>
      <c r="C61" s="6" t="s">
        <v>99</v>
      </c>
      <c r="D61" s="6" t="s">
        <v>100</v>
      </c>
      <c r="E61" s="6" t="s">
        <v>436</v>
      </c>
      <c r="F61" s="6" t="s">
        <v>101</v>
      </c>
      <c r="G61" s="6" t="s">
        <v>102</v>
      </c>
      <c r="H61" s="6" t="s">
        <v>103</v>
      </c>
      <c r="I61" s="6" t="s">
        <v>2337</v>
      </c>
      <c r="J61" s="6" t="s">
        <v>2361</v>
      </c>
      <c r="K61" s="6" t="s">
        <v>2386</v>
      </c>
      <c r="L61" s="6" t="s">
        <v>2410</v>
      </c>
      <c r="M61" s="6" t="s">
        <v>3624</v>
      </c>
      <c r="N61" s="6" t="s">
        <v>3524</v>
      </c>
    </row>
    <row r="62" spans="1:14" x14ac:dyDescent="0.25">
      <c r="A62" s="17" t="s">
        <v>512</v>
      </c>
      <c r="B62" s="6" t="s">
        <v>659</v>
      </c>
      <c r="C62" s="6" t="s">
        <v>742</v>
      </c>
      <c r="D62" s="6" t="s">
        <v>834</v>
      </c>
      <c r="E62" s="6" t="s">
        <v>742</v>
      </c>
      <c r="F62" s="6" t="s">
        <v>1012</v>
      </c>
      <c r="G62" s="6" t="s">
        <v>1099</v>
      </c>
      <c r="H62" s="6" t="s">
        <v>1179</v>
      </c>
      <c r="I62" s="6" t="s">
        <v>2776</v>
      </c>
      <c r="J62" s="6" t="s">
        <v>2675</v>
      </c>
      <c r="K62" s="6" t="s">
        <v>2572</v>
      </c>
      <c r="L62" s="6" t="s">
        <v>2467</v>
      </c>
      <c r="M62" s="6" t="s">
        <v>3625</v>
      </c>
      <c r="N62" s="6" t="s">
        <v>2776</v>
      </c>
    </row>
    <row r="63" spans="1:14" x14ac:dyDescent="0.25">
      <c r="A63" s="17" t="s">
        <v>513</v>
      </c>
      <c r="B63" s="6" t="s">
        <v>660</v>
      </c>
      <c r="C63" s="6" t="s">
        <v>743</v>
      </c>
      <c r="D63" s="6" t="s">
        <v>835</v>
      </c>
      <c r="E63" s="6" t="s">
        <v>926</v>
      </c>
      <c r="F63" s="6" t="s">
        <v>1013</v>
      </c>
      <c r="G63" s="6" t="s">
        <v>1100</v>
      </c>
      <c r="H63" s="6" t="s">
        <v>1180</v>
      </c>
      <c r="I63" s="6" t="s">
        <v>2777</v>
      </c>
      <c r="J63" s="6" t="s">
        <v>2676</v>
      </c>
      <c r="K63" s="6" t="s">
        <v>2573</v>
      </c>
      <c r="L63" s="6" t="s">
        <v>2468</v>
      </c>
      <c r="M63" s="6" t="s">
        <v>3626</v>
      </c>
      <c r="N63" s="6" t="s">
        <v>2777</v>
      </c>
    </row>
    <row r="64" spans="1:14" x14ac:dyDescent="0.25">
      <c r="A64" s="17" t="s">
        <v>514</v>
      </c>
      <c r="B64" s="6" t="s">
        <v>1831</v>
      </c>
      <c r="C64" s="6" t="s">
        <v>744</v>
      </c>
      <c r="D64" s="6" t="s">
        <v>836</v>
      </c>
      <c r="E64" s="6" t="s">
        <v>927</v>
      </c>
      <c r="F64" s="6" t="s">
        <v>1014</v>
      </c>
      <c r="G64" s="6" t="s">
        <v>1101</v>
      </c>
      <c r="H64" s="6" t="s">
        <v>1181</v>
      </c>
      <c r="I64" s="6" t="s">
        <v>2778</v>
      </c>
      <c r="J64" s="6" t="s">
        <v>2677</v>
      </c>
      <c r="K64" s="6" t="s">
        <v>2574</v>
      </c>
      <c r="L64" s="6" t="s">
        <v>2469</v>
      </c>
      <c r="M64" s="6" t="s">
        <v>3627</v>
      </c>
      <c r="N64" s="6" t="s">
        <v>3525</v>
      </c>
    </row>
    <row r="65" spans="1:14" x14ac:dyDescent="0.25">
      <c r="A65" s="17" t="s">
        <v>515</v>
      </c>
      <c r="B65" s="6" t="s">
        <v>661</v>
      </c>
      <c r="C65" s="6" t="s">
        <v>745</v>
      </c>
      <c r="D65" s="6" t="s">
        <v>837</v>
      </c>
      <c r="E65" s="6" t="s">
        <v>928</v>
      </c>
      <c r="F65" s="6" t="s">
        <v>1015</v>
      </c>
      <c r="G65" s="6" t="s">
        <v>1102</v>
      </c>
      <c r="H65" s="6" t="s">
        <v>1182</v>
      </c>
      <c r="I65" s="6" t="s">
        <v>2779</v>
      </c>
      <c r="J65" s="6" t="s">
        <v>2678</v>
      </c>
      <c r="K65" s="6" t="s">
        <v>2575</v>
      </c>
      <c r="L65" s="6" t="s">
        <v>2470</v>
      </c>
      <c r="M65" s="6" t="s">
        <v>3628</v>
      </c>
      <c r="N65" s="6" t="s">
        <v>3526</v>
      </c>
    </row>
    <row r="66" spans="1:14" x14ac:dyDescent="0.25">
      <c r="A66" s="17" t="s">
        <v>516</v>
      </c>
      <c r="B66" s="6" t="s">
        <v>662</v>
      </c>
      <c r="C66" s="6" t="s">
        <v>746</v>
      </c>
      <c r="D66" s="6" t="s">
        <v>838</v>
      </c>
      <c r="E66" s="6" t="s">
        <v>929</v>
      </c>
      <c r="F66" s="6" t="s">
        <v>1016</v>
      </c>
      <c r="G66" s="6" t="s">
        <v>1103</v>
      </c>
      <c r="H66" s="6" t="s">
        <v>1183</v>
      </c>
      <c r="I66" s="6" t="s">
        <v>2780</v>
      </c>
      <c r="J66" s="6" t="s">
        <v>2679</v>
      </c>
      <c r="K66" s="6" t="s">
        <v>2576</v>
      </c>
      <c r="L66" s="6" t="s">
        <v>2471</v>
      </c>
      <c r="M66" s="6" t="s">
        <v>3629</v>
      </c>
      <c r="N66" s="6" t="s">
        <v>3527</v>
      </c>
    </row>
    <row r="67" spans="1:14" x14ac:dyDescent="0.25">
      <c r="A67" s="17" t="s">
        <v>517</v>
      </c>
      <c r="B67" s="6" t="s">
        <v>663</v>
      </c>
      <c r="C67" s="6" t="s">
        <v>747</v>
      </c>
      <c r="D67" s="6" t="s">
        <v>839</v>
      </c>
      <c r="E67" s="6" t="s">
        <v>930</v>
      </c>
      <c r="F67" s="6" t="s">
        <v>1017</v>
      </c>
      <c r="G67" s="6" t="s">
        <v>1104</v>
      </c>
      <c r="H67" s="6" t="s">
        <v>1184</v>
      </c>
      <c r="I67" s="6" t="s">
        <v>2781</v>
      </c>
      <c r="J67" s="6" t="s">
        <v>2680</v>
      </c>
      <c r="K67" s="6" t="s">
        <v>2577</v>
      </c>
      <c r="L67" s="6" t="s">
        <v>2472</v>
      </c>
      <c r="M67" s="6" t="s">
        <v>3630</v>
      </c>
      <c r="N67" s="6" t="s">
        <v>3528</v>
      </c>
    </row>
    <row r="68" spans="1:14" x14ac:dyDescent="0.25">
      <c r="A68" s="17" t="s">
        <v>9</v>
      </c>
      <c r="B68" s="6" t="s">
        <v>664</v>
      </c>
      <c r="C68" s="6" t="s">
        <v>748</v>
      </c>
      <c r="D68" s="6" t="s">
        <v>840</v>
      </c>
      <c r="E68" s="6" t="s">
        <v>931</v>
      </c>
      <c r="F68" s="6" t="s">
        <v>1018</v>
      </c>
      <c r="G68" s="6" t="s">
        <v>1105</v>
      </c>
      <c r="H68" s="6" t="s">
        <v>1185</v>
      </c>
      <c r="I68" s="6" t="s">
        <v>2782</v>
      </c>
      <c r="J68" s="6" t="s">
        <v>2681</v>
      </c>
      <c r="K68" s="6" t="s">
        <v>2578</v>
      </c>
      <c r="L68" s="6" t="s">
        <v>2473</v>
      </c>
      <c r="M68" s="6" t="s">
        <v>3631</v>
      </c>
      <c r="N68" s="6" t="s">
        <v>3529</v>
      </c>
    </row>
    <row r="69" spans="1:14" x14ac:dyDescent="0.25">
      <c r="A69" s="17" t="s">
        <v>25</v>
      </c>
      <c r="B69" s="6" t="s">
        <v>1847</v>
      </c>
      <c r="C69" s="6" t="s">
        <v>749</v>
      </c>
      <c r="D69" s="6" t="s">
        <v>25</v>
      </c>
      <c r="E69" s="6" t="s">
        <v>25</v>
      </c>
      <c r="F69" s="6" t="s">
        <v>25</v>
      </c>
      <c r="G69" s="6" t="s">
        <v>25</v>
      </c>
      <c r="H69" s="6" t="s">
        <v>1186</v>
      </c>
      <c r="I69" s="6" t="s">
        <v>2783</v>
      </c>
      <c r="J69" s="6" t="s">
        <v>2682</v>
      </c>
      <c r="K69" s="6" t="s">
        <v>2579</v>
      </c>
      <c r="L69" s="6" t="s">
        <v>2474</v>
      </c>
      <c r="M69" s="6" t="s">
        <v>3632</v>
      </c>
      <c r="N69" s="6" t="s">
        <v>2783</v>
      </c>
    </row>
    <row r="70" spans="1:14" x14ac:dyDescent="0.25">
      <c r="A70" s="17" t="s">
        <v>28</v>
      </c>
      <c r="B70" s="6" t="s">
        <v>1849</v>
      </c>
      <c r="C70" s="6" t="s">
        <v>28</v>
      </c>
      <c r="D70" s="6" t="s">
        <v>841</v>
      </c>
      <c r="E70" s="6" t="s">
        <v>932</v>
      </c>
      <c r="F70" s="6" t="s">
        <v>1019</v>
      </c>
      <c r="G70" s="6" t="s">
        <v>28</v>
      </c>
      <c r="H70" s="6" t="s">
        <v>1187</v>
      </c>
      <c r="I70" s="6" t="s">
        <v>28</v>
      </c>
      <c r="J70" s="6" t="s">
        <v>2683</v>
      </c>
      <c r="K70" s="6" t="s">
        <v>2580</v>
      </c>
      <c r="L70" s="6" t="s">
        <v>2475</v>
      </c>
      <c r="M70" s="6" t="s">
        <v>3633</v>
      </c>
      <c r="N70" s="6" t="s">
        <v>3530</v>
      </c>
    </row>
    <row r="71" spans="1:14" x14ac:dyDescent="0.25">
      <c r="A71" s="17" t="s">
        <v>29</v>
      </c>
      <c r="B71" s="6" t="s">
        <v>1848</v>
      </c>
      <c r="C71" s="6" t="s">
        <v>750</v>
      </c>
      <c r="D71" s="6" t="s">
        <v>842</v>
      </c>
      <c r="E71" s="6" t="s">
        <v>933</v>
      </c>
      <c r="F71" s="6" t="s">
        <v>1020</v>
      </c>
      <c r="G71" s="6" t="s">
        <v>1106</v>
      </c>
      <c r="H71" s="6" t="s">
        <v>1188</v>
      </c>
      <c r="I71" s="6" t="s">
        <v>2784</v>
      </c>
      <c r="J71" s="6" t="s">
        <v>2684</v>
      </c>
      <c r="K71" s="6" t="s">
        <v>2581</v>
      </c>
      <c r="L71" s="6" t="s">
        <v>2476</v>
      </c>
      <c r="M71" s="6" t="s">
        <v>3634</v>
      </c>
      <c r="N71" s="6" t="s">
        <v>3531</v>
      </c>
    </row>
    <row r="72" spans="1:14" x14ac:dyDescent="0.25">
      <c r="A72" s="17" t="s">
        <v>518</v>
      </c>
      <c r="B72" s="6" t="s">
        <v>665</v>
      </c>
      <c r="C72" s="6" t="s">
        <v>751</v>
      </c>
      <c r="D72" s="6" t="s">
        <v>843</v>
      </c>
      <c r="E72" s="6" t="s">
        <v>934</v>
      </c>
      <c r="F72" s="6" t="s">
        <v>1021</v>
      </c>
      <c r="G72" s="6" t="s">
        <v>1107</v>
      </c>
      <c r="H72" s="6" t="s">
        <v>1189</v>
      </c>
      <c r="I72" s="6" t="s">
        <v>2785</v>
      </c>
      <c r="J72" s="6" t="s">
        <v>2685</v>
      </c>
      <c r="K72" s="6" t="s">
        <v>2582</v>
      </c>
      <c r="L72" s="6" t="s">
        <v>2477</v>
      </c>
      <c r="M72" s="6" t="s">
        <v>3635</v>
      </c>
      <c r="N72" s="6" t="s">
        <v>3532</v>
      </c>
    </row>
    <row r="73" spans="1:14" x14ac:dyDescent="0.25">
      <c r="A73" s="17" t="s">
        <v>37</v>
      </c>
      <c r="B73" s="6" t="s">
        <v>666</v>
      </c>
      <c r="C73" s="6" t="s">
        <v>752</v>
      </c>
      <c r="D73" s="6" t="s">
        <v>844</v>
      </c>
      <c r="E73" s="6" t="s">
        <v>935</v>
      </c>
      <c r="F73" s="6" t="s">
        <v>1022</v>
      </c>
      <c r="G73" s="6" t="s">
        <v>1108</v>
      </c>
      <c r="H73" s="6" t="s">
        <v>1190</v>
      </c>
      <c r="I73" s="6" t="s">
        <v>2786</v>
      </c>
      <c r="J73" s="6" t="s">
        <v>2686</v>
      </c>
      <c r="K73" s="6" t="s">
        <v>2583</v>
      </c>
      <c r="L73" s="6" t="s">
        <v>2478</v>
      </c>
      <c r="M73" s="6" t="s">
        <v>3636</v>
      </c>
      <c r="N73" s="6" t="s">
        <v>3533</v>
      </c>
    </row>
    <row r="74" spans="1:14" x14ac:dyDescent="0.25">
      <c r="A74" s="17" t="s">
        <v>7</v>
      </c>
      <c r="B74" s="6" t="s">
        <v>667</v>
      </c>
      <c r="C74" s="6" t="s">
        <v>753</v>
      </c>
      <c r="D74" s="6" t="s">
        <v>845</v>
      </c>
      <c r="E74" s="6" t="s">
        <v>936</v>
      </c>
      <c r="F74" s="6" t="s">
        <v>1023</v>
      </c>
      <c r="G74" s="6" t="s">
        <v>1109</v>
      </c>
      <c r="H74" s="6" t="s">
        <v>1191</v>
      </c>
      <c r="I74" s="6" t="s">
        <v>2787</v>
      </c>
      <c r="J74" s="6" t="s">
        <v>2687</v>
      </c>
      <c r="K74" s="6" t="s">
        <v>2584</v>
      </c>
      <c r="L74" s="6" t="s">
        <v>2479</v>
      </c>
      <c r="M74" s="6" t="s">
        <v>3637</v>
      </c>
      <c r="N74" s="6" t="s">
        <v>3534</v>
      </c>
    </row>
    <row r="75" spans="1:14" x14ac:dyDescent="0.25">
      <c r="A75" s="17" t="s">
        <v>519</v>
      </c>
      <c r="B75" s="6" t="s">
        <v>668</v>
      </c>
      <c r="C75" s="6" t="s">
        <v>754</v>
      </c>
      <c r="D75" s="6" t="s">
        <v>846</v>
      </c>
      <c r="E75" s="6" t="s">
        <v>937</v>
      </c>
      <c r="F75" s="6" t="s">
        <v>1024</v>
      </c>
      <c r="G75" s="6" t="s">
        <v>1110</v>
      </c>
      <c r="H75" s="6" t="s">
        <v>1192</v>
      </c>
      <c r="I75" s="6" t="s">
        <v>2788</v>
      </c>
      <c r="J75" s="6" t="s">
        <v>2688</v>
      </c>
      <c r="K75" s="6" t="s">
        <v>2585</v>
      </c>
      <c r="L75" s="6" t="s">
        <v>2480</v>
      </c>
      <c r="M75" s="6" t="s">
        <v>3638</v>
      </c>
      <c r="N75" s="6" t="s">
        <v>2788</v>
      </c>
    </row>
    <row r="76" spans="1:14" x14ac:dyDescent="0.25">
      <c r="A76" s="17" t="s">
        <v>520</v>
      </c>
      <c r="B76" s="6" t="s">
        <v>669</v>
      </c>
      <c r="C76" s="6" t="s">
        <v>755</v>
      </c>
      <c r="D76" s="6" t="s">
        <v>847</v>
      </c>
      <c r="E76" s="6" t="s">
        <v>938</v>
      </c>
      <c r="F76" s="6" t="s">
        <v>1025</v>
      </c>
      <c r="G76" s="6" t="s">
        <v>1111</v>
      </c>
      <c r="H76" s="6" t="s">
        <v>1193</v>
      </c>
      <c r="I76" s="6" t="s">
        <v>2789</v>
      </c>
      <c r="J76" s="6" t="s">
        <v>2689</v>
      </c>
      <c r="K76" s="6" t="s">
        <v>2586</v>
      </c>
      <c r="L76" s="6" t="s">
        <v>2481</v>
      </c>
      <c r="M76" s="6" t="s">
        <v>3639</v>
      </c>
      <c r="N76" s="6" t="s">
        <v>3535</v>
      </c>
    </row>
    <row r="77" spans="1:14" x14ac:dyDescent="0.25">
      <c r="A77" s="17" t="s">
        <v>521</v>
      </c>
      <c r="B77" s="6" t="s">
        <v>670</v>
      </c>
      <c r="C77" s="6" t="s">
        <v>756</v>
      </c>
      <c r="D77" s="6" t="s">
        <v>848</v>
      </c>
      <c r="E77" s="6" t="s">
        <v>939</v>
      </c>
      <c r="F77" s="6" t="s">
        <v>1026</v>
      </c>
      <c r="G77" s="6" t="s">
        <v>1112</v>
      </c>
      <c r="H77" s="6" t="s">
        <v>1194</v>
      </c>
      <c r="I77" s="6" t="s">
        <v>2790</v>
      </c>
      <c r="J77" s="6" t="s">
        <v>2690</v>
      </c>
      <c r="K77" s="6" t="s">
        <v>2587</v>
      </c>
      <c r="L77" s="6" t="s">
        <v>2482</v>
      </c>
      <c r="M77" s="6" t="s">
        <v>3640</v>
      </c>
      <c r="N77" s="6" t="s">
        <v>2790</v>
      </c>
    </row>
    <row r="78" spans="1:14" x14ac:dyDescent="0.25">
      <c r="A78" s="13" t="s">
        <v>2212</v>
      </c>
      <c r="B78" s="6" t="s">
        <v>2220</v>
      </c>
      <c r="C78" s="6" t="s">
        <v>2227</v>
      </c>
      <c r="D78" s="6" t="s">
        <v>2234</v>
      </c>
      <c r="E78" s="6" t="s">
        <v>2241</v>
      </c>
      <c r="F78" s="6" t="s">
        <v>2248</v>
      </c>
      <c r="G78" s="6" t="s">
        <v>2255</v>
      </c>
      <c r="H78" s="6" t="s">
        <v>2262</v>
      </c>
      <c r="I78" s="6" t="s">
        <v>2791</v>
      </c>
      <c r="J78" s="6" t="s">
        <v>2691</v>
      </c>
      <c r="K78" s="6" t="s">
        <v>2588</v>
      </c>
      <c r="L78" s="6" t="s">
        <v>2483</v>
      </c>
      <c r="M78" s="6" t="s">
        <v>3641</v>
      </c>
      <c r="N78" s="6" t="s">
        <v>3536</v>
      </c>
    </row>
    <row r="79" spans="1:14" x14ac:dyDescent="0.25">
      <c r="A79" s="17" t="s">
        <v>522</v>
      </c>
      <c r="B79" s="6" t="s">
        <v>671</v>
      </c>
      <c r="C79" s="6" t="s">
        <v>757</v>
      </c>
      <c r="D79" s="6" t="s">
        <v>849</v>
      </c>
      <c r="E79" s="6" t="s">
        <v>940</v>
      </c>
      <c r="F79" s="6" t="s">
        <v>1027</v>
      </c>
      <c r="G79" s="6" t="s">
        <v>1113</v>
      </c>
      <c r="H79" s="6" t="s">
        <v>1195</v>
      </c>
      <c r="I79" s="6" t="s">
        <v>2792</v>
      </c>
      <c r="J79" s="6" t="s">
        <v>2692</v>
      </c>
      <c r="K79" s="6" t="s">
        <v>2589</v>
      </c>
      <c r="L79" s="6" t="s">
        <v>2484</v>
      </c>
      <c r="M79" s="6" t="s">
        <v>3642</v>
      </c>
      <c r="N79" s="6" t="s">
        <v>3537</v>
      </c>
    </row>
    <row r="80" spans="1:14" x14ac:dyDescent="0.25">
      <c r="A80" s="17" t="s">
        <v>523</v>
      </c>
      <c r="B80" s="6" t="s">
        <v>672</v>
      </c>
      <c r="C80" s="6" t="s">
        <v>758</v>
      </c>
      <c r="D80" s="6" t="s">
        <v>523</v>
      </c>
      <c r="E80" s="6" t="s">
        <v>523</v>
      </c>
      <c r="F80" s="6" t="s">
        <v>1028</v>
      </c>
      <c r="G80" s="6" t="s">
        <v>1114</v>
      </c>
      <c r="H80" s="6" t="s">
        <v>1196</v>
      </c>
      <c r="I80" s="6" t="s">
        <v>2793</v>
      </c>
      <c r="J80" s="6" t="s">
        <v>2693</v>
      </c>
      <c r="K80" s="6" t="s">
        <v>2590</v>
      </c>
      <c r="L80" s="6" t="s">
        <v>2485</v>
      </c>
      <c r="M80" s="6" t="s">
        <v>3643</v>
      </c>
      <c r="N80" s="6" t="s">
        <v>3538</v>
      </c>
    </row>
    <row r="81" spans="1:14" x14ac:dyDescent="0.25">
      <c r="A81" s="13" t="s">
        <v>2215</v>
      </c>
      <c r="B81" s="6" t="s">
        <v>2221</v>
      </c>
      <c r="C81" s="6" t="s">
        <v>2228</v>
      </c>
      <c r="D81" s="6" t="s">
        <v>2235</v>
      </c>
      <c r="E81" s="6" t="s">
        <v>2242</v>
      </c>
      <c r="F81" s="6" t="s">
        <v>2249</v>
      </c>
      <c r="G81" s="6" t="s">
        <v>2256</v>
      </c>
      <c r="H81" s="6" t="s">
        <v>2263</v>
      </c>
      <c r="I81" s="6" t="s">
        <v>2794</v>
      </c>
      <c r="J81" s="6" t="s">
        <v>2694</v>
      </c>
      <c r="K81" s="6" t="s">
        <v>2591</v>
      </c>
      <c r="L81" s="6" t="s">
        <v>2486</v>
      </c>
      <c r="M81" s="6" t="s">
        <v>3644</v>
      </c>
      <c r="N81" s="6" t="s">
        <v>3539</v>
      </c>
    </row>
    <row r="82" spans="1:14" x14ac:dyDescent="0.25">
      <c r="A82" s="17" t="s">
        <v>524</v>
      </c>
      <c r="B82" s="6" t="s">
        <v>673</v>
      </c>
      <c r="C82" s="6" t="s">
        <v>759</v>
      </c>
      <c r="D82" s="6" t="s">
        <v>850</v>
      </c>
      <c r="E82" s="6" t="s">
        <v>941</v>
      </c>
      <c r="F82" s="6" t="s">
        <v>1029</v>
      </c>
      <c r="G82" s="6" t="s">
        <v>1115</v>
      </c>
      <c r="H82" s="6" t="s">
        <v>1197</v>
      </c>
      <c r="I82" s="6" t="s">
        <v>2795</v>
      </c>
      <c r="J82" s="6" t="s">
        <v>2695</v>
      </c>
      <c r="K82" s="6" t="s">
        <v>2592</v>
      </c>
      <c r="L82" s="6" t="s">
        <v>2487</v>
      </c>
      <c r="M82" s="6" t="s">
        <v>3645</v>
      </c>
      <c r="N82" s="6" t="s">
        <v>3540</v>
      </c>
    </row>
    <row r="83" spans="1:14" x14ac:dyDescent="0.25">
      <c r="A83" s="13" t="s">
        <v>21</v>
      </c>
      <c r="B83" s="6" t="s">
        <v>173</v>
      </c>
      <c r="C83" s="6" t="s">
        <v>174</v>
      </c>
      <c r="D83" s="6" t="s">
        <v>175</v>
      </c>
      <c r="E83" s="6" t="s">
        <v>176</v>
      </c>
      <c r="F83" s="6" t="s">
        <v>177</v>
      </c>
      <c r="G83" s="6" t="s">
        <v>178</v>
      </c>
      <c r="H83" s="6" t="s">
        <v>179</v>
      </c>
      <c r="I83" s="6" t="s">
        <v>2796</v>
      </c>
      <c r="J83" s="6" t="s">
        <v>2696</v>
      </c>
      <c r="K83" s="6" t="s">
        <v>2593</v>
      </c>
      <c r="L83" s="6" t="s">
        <v>2488</v>
      </c>
      <c r="M83" s="6" t="s">
        <v>3646</v>
      </c>
      <c r="N83" s="6" t="s">
        <v>3541</v>
      </c>
    </row>
    <row r="84" spans="1:14" x14ac:dyDescent="0.25">
      <c r="A84" s="13" t="s">
        <v>525</v>
      </c>
      <c r="B84" s="6" t="s">
        <v>674</v>
      </c>
      <c r="C84" s="6" t="s">
        <v>760</v>
      </c>
      <c r="D84" s="6" t="s">
        <v>851</v>
      </c>
      <c r="E84" s="6" t="s">
        <v>942</v>
      </c>
      <c r="F84" s="6" t="s">
        <v>1030</v>
      </c>
      <c r="G84" s="6" t="s">
        <v>1116</v>
      </c>
      <c r="H84" s="6" t="s">
        <v>1198</v>
      </c>
      <c r="I84" s="6" t="s">
        <v>2797</v>
      </c>
      <c r="J84" s="6" t="s">
        <v>2697</v>
      </c>
      <c r="K84" s="6" t="s">
        <v>2594</v>
      </c>
      <c r="L84" s="6" t="s">
        <v>2489</v>
      </c>
      <c r="M84" s="6" t="s">
        <v>3647</v>
      </c>
      <c r="N84" s="6" t="s">
        <v>3542</v>
      </c>
    </row>
    <row r="85" spans="1:14" x14ac:dyDescent="0.25">
      <c r="A85" s="13" t="s">
        <v>526</v>
      </c>
      <c r="B85" s="6" t="s">
        <v>675</v>
      </c>
      <c r="C85" s="6" t="s">
        <v>761</v>
      </c>
      <c r="D85" s="6" t="s">
        <v>852</v>
      </c>
      <c r="E85" s="6" t="s">
        <v>943</v>
      </c>
      <c r="F85" s="6" t="s">
        <v>852</v>
      </c>
      <c r="G85" s="6" t="s">
        <v>852</v>
      </c>
      <c r="H85" s="6" t="s">
        <v>1199</v>
      </c>
      <c r="I85" s="6" t="s">
        <v>2798</v>
      </c>
      <c r="J85" s="6" t="s">
        <v>2698</v>
      </c>
      <c r="K85" s="6" t="s">
        <v>2595</v>
      </c>
      <c r="L85" s="6" t="s">
        <v>2490</v>
      </c>
      <c r="M85" s="6" t="s">
        <v>3648</v>
      </c>
      <c r="N85" s="6" t="s">
        <v>2798</v>
      </c>
    </row>
    <row r="86" spans="1:14" x14ac:dyDescent="0.25">
      <c r="A86" s="13" t="s">
        <v>527</v>
      </c>
      <c r="B86" s="6" t="s">
        <v>676</v>
      </c>
      <c r="C86" s="6" t="s">
        <v>762</v>
      </c>
      <c r="D86" s="6" t="s">
        <v>853</v>
      </c>
      <c r="E86" s="6" t="s">
        <v>944</v>
      </c>
      <c r="F86" s="6" t="s">
        <v>1031</v>
      </c>
      <c r="G86" s="6" t="s">
        <v>1117</v>
      </c>
      <c r="H86" s="6" t="s">
        <v>1200</v>
      </c>
      <c r="I86" s="6" t="s">
        <v>2799</v>
      </c>
      <c r="J86" s="6" t="s">
        <v>2699</v>
      </c>
      <c r="K86" s="6" t="s">
        <v>2596</v>
      </c>
      <c r="L86" s="6" t="s">
        <v>2491</v>
      </c>
      <c r="M86" s="6" t="s">
        <v>3649</v>
      </c>
      <c r="N86" s="6" t="s">
        <v>3543</v>
      </c>
    </row>
    <row r="87" spans="1:14" x14ac:dyDescent="0.25">
      <c r="A87" s="13" t="s">
        <v>528</v>
      </c>
      <c r="B87" s="6" t="s">
        <v>677</v>
      </c>
      <c r="C87" s="6" t="s">
        <v>763</v>
      </c>
      <c r="D87" s="6" t="s">
        <v>854</v>
      </c>
      <c r="E87" s="6" t="s">
        <v>945</v>
      </c>
      <c r="F87" s="6" t="s">
        <v>1032</v>
      </c>
      <c r="G87" s="6" t="s">
        <v>1118</v>
      </c>
      <c r="H87" s="6" t="s">
        <v>1201</v>
      </c>
      <c r="I87" s="6" t="s">
        <v>2800</v>
      </c>
      <c r="J87" s="6" t="s">
        <v>2700</v>
      </c>
      <c r="K87" s="6" t="s">
        <v>2597</v>
      </c>
      <c r="L87" s="6" t="s">
        <v>2492</v>
      </c>
      <c r="M87" s="6" t="s">
        <v>3650</v>
      </c>
      <c r="N87" s="6" t="s">
        <v>3544</v>
      </c>
    </row>
    <row r="88" spans="1:14" x14ac:dyDescent="0.25">
      <c r="A88" s="13" t="s">
        <v>529</v>
      </c>
      <c r="B88" s="6" t="s">
        <v>678</v>
      </c>
      <c r="C88" s="6" t="s">
        <v>529</v>
      </c>
      <c r="D88" s="6" t="s">
        <v>855</v>
      </c>
      <c r="E88" s="6" t="s">
        <v>946</v>
      </c>
      <c r="F88" s="6" t="s">
        <v>1033</v>
      </c>
      <c r="G88" s="6" t="s">
        <v>1119</v>
      </c>
      <c r="H88" s="6" t="s">
        <v>1202</v>
      </c>
      <c r="I88" s="6" t="s">
        <v>529</v>
      </c>
      <c r="J88" s="6" t="s">
        <v>2701</v>
      </c>
      <c r="K88" s="6" t="s">
        <v>2598</v>
      </c>
      <c r="L88" s="6" t="s">
        <v>2493</v>
      </c>
      <c r="M88" s="6" t="s">
        <v>3651</v>
      </c>
      <c r="N88" s="6" t="s">
        <v>529</v>
      </c>
    </row>
    <row r="89" spans="1:14" x14ac:dyDescent="0.25">
      <c r="A89" s="13" t="s">
        <v>530</v>
      </c>
      <c r="B89" s="6" t="s">
        <v>678</v>
      </c>
      <c r="C89" s="6" t="s">
        <v>529</v>
      </c>
      <c r="D89" s="6" t="s">
        <v>855</v>
      </c>
      <c r="E89" s="6" t="s">
        <v>946</v>
      </c>
      <c r="F89" s="6" t="s">
        <v>1033</v>
      </c>
      <c r="G89" s="6" t="s">
        <v>1119</v>
      </c>
      <c r="H89" s="6" t="s">
        <v>1202</v>
      </c>
      <c r="I89" s="6" t="s">
        <v>529</v>
      </c>
      <c r="J89" s="6" t="s">
        <v>2701</v>
      </c>
      <c r="K89" s="6" t="s">
        <v>2598</v>
      </c>
      <c r="L89" s="6" t="s">
        <v>2493</v>
      </c>
      <c r="M89" s="6" t="s">
        <v>3651</v>
      </c>
      <c r="N89" s="6" t="s">
        <v>529</v>
      </c>
    </row>
    <row r="90" spans="1:14" x14ac:dyDescent="0.25">
      <c r="A90" s="13" t="s">
        <v>531</v>
      </c>
      <c r="B90" s="6" t="s">
        <v>679</v>
      </c>
      <c r="C90" s="6" t="s">
        <v>764</v>
      </c>
      <c r="D90" s="6" t="s">
        <v>856</v>
      </c>
      <c r="E90" s="6" t="s">
        <v>947</v>
      </c>
      <c r="F90" s="6" t="s">
        <v>1034</v>
      </c>
      <c r="G90" s="6" t="s">
        <v>856</v>
      </c>
      <c r="H90" s="6" t="s">
        <v>1203</v>
      </c>
      <c r="I90" s="6" t="s">
        <v>2801</v>
      </c>
      <c r="J90" s="6" t="s">
        <v>2702</v>
      </c>
      <c r="K90" s="6" t="s">
        <v>2599</v>
      </c>
      <c r="L90" s="6" t="s">
        <v>2494</v>
      </c>
      <c r="M90" s="6" t="s">
        <v>3652</v>
      </c>
      <c r="N90" s="6" t="s">
        <v>3545</v>
      </c>
    </row>
    <row r="91" spans="1:14" x14ac:dyDescent="0.25">
      <c r="A91" s="13" t="s">
        <v>532</v>
      </c>
      <c r="B91" s="6" t="s">
        <v>1827</v>
      </c>
      <c r="C91" s="6" t="s">
        <v>765</v>
      </c>
      <c r="D91" s="6" t="s">
        <v>857</v>
      </c>
      <c r="E91" s="6" t="s">
        <v>948</v>
      </c>
      <c r="F91" s="6" t="s">
        <v>1035</v>
      </c>
      <c r="G91" s="6" t="s">
        <v>1120</v>
      </c>
      <c r="H91" s="6" t="s">
        <v>1204</v>
      </c>
      <c r="I91" s="6" t="s">
        <v>2802</v>
      </c>
      <c r="J91" s="6" t="s">
        <v>2703</v>
      </c>
      <c r="K91" s="6" t="s">
        <v>2600</v>
      </c>
      <c r="L91" s="6" t="s">
        <v>2495</v>
      </c>
      <c r="M91" s="6" t="s">
        <v>3653</v>
      </c>
      <c r="N91" s="6" t="s">
        <v>3546</v>
      </c>
    </row>
    <row r="92" spans="1:14" x14ac:dyDescent="0.25">
      <c r="A92" s="13" t="s">
        <v>533</v>
      </c>
      <c r="B92" s="6" t="s">
        <v>680</v>
      </c>
      <c r="C92" s="6" t="s">
        <v>766</v>
      </c>
      <c r="D92" s="6" t="s">
        <v>858</v>
      </c>
      <c r="E92" s="6" t="s">
        <v>949</v>
      </c>
      <c r="F92" s="6" t="s">
        <v>1036</v>
      </c>
      <c r="G92" s="6" t="s">
        <v>1121</v>
      </c>
      <c r="H92" s="6" t="s">
        <v>1205</v>
      </c>
      <c r="I92" s="6" t="s">
        <v>2803</v>
      </c>
      <c r="J92" s="6" t="s">
        <v>2704</v>
      </c>
      <c r="K92" s="6" t="s">
        <v>2601</v>
      </c>
      <c r="L92" s="6" t="s">
        <v>2496</v>
      </c>
      <c r="M92" s="6" t="s">
        <v>3654</v>
      </c>
      <c r="N92" s="6" t="s">
        <v>3547</v>
      </c>
    </row>
    <row r="93" spans="1:14" x14ac:dyDescent="0.25">
      <c r="A93" s="13" t="s">
        <v>534</v>
      </c>
      <c r="B93" s="6" t="s">
        <v>681</v>
      </c>
      <c r="C93" s="6" t="s">
        <v>767</v>
      </c>
      <c r="D93" s="6" t="s">
        <v>859</v>
      </c>
      <c r="E93" s="6" t="s">
        <v>534</v>
      </c>
      <c r="F93" s="6" t="s">
        <v>1037</v>
      </c>
      <c r="G93" s="6" t="s">
        <v>1122</v>
      </c>
      <c r="H93" s="6" t="s">
        <v>1206</v>
      </c>
      <c r="I93" s="6" t="s">
        <v>2804</v>
      </c>
      <c r="J93" s="6" t="s">
        <v>2705</v>
      </c>
      <c r="K93" s="6" t="s">
        <v>2602</v>
      </c>
      <c r="L93" s="6" t="s">
        <v>2497</v>
      </c>
      <c r="M93" s="6" t="s">
        <v>3655</v>
      </c>
      <c r="N93" s="6" t="s">
        <v>2804</v>
      </c>
    </row>
    <row r="94" spans="1:14" x14ac:dyDescent="0.25">
      <c r="A94" s="13" t="s">
        <v>35</v>
      </c>
      <c r="B94" s="6" t="s">
        <v>682</v>
      </c>
      <c r="C94" s="6" t="s">
        <v>768</v>
      </c>
      <c r="D94" s="6" t="s">
        <v>860</v>
      </c>
      <c r="E94" s="6" t="s">
        <v>950</v>
      </c>
      <c r="F94" s="6" t="s">
        <v>1038</v>
      </c>
      <c r="G94" s="6" t="s">
        <v>1123</v>
      </c>
      <c r="H94" s="6" t="s">
        <v>1207</v>
      </c>
      <c r="I94" s="6" t="s">
        <v>2805</v>
      </c>
      <c r="J94" s="6" t="s">
        <v>2706</v>
      </c>
      <c r="K94" s="6" t="s">
        <v>2603</v>
      </c>
      <c r="L94" s="6" t="s">
        <v>2498</v>
      </c>
      <c r="M94" s="6" t="s">
        <v>3656</v>
      </c>
      <c r="N94" s="6" t="s">
        <v>3548</v>
      </c>
    </row>
    <row r="95" spans="1:14" x14ac:dyDescent="0.25">
      <c r="A95" s="13" t="s">
        <v>535</v>
      </c>
      <c r="B95" s="6" t="s">
        <v>683</v>
      </c>
      <c r="C95" s="6" t="s">
        <v>769</v>
      </c>
      <c r="D95" s="6" t="s">
        <v>861</v>
      </c>
      <c r="E95" s="6" t="s">
        <v>951</v>
      </c>
      <c r="F95" s="6" t="s">
        <v>1039</v>
      </c>
      <c r="G95" s="6" t="s">
        <v>1124</v>
      </c>
      <c r="H95" s="6" t="s">
        <v>1208</v>
      </c>
      <c r="I95" s="6" t="s">
        <v>2806</v>
      </c>
      <c r="J95" s="6" t="s">
        <v>2707</v>
      </c>
      <c r="K95" s="6" t="s">
        <v>2604</v>
      </c>
      <c r="L95" s="6" t="s">
        <v>2499</v>
      </c>
      <c r="M95" s="6" t="s">
        <v>3657</v>
      </c>
      <c r="N95" s="6" t="s">
        <v>3549</v>
      </c>
    </row>
    <row r="96" spans="1:14" x14ac:dyDescent="0.25">
      <c r="A96" s="13" t="s">
        <v>536</v>
      </c>
      <c r="B96" s="6" t="s">
        <v>684</v>
      </c>
      <c r="C96" s="6" t="s">
        <v>770</v>
      </c>
      <c r="D96" s="6" t="s">
        <v>862</v>
      </c>
      <c r="E96" s="6" t="s">
        <v>952</v>
      </c>
      <c r="F96" s="6" t="s">
        <v>1040</v>
      </c>
      <c r="G96" s="6" t="s">
        <v>1125</v>
      </c>
      <c r="H96" s="6" t="s">
        <v>1209</v>
      </c>
      <c r="I96" s="6" t="s">
        <v>2807</v>
      </c>
      <c r="J96" s="6" t="s">
        <v>2708</v>
      </c>
      <c r="K96" s="6" t="s">
        <v>2605</v>
      </c>
      <c r="L96" s="6" t="s">
        <v>2500</v>
      </c>
      <c r="M96" s="6" t="s">
        <v>3658</v>
      </c>
      <c r="N96" s="6" t="s">
        <v>3550</v>
      </c>
    </row>
    <row r="97" spans="1:14" x14ac:dyDescent="0.25">
      <c r="A97" s="13" t="s">
        <v>537</v>
      </c>
      <c r="B97" s="6" t="s">
        <v>2213</v>
      </c>
      <c r="C97" s="6" t="s">
        <v>771</v>
      </c>
      <c r="D97" s="6" t="s">
        <v>863</v>
      </c>
      <c r="E97" s="6" t="s">
        <v>953</v>
      </c>
      <c r="F97" s="6" t="s">
        <v>1041</v>
      </c>
      <c r="G97" s="6" t="s">
        <v>1126</v>
      </c>
      <c r="H97" s="6" t="s">
        <v>1210</v>
      </c>
      <c r="I97" s="6" t="s">
        <v>2808</v>
      </c>
      <c r="J97" s="6" t="s">
        <v>2709</v>
      </c>
      <c r="K97" s="6" t="s">
        <v>2606</v>
      </c>
      <c r="L97" s="6" t="s">
        <v>2501</v>
      </c>
      <c r="M97" s="6" t="s">
        <v>3659</v>
      </c>
      <c r="N97" s="6" t="s">
        <v>2808</v>
      </c>
    </row>
    <row r="98" spans="1:14" x14ac:dyDescent="0.25">
      <c r="A98" s="13" t="s">
        <v>538</v>
      </c>
      <c r="B98" s="6" t="s">
        <v>2214</v>
      </c>
      <c r="C98" s="6" t="s">
        <v>772</v>
      </c>
      <c r="D98" s="6" t="s">
        <v>864</v>
      </c>
      <c r="E98" s="6" t="s">
        <v>954</v>
      </c>
      <c r="F98" s="6" t="s">
        <v>1042</v>
      </c>
      <c r="G98" s="6" t="s">
        <v>1127</v>
      </c>
      <c r="H98" s="6" t="s">
        <v>1211</v>
      </c>
      <c r="I98" s="6" t="s">
        <v>2809</v>
      </c>
      <c r="J98" s="6" t="s">
        <v>2710</v>
      </c>
      <c r="K98" s="6" t="s">
        <v>2607</v>
      </c>
      <c r="L98" s="6" t="s">
        <v>2502</v>
      </c>
      <c r="M98" s="6" t="s">
        <v>3660</v>
      </c>
      <c r="N98" s="6" t="s">
        <v>3551</v>
      </c>
    </row>
    <row r="99" spans="1:14" x14ac:dyDescent="0.25">
      <c r="A99" s="13" t="s">
        <v>539</v>
      </c>
      <c r="B99" s="6" t="s">
        <v>685</v>
      </c>
      <c r="C99" s="6" t="s">
        <v>773</v>
      </c>
      <c r="D99" s="6" t="s">
        <v>865</v>
      </c>
      <c r="E99" s="6" t="s">
        <v>955</v>
      </c>
      <c r="F99" s="6" t="s">
        <v>1043</v>
      </c>
      <c r="G99" s="6" t="s">
        <v>1128</v>
      </c>
      <c r="H99" s="6" t="s">
        <v>1212</v>
      </c>
      <c r="I99" s="6" t="s">
        <v>2810</v>
      </c>
      <c r="J99" s="6" t="s">
        <v>2711</v>
      </c>
      <c r="K99" s="6" t="s">
        <v>2608</v>
      </c>
      <c r="L99" s="6" t="s">
        <v>2503</v>
      </c>
      <c r="M99" s="6" t="s">
        <v>3661</v>
      </c>
      <c r="N99" s="6" t="s">
        <v>3552</v>
      </c>
    </row>
    <row r="100" spans="1:14" x14ac:dyDescent="0.25">
      <c r="A100" s="13" t="s">
        <v>33</v>
      </c>
      <c r="B100" s="6" t="s">
        <v>686</v>
      </c>
      <c r="C100" s="6" t="s">
        <v>774</v>
      </c>
      <c r="D100" s="6" t="s">
        <v>866</v>
      </c>
      <c r="E100" s="6" t="s">
        <v>956</v>
      </c>
      <c r="F100" s="6" t="s">
        <v>1044</v>
      </c>
      <c r="G100" s="6" t="s">
        <v>1129</v>
      </c>
      <c r="H100" s="6" t="s">
        <v>1213</v>
      </c>
      <c r="I100" s="6" t="s">
        <v>2811</v>
      </c>
      <c r="J100" s="6" t="s">
        <v>2712</v>
      </c>
      <c r="K100" s="6" t="s">
        <v>2609</v>
      </c>
      <c r="L100" s="6" t="s">
        <v>2504</v>
      </c>
      <c r="M100" s="6" t="s">
        <v>3662</v>
      </c>
      <c r="N100" s="6" t="s">
        <v>3553</v>
      </c>
    </row>
    <row r="101" spans="1:14" x14ac:dyDescent="0.25">
      <c r="A101" s="13" t="s">
        <v>284</v>
      </c>
      <c r="B101" s="6" t="s">
        <v>687</v>
      </c>
      <c r="C101" s="6" t="s">
        <v>775</v>
      </c>
      <c r="D101" s="6" t="s">
        <v>285</v>
      </c>
      <c r="E101" s="6" t="s">
        <v>286</v>
      </c>
      <c r="F101" s="6" t="s">
        <v>287</v>
      </c>
      <c r="G101" s="6" t="s">
        <v>288</v>
      </c>
      <c r="H101" s="6" t="s">
        <v>289</v>
      </c>
      <c r="I101" s="6" t="s">
        <v>2812</v>
      </c>
      <c r="J101" s="6" t="s">
        <v>2713</v>
      </c>
      <c r="K101" s="6" t="s">
        <v>2610</v>
      </c>
      <c r="L101" s="6" t="s">
        <v>2505</v>
      </c>
      <c r="M101" s="6" t="s">
        <v>3663</v>
      </c>
      <c r="N101" s="6" t="s">
        <v>3554</v>
      </c>
    </row>
    <row r="102" spans="1:14" x14ac:dyDescent="0.25">
      <c r="A102" s="13" t="s">
        <v>540</v>
      </c>
      <c r="B102" s="6" t="s">
        <v>688</v>
      </c>
      <c r="C102" s="6" t="s">
        <v>776</v>
      </c>
      <c r="D102" s="6" t="s">
        <v>867</v>
      </c>
      <c r="E102" s="6" t="s">
        <v>957</v>
      </c>
      <c r="F102" s="6" t="s">
        <v>1045</v>
      </c>
      <c r="G102" s="6" t="s">
        <v>1130</v>
      </c>
      <c r="H102" s="6" t="s">
        <v>1214</v>
      </c>
      <c r="I102" s="6" t="s">
        <v>2813</v>
      </c>
      <c r="J102" s="6" t="s">
        <v>2714</v>
      </c>
      <c r="K102" s="6" t="s">
        <v>2611</v>
      </c>
      <c r="L102" s="6" t="s">
        <v>2506</v>
      </c>
      <c r="M102" s="6" t="s">
        <v>3664</v>
      </c>
      <c r="N102" s="6" t="s">
        <v>3555</v>
      </c>
    </row>
    <row r="103" spans="1:14" x14ac:dyDescent="0.25">
      <c r="A103" s="13" t="s">
        <v>541</v>
      </c>
      <c r="B103" s="6" t="s">
        <v>2204</v>
      </c>
      <c r="C103" s="6" t="s">
        <v>777</v>
      </c>
      <c r="D103" s="6" t="s">
        <v>868</v>
      </c>
      <c r="E103" s="6" t="s">
        <v>958</v>
      </c>
      <c r="F103" s="6" t="s">
        <v>1046</v>
      </c>
      <c r="G103" s="6" t="s">
        <v>1131</v>
      </c>
      <c r="H103" s="6" t="s">
        <v>1215</v>
      </c>
      <c r="I103" s="6" t="s">
        <v>2814</v>
      </c>
      <c r="J103" s="6" t="s">
        <v>2715</v>
      </c>
      <c r="K103" s="6" t="s">
        <v>2612</v>
      </c>
      <c r="L103" s="6" t="s">
        <v>2507</v>
      </c>
      <c r="M103" s="6" t="s">
        <v>3665</v>
      </c>
      <c r="N103" s="6" t="s">
        <v>3556</v>
      </c>
    </row>
    <row r="104" spans="1:14" x14ac:dyDescent="0.25">
      <c r="A104" s="13" t="s">
        <v>542</v>
      </c>
      <c r="B104" s="6" t="s">
        <v>689</v>
      </c>
      <c r="C104" s="6" t="s">
        <v>778</v>
      </c>
      <c r="D104" s="6" t="s">
        <v>869</v>
      </c>
      <c r="E104" s="6" t="s">
        <v>959</v>
      </c>
      <c r="F104" s="6" t="s">
        <v>1047</v>
      </c>
      <c r="G104" s="6" t="s">
        <v>1132</v>
      </c>
      <c r="H104" s="6" t="s">
        <v>1216</v>
      </c>
      <c r="I104" s="6" t="s">
        <v>2815</v>
      </c>
      <c r="J104" s="6" t="s">
        <v>2716</v>
      </c>
      <c r="K104" s="6" t="s">
        <v>2613</v>
      </c>
      <c r="L104" s="6" t="s">
        <v>2508</v>
      </c>
      <c r="M104" s="6" t="s">
        <v>3666</v>
      </c>
      <c r="N104" s="6" t="s">
        <v>3557</v>
      </c>
    </row>
    <row r="105" spans="1:14" x14ac:dyDescent="0.25">
      <c r="A105" s="13" t="s">
        <v>543</v>
      </c>
      <c r="B105" s="6" t="s">
        <v>690</v>
      </c>
      <c r="C105" s="6" t="s">
        <v>779</v>
      </c>
      <c r="D105" s="6" t="s">
        <v>870</v>
      </c>
      <c r="E105" s="6" t="s">
        <v>960</v>
      </c>
      <c r="F105" s="6" t="s">
        <v>1048</v>
      </c>
      <c r="G105" s="6" t="s">
        <v>1133</v>
      </c>
      <c r="H105" s="6" t="s">
        <v>1217</v>
      </c>
      <c r="I105" s="6" t="s">
        <v>2816</v>
      </c>
      <c r="J105" s="6" t="s">
        <v>2717</v>
      </c>
      <c r="K105" s="6" t="s">
        <v>2614</v>
      </c>
      <c r="L105" s="6" t="s">
        <v>2509</v>
      </c>
      <c r="M105" s="6" t="s">
        <v>3667</v>
      </c>
      <c r="N105" s="6" t="s">
        <v>3558</v>
      </c>
    </row>
    <row r="106" spans="1:14" x14ac:dyDescent="0.25">
      <c r="A106" s="13" t="s">
        <v>36</v>
      </c>
      <c r="B106" s="6" t="s">
        <v>691</v>
      </c>
      <c r="C106" s="6" t="s">
        <v>780</v>
      </c>
      <c r="D106" s="6" t="s">
        <v>871</v>
      </c>
      <c r="E106" s="6" t="s">
        <v>961</v>
      </c>
      <c r="F106" s="6" t="s">
        <v>1049</v>
      </c>
      <c r="G106" s="6" t="s">
        <v>1134</v>
      </c>
      <c r="H106" s="6" t="s">
        <v>1218</v>
      </c>
      <c r="I106" s="6" t="s">
        <v>2817</v>
      </c>
      <c r="J106" s="6" t="s">
        <v>2718</v>
      </c>
      <c r="K106" s="6" t="s">
        <v>2615</v>
      </c>
      <c r="L106" s="6" t="s">
        <v>2510</v>
      </c>
      <c r="M106" s="6" t="s">
        <v>3668</v>
      </c>
      <c r="N106" s="6" t="s">
        <v>3559</v>
      </c>
    </row>
    <row r="107" spans="1:14" x14ac:dyDescent="0.25">
      <c r="A107" s="13" t="s">
        <v>544</v>
      </c>
      <c r="B107" s="6" t="s">
        <v>692</v>
      </c>
      <c r="C107" s="6" t="s">
        <v>781</v>
      </c>
      <c r="D107" s="6" t="s">
        <v>872</v>
      </c>
      <c r="E107" s="6" t="s">
        <v>962</v>
      </c>
      <c r="F107" s="6" t="s">
        <v>1050</v>
      </c>
      <c r="G107" s="6" t="s">
        <v>1135</v>
      </c>
      <c r="H107" s="6" t="s">
        <v>1219</v>
      </c>
      <c r="I107" s="6" t="s">
        <v>2818</v>
      </c>
      <c r="J107" s="6" t="s">
        <v>2719</v>
      </c>
      <c r="K107" s="6" t="s">
        <v>2616</v>
      </c>
      <c r="L107" s="6" t="s">
        <v>2511</v>
      </c>
      <c r="M107" s="6" t="s">
        <v>3669</v>
      </c>
      <c r="N107" s="6" t="s">
        <v>3560</v>
      </c>
    </row>
    <row r="108" spans="1:14" x14ac:dyDescent="0.25">
      <c r="A108" s="13" t="s">
        <v>545</v>
      </c>
      <c r="B108" s="6" t="s">
        <v>693</v>
      </c>
      <c r="C108" s="6" t="s">
        <v>782</v>
      </c>
      <c r="D108" s="6" t="s">
        <v>873</v>
      </c>
      <c r="E108" s="6" t="s">
        <v>963</v>
      </c>
      <c r="F108" s="6" t="s">
        <v>1051</v>
      </c>
      <c r="G108" s="6" t="s">
        <v>1136</v>
      </c>
      <c r="H108" s="6" t="s">
        <v>1220</v>
      </c>
      <c r="I108" s="6" t="s">
        <v>2819</v>
      </c>
      <c r="J108" s="6" t="s">
        <v>2720</v>
      </c>
      <c r="K108" s="6" t="s">
        <v>2617</v>
      </c>
      <c r="L108" s="6" t="s">
        <v>2512</v>
      </c>
      <c r="M108" s="6" t="s">
        <v>3670</v>
      </c>
      <c r="N108" s="6" t="s">
        <v>2819</v>
      </c>
    </row>
    <row r="109" spans="1:14" x14ac:dyDescent="0.25">
      <c r="A109" s="13" t="s">
        <v>1855</v>
      </c>
      <c r="B109" s="6" t="s">
        <v>1900</v>
      </c>
      <c r="C109" s="6" t="s">
        <v>1941</v>
      </c>
      <c r="D109" s="6" t="s">
        <v>1986</v>
      </c>
      <c r="E109" s="6" t="s">
        <v>2031</v>
      </c>
      <c r="F109" s="6" t="s">
        <v>2076</v>
      </c>
      <c r="G109" s="6" t="s">
        <v>2120</v>
      </c>
      <c r="H109" s="6" t="s">
        <v>2165</v>
      </c>
      <c r="I109" s="6" t="s">
        <v>2820</v>
      </c>
      <c r="J109" s="6" t="s">
        <v>2721</v>
      </c>
      <c r="K109" s="6" t="s">
        <v>2618</v>
      </c>
      <c r="L109" s="6" t="s">
        <v>2513</v>
      </c>
      <c r="M109" s="6" t="s">
        <v>3671</v>
      </c>
      <c r="N109" s="6" t="s">
        <v>3561</v>
      </c>
    </row>
    <row r="110" spans="1:14" x14ac:dyDescent="0.25">
      <c r="A110" s="13" t="s">
        <v>546</v>
      </c>
      <c r="B110" s="6" t="s">
        <v>694</v>
      </c>
      <c r="C110" s="6" t="s">
        <v>783</v>
      </c>
      <c r="D110" s="6" t="s">
        <v>874</v>
      </c>
      <c r="E110" s="6" t="s">
        <v>964</v>
      </c>
      <c r="F110" s="6" t="s">
        <v>1052</v>
      </c>
      <c r="G110" s="6" t="s">
        <v>1137</v>
      </c>
      <c r="H110" s="6" t="s">
        <v>1221</v>
      </c>
      <c r="I110" s="6" t="s">
        <v>2821</v>
      </c>
      <c r="J110" s="6" t="s">
        <v>2722</v>
      </c>
      <c r="K110" s="6" t="s">
        <v>2619</v>
      </c>
      <c r="L110" s="6" t="s">
        <v>2514</v>
      </c>
      <c r="M110" s="6" t="s">
        <v>3672</v>
      </c>
      <c r="N110" s="6" t="s">
        <v>3562</v>
      </c>
    </row>
    <row r="111" spans="1:14" x14ac:dyDescent="0.25">
      <c r="A111" s="13" t="s">
        <v>547</v>
      </c>
      <c r="B111" s="6" t="s">
        <v>695</v>
      </c>
      <c r="C111" s="6" t="s">
        <v>784</v>
      </c>
      <c r="D111" s="6" t="s">
        <v>875</v>
      </c>
      <c r="E111" s="6" t="s">
        <v>965</v>
      </c>
      <c r="F111" s="6" t="s">
        <v>1053</v>
      </c>
      <c r="G111" s="6" t="s">
        <v>1138</v>
      </c>
      <c r="H111" s="6" t="s">
        <v>1222</v>
      </c>
      <c r="I111" s="6" t="s">
        <v>2822</v>
      </c>
      <c r="J111" s="6" t="s">
        <v>2947</v>
      </c>
      <c r="K111" s="6" t="s">
        <v>3072</v>
      </c>
      <c r="L111" s="6" t="s">
        <v>3199</v>
      </c>
      <c r="M111" s="6" t="s">
        <v>3673</v>
      </c>
      <c r="N111" s="6" t="s">
        <v>3795</v>
      </c>
    </row>
    <row r="112" spans="1:14" x14ac:dyDescent="0.25">
      <c r="A112" s="13" t="s">
        <v>8</v>
      </c>
      <c r="B112" s="6" t="s">
        <v>696</v>
      </c>
      <c r="C112" s="6" t="s">
        <v>785</v>
      </c>
      <c r="D112" s="6" t="s">
        <v>876</v>
      </c>
      <c r="E112" s="6" t="s">
        <v>966</v>
      </c>
      <c r="F112" s="6" t="s">
        <v>1054</v>
      </c>
      <c r="G112" s="6" t="s">
        <v>1139</v>
      </c>
      <c r="H112" s="6" t="s">
        <v>1223</v>
      </c>
      <c r="I112" s="6" t="s">
        <v>2823</v>
      </c>
      <c r="J112" s="6" t="s">
        <v>2948</v>
      </c>
      <c r="K112" s="6" t="s">
        <v>3073</v>
      </c>
      <c r="L112" s="6" t="s">
        <v>3200</v>
      </c>
      <c r="M112" s="6" t="s">
        <v>3674</v>
      </c>
      <c r="N112" s="6" t="s">
        <v>3796</v>
      </c>
    </row>
    <row r="113" spans="1:14" x14ac:dyDescent="0.25">
      <c r="A113" s="13" t="s">
        <v>548</v>
      </c>
      <c r="B113" s="6" t="s">
        <v>697</v>
      </c>
      <c r="C113" s="6" t="s">
        <v>786</v>
      </c>
      <c r="D113" s="6" t="s">
        <v>877</v>
      </c>
      <c r="E113" s="6" t="s">
        <v>967</v>
      </c>
      <c r="F113" s="6" t="s">
        <v>1055</v>
      </c>
      <c r="G113" s="6" t="s">
        <v>1140</v>
      </c>
      <c r="H113" s="6" t="s">
        <v>1224</v>
      </c>
      <c r="I113" s="6" t="s">
        <v>2824</v>
      </c>
      <c r="J113" s="6" t="s">
        <v>2949</v>
      </c>
      <c r="K113" s="6" t="s">
        <v>3074</v>
      </c>
      <c r="L113" s="6" t="s">
        <v>3201</v>
      </c>
      <c r="M113" s="6" t="s">
        <v>3675</v>
      </c>
      <c r="N113" s="6" t="s">
        <v>3797</v>
      </c>
    </row>
    <row r="114" spans="1:14" x14ac:dyDescent="0.25">
      <c r="A114" s="13" t="s">
        <v>549</v>
      </c>
      <c r="B114" s="6" t="s">
        <v>698</v>
      </c>
      <c r="C114" s="6" t="s">
        <v>787</v>
      </c>
      <c r="D114" s="6" t="s">
        <v>878</v>
      </c>
      <c r="E114" s="6" t="s">
        <v>968</v>
      </c>
      <c r="F114" s="6" t="s">
        <v>1056</v>
      </c>
      <c r="G114" s="6" t="s">
        <v>1141</v>
      </c>
      <c r="H114" s="6" t="s">
        <v>1225</v>
      </c>
      <c r="I114" s="6" t="s">
        <v>2825</v>
      </c>
      <c r="J114" s="6" t="s">
        <v>2950</v>
      </c>
      <c r="K114" s="6" t="s">
        <v>3075</v>
      </c>
      <c r="L114" s="6" t="s">
        <v>3202</v>
      </c>
      <c r="M114" s="6" t="s">
        <v>3676</v>
      </c>
      <c r="N114" s="6" t="s">
        <v>3798</v>
      </c>
    </row>
    <row r="115" spans="1:14" x14ac:dyDescent="0.25">
      <c r="A115" s="13" t="s">
        <v>550</v>
      </c>
      <c r="B115" s="6" t="s">
        <v>699</v>
      </c>
      <c r="C115" s="6" t="s">
        <v>788</v>
      </c>
      <c r="D115" s="6" t="s">
        <v>879</v>
      </c>
      <c r="E115" s="6" t="s">
        <v>969</v>
      </c>
      <c r="F115" s="6" t="s">
        <v>1057</v>
      </c>
      <c r="G115" s="6" t="s">
        <v>969</v>
      </c>
      <c r="H115" s="6" t="s">
        <v>1226</v>
      </c>
      <c r="I115" s="6" t="s">
        <v>2826</v>
      </c>
      <c r="J115" s="6" t="s">
        <v>2951</v>
      </c>
      <c r="K115" s="6" t="s">
        <v>3076</v>
      </c>
      <c r="L115" s="6" t="s">
        <v>3203</v>
      </c>
      <c r="M115" s="6" t="s">
        <v>3677</v>
      </c>
      <c r="N115" s="6" t="s">
        <v>2826</v>
      </c>
    </row>
    <row r="116" spans="1:14" x14ac:dyDescent="0.25">
      <c r="A116" s="13" t="s">
        <v>15</v>
      </c>
      <c r="B116" s="6" t="s">
        <v>1846</v>
      </c>
      <c r="C116" s="6" t="s">
        <v>789</v>
      </c>
      <c r="D116" s="6" t="s">
        <v>880</v>
      </c>
      <c r="E116" s="6" t="s">
        <v>970</v>
      </c>
      <c r="F116" s="6" t="s">
        <v>1058</v>
      </c>
      <c r="G116" s="6" t="s">
        <v>880</v>
      </c>
      <c r="H116" s="6" t="s">
        <v>1227</v>
      </c>
      <c r="I116" s="6" t="s">
        <v>2827</v>
      </c>
      <c r="J116" s="6" t="s">
        <v>2952</v>
      </c>
      <c r="K116" s="6" t="s">
        <v>3077</v>
      </c>
      <c r="L116" s="6" t="s">
        <v>3204</v>
      </c>
      <c r="M116" s="6" t="s">
        <v>2952</v>
      </c>
      <c r="N116" s="6" t="s">
        <v>2827</v>
      </c>
    </row>
    <row r="117" spans="1:14" x14ac:dyDescent="0.25">
      <c r="A117" s="13" t="s">
        <v>27</v>
      </c>
      <c r="B117" s="6" t="s">
        <v>700</v>
      </c>
      <c r="C117" s="6" t="s">
        <v>790</v>
      </c>
      <c r="D117" s="6" t="s">
        <v>881</v>
      </c>
      <c r="E117" s="6" t="s">
        <v>971</v>
      </c>
      <c r="F117" s="6" t="s">
        <v>1059</v>
      </c>
      <c r="G117" s="6" t="s">
        <v>1142</v>
      </c>
      <c r="H117" s="6" t="s">
        <v>1228</v>
      </c>
      <c r="I117" s="6" t="s">
        <v>2828</v>
      </c>
      <c r="J117" s="6" t="s">
        <v>2953</v>
      </c>
      <c r="K117" s="6" t="s">
        <v>3078</v>
      </c>
      <c r="L117" s="6" t="s">
        <v>3205</v>
      </c>
      <c r="M117" s="6" t="s">
        <v>3678</v>
      </c>
      <c r="N117" s="6" t="s">
        <v>3799</v>
      </c>
    </row>
    <row r="118" spans="1:14" x14ac:dyDescent="0.25">
      <c r="A118" s="13" t="s">
        <v>2205</v>
      </c>
      <c r="B118" s="6" t="s">
        <v>2210</v>
      </c>
      <c r="C118" s="6" t="s">
        <v>2209</v>
      </c>
      <c r="D118" s="6" t="s">
        <v>2205</v>
      </c>
      <c r="E118" s="6" t="s">
        <v>2205</v>
      </c>
      <c r="F118" s="6" t="s">
        <v>2208</v>
      </c>
      <c r="G118" s="6" t="s">
        <v>2207</v>
      </c>
      <c r="H118" s="6" t="s">
        <v>2206</v>
      </c>
      <c r="I118" s="6" t="s">
        <v>2829</v>
      </c>
      <c r="J118" s="6" t="s">
        <v>2954</v>
      </c>
      <c r="K118" s="6" t="s">
        <v>3079</v>
      </c>
      <c r="L118" s="6" t="s">
        <v>3206</v>
      </c>
      <c r="M118" s="6" t="s">
        <v>3679</v>
      </c>
      <c r="N118" s="6" t="s">
        <v>3800</v>
      </c>
    </row>
    <row r="119" spans="1:14" x14ac:dyDescent="0.25">
      <c r="A119" s="13" t="s">
        <v>108</v>
      </c>
      <c r="B119" s="6" t="s">
        <v>109</v>
      </c>
      <c r="C119" s="6" t="s">
        <v>110</v>
      </c>
      <c r="D119" s="6" t="s">
        <v>111</v>
      </c>
      <c r="E119" s="6" t="s">
        <v>112</v>
      </c>
      <c r="F119" s="6" t="s">
        <v>113</v>
      </c>
      <c r="G119" s="6" t="s">
        <v>114</v>
      </c>
      <c r="H119" s="6" t="s">
        <v>115</v>
      </c>
      <c r="I119" s="6" t="s">
        <v>2830</v>
      </c>
      <c r="J119" s="6" t="s">
        <v>2955</v>
      </c>
      <c r="K119" s="6" t="s">
        <v>3080</v>
      </c>
      <c r="L119" s="6" t="s">
        <v>3207</v>
      </c>
      <c r="M119" s="6" t="s">
        <v>2955</v>
      </c>
      <c r="N119" s="6" t="s">
        <v>2830</v>
      </c>
    </row>
    <row r="120" spans="1:14" x14ac:dyDescent="0.25">
      <c r="A120" s="13" t="s">
        <v>551</v>
      </c>
      <c r="B120" s="6" t="s">
        <v>1832</v>
      </c>
      <c r="C120" s="6" t="s">
        <v>791</v>
      </c>
      <c r="D120" s="6" t="s">
        <v>882</v>
      </c>
      <c r="E120" s="6" t="s">
        <v>972</v>
      </c>
      <c r="F120" s="6" t="s">
        <v>1060</v>
      </c>
      <c r="G120" s="6" t="s">
        <v>1143</v>
      </c>
      <c r="H120" s="6" t="s">
        <v>1229</v>
      </c>
      <c r="I120" s="6" t="s">
        <v>2831</v>
      </c>
      <c r="J120" s="6" t="s">
        <v>2956</v>
      </c>
      <c r="K120" s="6" t="s">
        <v>3081</v>
      </c>
      <c r="L120" s="6" t="s">
        <v>3208</v>
      </c>
      <c r="M120" s="6" t="s">
        <v>3680</v>
      </c>
      <c r="N120" s="6" t="s">
        <v>3801</v>
      </c>
    </row>
    <row r="121" spans="1:14" x14ac:dyDescent="0.25">
      <c r="A121" s="13" t="s">
        <v>552</v>
      </c>
      <c r="B121" s="6" t="s">
        <v>701</v>
      </c>
      <c r="C121" s="6" t="s">
        <v>792</v>
      </c>
      <c r="D121" s="6" t="s">
        <v>883</v>
      </c>
      <c r="E121" s="6" t="s">
        <v>552</v>
      </c>
      <c r="F121" s="6" t="s">
        <v>1061</v>
      </c>
      <c r="G121" s="6" t="s">
        <v>552</v>
      </c>
      <c r="H121" s="6" t="s">
        <v>1230</v>
      </c>
      <c r="I121" s="6" t="s">
        <v>2832</v>
      </c>
      <c r="J121" s="6" t="s">
        <v>2957</v>
      </c>
      <c r="K121" s="6" t="s">
        <v>3082</v>
      </c>
      <c r="L121" s="6" t="s">
        <v>3209</v>
      </c>
      <c r="M121" s="6" t="s">
        <v>3681</v>
      </c>
      <c r="N121" s="6" t="s">
        <v>2832</v>
      </c>
    </row>
    <row r="122" spans="1:14" x14ac:dyDescent="0.25">
      <c r="A122" s="13" t="s">
        <v>2216</v>
      </c>
      <c r="B122" s="6" t="s">
        <v>2222</v>
      </c>
      <c r="C122" s="6" t="s">
        <v>2229</v>
      </c>
      <c r="D122" s="6" t="s">
        <v>2236</v>
      </c>
      <c r="E122" s="6" t="s">
        <v>2243</v>
      </c>
      <c r="F122" s="6" t="s">
        <v>2250</v>
      </c>
      <c r="G122" s="6" t="s">
        <v>2257</v>
      </c>
      <c r="H122" s="6" t="s">
        <v>2264</v>
      </c>
      <c r="I122" s="6" t="s">
        <v>2833</v>
      </c>
      <c r="J122" s="6" t="s">
        <v>2958</v>
      </c>
      <c r="K122" s="6" t="s">
        <v>3083</v>
      </c>
      <c r="L122" s="6" t="s">
        <v>3210</v>
      </c>
      <c r="M122" s="6" t="s">
        <v>3682</v>
      </c>
      <c r="N122" s="6" t="s">
        <v>2833</v>
      </c>
    </row>
    <row r="123" spans="1:14" x14ac:dyDescent="0.25">
      <c r="A123" s="13" t="s">
        <v>553</v>
      </c>
      <c r="B123" s="6" t="s">
        <v>702</v>
      </c>
      <c r="C123" s="6" t="s">
        <v>793</v>
      </c>
      <c r="D123" s="6" t="s">
        <v>884</v>
      </c>
      <c r="E123" s="6" t="s">
        <v>973</v>
      </c>
      <c r="F123" s="6" t="s">
        <v>1062</v>
      </c>
      <c r="G123" s="6" t="s">
        <v>884</v>
      </c>
      <c r="H123" s="6" t="s">
        <v>1231</v>
      </c>
      <c r="I123" s="6" t="s">
        <v>2834</v>
      </c>
      <c r="J123" s="6" t="s">
        <v>2959</v>
      </c>
      <c r="K123" s="6" t="s">
        <v>3084</v>
      </c>
      <c r="L123" s="6" t="s">
        <v>3211</v>
      </c>
      <c r="M123" s="6" t="s">
        <v>3683</v>
      </c>
      <c r="N123" s="6" t="s">
        <v>2834</v>
      </c>
    </row>
    <row r="124" spans="1:14" x14ac:dyDescent="0.25">
      <c r="A124" s="13" t="s">
        <v>1868</v>
      </c>
      <c r="B124" s="6" t="s">
        <v>2203</v>
      </c>
      <c r="C124" s="6" t="s">
        <v>1954</v>
      </c>
      <c r="D124" s="6" t="s">
        <v>1999</v>
      </c>
      <c r="E124" s="6" t="s">
        <v>2044</v>
      </c>
      <c r="F124" s="6" t="s">
        <v>2089</v>
      </c>
      <c r="G124" s="6" t="s">
        <v>2133</v>
      </c>
      <c r="H124" s="6" t="s">
        <v>2178</v>
      </c>
      <c r="I124" s="6" t="s">
        <v>2835</v>
      </c>
      <c r="J124" s="6" t="s">
        <v>2960</v>
      </c>
      <c r="K124" s="6" t="s">
        <v>3085</v>
      </c>
      <c r="L124" s="6" t="s">
        <v>3212</v>
      </c>
      <c r="M124" s="6" t="s">
        <v>3684</v>
      </c>
      <c r="N124" s="6" t="s">
        <v>2835</v>
      </c>
    </row>
    <row r="125" spans="1:14" x14ac:dyDescent="0.25">
      <c r="A125" s="13" t="s">
        <v>554</v>
      </c>
      <c r="B125" s="6" t="s">
        <v>703</v>
      </c>
      <c r="C125" s="6" t="s">
        <v>794</v>
      </c>
      <c r="D125" s="6" t="s">
        <v>885</v>
      </c>
      <c r="E125" s="6" t="s">
        <v>974</v>
      </c>
      <c r="F125" s="6" t="s">
        <v>1063</v>
      </c>
      <c r="G125" s="6" t="s">
        <v>1144</v>
      </c>
      <c r="H125" s="6" t="s">
        <v>1232</v>
      </c>
      <c r="I125" s="6" t="s">
        <v>2836</v>
      </c>
      <c r="J125" s="6" t="s">
        <v>2961</v>
      </c>
      <c r="K125" s="6" t="s">
        <v>3086</v>
      </c>
      <c r="L125" s="6" t="s">
        <v>3213</v>
      </c>
      <c r="M125" s="6" t="s">
        <v>3685</v>
      </c>
      <c r="N125" s="6" t="s">
        <v>2836</v>
      </c>
    </row>
    <row r="126" spans="1:14" x14ac:dyDescent="0.25">
      <c r="A126" s="13" t="s">
        <v>339</v>
      </c>
      <c r="B126" s="6" t="s">
        <v>704</v>
      </c>
      <c r="C126" s="6" t="s">
        <v>795</v>
      </c>
      <c r="D126" s="6" t="s">
        <v>885</v>
      </c>
      <c r="E126" s="6" t="s">
        <v>974</v>
      </c>
      <c r="F126" s="6" t="s">
        <v>1063</v>
      </c>
      <c r="G126" s="6" t="s">
        <v>1145</v>
      </c>
      <c r="H126" s="6" t="s">
        <v>1233</v>
      </c>
      <c r="I126" s="6" t="s">
        <v>2836</v>
      </c>
      <c r="J126" s="6" t="s">
        <v>2961</v>
      </c>
      <c r="K126" s="6" t="s">
        <v>3086</v>
      </c>
      <c r="L126" s="6" t="s">
        <v>3214</v>
      </c>
      <c r="M126" s="6" t="s">
        <v>3686</v>
      </c>
      <c r="N126" s="6" t="s">
        <v>2836</v>
      </c>
    </row>
    <row r="127" spans="1:14" x14ac:dyDescent="0.25">
      <c r="A127" s="13" t="s">
        <v>18</v>
      </c>
      <c r="B127" s="6" t="s">
        <v>705</v>
      </c>
      <c r="C127" s="6" t="s">
        <v>796</v>
      </c>
      <c r="D127" s="6" t="s">
        <v>886</v>
      </c>
      <c r="E127" s="6" t="s">
        <v>975</v>
      </c>
      <c r="F127" s="6" t="s">
        <v>1064</v>
      </c>
      <c r="G127" s="6" t="s">
        <v>1146</v>
      </c>
      <c r="H127" s="6" t="s">
        <v>1234</v>
      </c>
      <c r="I127" s="6" t="s">
        <v>2837</v>
      </c>
      <c r="J127" s="6" t="s">
        <v>2962</v>
      </c>
      <c r="K127" s="6" t="s">
        <v>3087</v>
      </c>
      <c r="L127" s="6" t="s">
        <v>3215</v>
      </c>
      <c r="M127" s="6" t="s">
        <v>3687</v>
      </c>
      <c r="N127" s="6" t="s">
        <v>2837</v>
      </c>
    </row>
    <row r="128" spans="1:14" x14ac:dyDescent="0.25">
      <c r="A128" s="13" t="s">
        <v>555</v>
      </c>
      <c r="B128" s="6" t="s">
        <v>706</v>
      </c>
      <c r="C128" s="6" t="s">
        <v>797</v>
      </c>
      <c r="D128" s="6" t="s">
        <v>887</v>
      </c>
      <c r="E128" s="6" t="s">
        <v>976</v>
      </c>
      <c r="F128" s="6" t="s">
        <v>1065</v>
      </c>
      <c r="G128" s="6" t="s">
        <v>1147</v>
      </c>
      <c r="H128" s="6" t="s">
        <v>1235</v>
      </c>
      <c r="I128" s="6" t="s">
        <v>2838</v>
      </c>
      <c r="J128" s="6" t="s">
        <v>2963</v>
      </c>
      <c r="K128" s="6" t="s">
        <v>3088</v>
      </c>
      <c r="L128" s="6" t="s">
        <v>3216</v>
      </c>
      <c r="M128" s="6" t="s">
        <v>3688</v>
      </c>
      <c r="N128" s="6" t="s">
        <v>2838</v>
      </c>
    </row>
    <row r="129" spans="1:14" x14ac:dyDescent="0.25">
      <c r="A129" s="13" t="s">
        <v>556</v>
      </c>
      <c r="B129" s="6" t="s">
        <v>706</v>
      </c>
      <c r="C129" s="6" t="s">
        <v>797</v>
      </c>
      <c r="D129" s="6" t="s">
        <v>887</v>
      </c>
      <c r="E129" s="6" t="s">
        <v>976</v>
      </c>
      <c r="F129" s="6" t="s">
        <v>1065</v>
      </c>
      <c r="G129" s="6" t="s">
        <v>1148</v>
      </c>
      <c r="H129" s="6" t="s">
        <v>1235</v>
      </c>
      <c r="I129" s="6" t="s">
        <v>2838</v>
      </c>
      <c r="J129" s="6" t="s">
        <v>2963</v>
      </c>
      <c r="K129" s="6" t="s">
        <v>3088</v>
      </c>
      <c r="L129" s="6" t="s">
        <v>3217</v>
      </c>
      <c r="M129" s="6" t="s">
        <v>3688</v>
      </c>
      <c r="N129" s="6" t="s">
        <v>2838</v>
      </c>
    </row>
    <row r="130" spans="1:14" x14ac:dyDescent="0.25">
      <c r="A130" s="13" t="s">
        <v>557</v>
      </c>
      <c r="B130" s="6" t="s">
        <v>707</v>
      </c>
      <c r="C130" s="6" t="s">
        <v>797</v>
      </c>
      <c r="D130" s="6" t="s">
        <v>888</v>
      </c>
      <c r="E130" s="6" t="s">
        <v>977</v>
      </c>
      <c r="F130" s="6" t="s">
        <v>1066</v>
      </c>
      <c r="G130" s="6" t="s">
        <v>1149</v>
      </c>
      <c r="H130" s="6" t="s">
        <v>1236</v>
      </c>
      <c r="I130" s="6" t="s">
        <v>2838</v>
      </c>
      <c r="J130" s="6" t="s">
        <v>2964</v>
      </c>
      <c r="K130" s="6" t="s">
        <v>3089</v>
      </c>
      <c r="L130" s="6" t="s">
        <v>3218</v>
      </c>
      <c r="M130" s="6" t="s">
        <v>3688</v>
      </c>
      <c r="N130" s="6" t="s">
        <v>2838</v>
      </c>
    </row>
    <row r="131" spans="1:14" x14ac:dyDescent="0.25">
      <c r="A131" s="13" t="s">
        <v>1853</v>
      </c>
      <c r="B131" s="6" t="s">
        <v>1898</v>
      </c>
      <c r="C131" s="6" t="s">
        <v>1939</v>
      </c>
      <c r="D131" s="6" t="s">
        <v>1984</v>
      </c>
      <c r="E131" s="6" t="s">
        <v>2029</v>
      </c>
      <c r="F131" s="6" t="s">
        <v>2074</v>
      </c>
      <c r="G131" s="6" t="s">
        <v>2118</v>
      </c>
      <c r="H131" s="6" t="s">
        <v>2163</v>
      </c>
      <c r="I131" s="6" t="s">
        <v>2839</v>
      </c>
      <c r="J131" s="6" t="s">
        <v>2965</v>
      </c>
      <c r="K131" s="6" t="s">
        <v>3090</v>
      </c>
      <c r="L131" s="6" t="s">
        <v>3219</v>
      </c>
      <c r="M131" s="6" t="s">
        <v>3689</v>
      </c>
      <c r="N131" s="6" t="s">
        <v>3802</v>
      </c>
    </row>
    <row r="132" spans="1:14" x14ac:dyDescent="0.25">
      <c r="A132" s="13" t="s">
        <v>558</v>
      </c>
      <c r="B132" s="6" t="s">
        <v>708</v>
      </c>
      <c r="C132" s="6" t="s">
        <v>798</v>
      </c>
      <c r="D132" s="6" t="s">
        <v>889</v>
      </c>
      <c r="E132" s="6" t="s">
        <v>978</v>
      </c>
      <c r="F132" s="6" t="s">
        <v>1067</v>
      </c>
      <c r="G132" s="6" t="s">
        <v>1150</v>
      </c>
      <c r="H132" s="6" t="s">
        <v>1237</v>
      </c>
      <c r="I132" s="6" t="s">
        <v>2840</v>
      </c>
      <c r="J132" s="6" t="s">
        <v>2966</v>
      </c>
      <c r="K132" s="6" t="s">
        <v>3091</v>
      </c>
      <c r="L132" s="6" t="s">
        <v>3220</v>
      </c>
      <c r="M132" s="6" t="s">
        <v>3690</v>
      </c>
      <c r="N132" s="6" t="s">
        <v>3803</v>
      </c>
    </row>
    <row r="133" spans="1:14" x14ac:dyDescent="0.25">
      <c r="A133" s="13" t="s">
        <v>559</v>
      </c>
      <c r="B133" s="6" t="s">
        <v>709</v>
      </c>
      <c r="C133" s="6" t="s">
        <v>799</v>
      </c>
      <c r="D133" s="6" t="s">
        <v>890</v>
      </c>
      <c r="E133" s="6" t="s">
        <v>559</v>
      </c>
      <c r="F133" s="6" t="s">
        <v>1068</v>
      </c>
      <c r="G133" s="6" t="s">
        <v>559</v>
      </c>
      <c r="H133" s="6" t="s">
        <v>1238</v>
      </c>
      <c r="I133" s="6" t="s">
        <v>2841</v>
      </c>
      <c r="J133" s="6" t="s">
        <v>2967</v>
      </c>
      <c r="K133" s="6" t="s">
        <v>3092</v>
      </c>
      <c r="L133" s="6" t="s">
        <v>3221</v>
      </c>
      <c r="M133" s="6" t="s">
        <v>3691</v>
      </c>
      <c r="N133" s="6" t="s">
        <v>2841</v>
      </c>
    </row>
    <row r="134" spans="1:14" x14ac:dyDescent="0.25">
      <c r="A134" s="13" t="s">
        <v>560</v>
      </c>
      <c r="B134" s="6" t="s">
        <v>2285</v>
      </c>
      <c r="C134" s="6" t="s">
        <v>800</v>
      </c>
      <c r="D134" s="6" t="s">
        <v>891</v>
      </c>
      <c r="E134" s="6" t="s">
        <v>979</v>
      </c>
      <c r="F134" s="6" t="s">
        <v>1069</v>
      </c>
      <c r="G134" s="6" t="s">
        <v>891</v>
      </c>
      <c r="H134" s="6" t="s">
        <v>1239</v>
      </c>
      <c r="I134" s="6" t="s">
        <v>2842</v>
      </c>
      <c r="J134" s="6" t="s">
        <v>2968</v>
      </c>
      <c r="K134" s="6" t="s">
        <v>3093</v>
      </c>
      <c r="L134" s="6" t="s">
        <v>3222</v>
      </c>
      <c r="M134" s="6" t="s">
        <v>3692</v>
      </c>
      <c r="N134" s="6" t="s">
        <v>3804</v>
      </c>
    </row>
    <row r="135" spans="1:14" x14ac:dyDescent="0.25">
      <c r="A135" s="13" t="s">
        <v>561</v>
      </c>
      <c r="B135" s="6" t="s">
        <v>710</v>
      </c>
      <c r="C135" s="6" t="s">
        <v>801</v>
      </c>
      <c r="D135" s="6" t="s">
        <v>892</v>
      </c>
      <c r="E135" s="6" t="s">
        <v>980</v>
      </c>
      <c r="F135" s="6" t="s">
        <v>1070</v>
      </c>
      <c r="G135" s="6" t="s">
        <v>1151</v>
      </c>
      <c r="H135" s="6" t="s">
        <v>1240</v>
      </c>
      <c r="I135" s="6" t="s">
        <v>2843</v>
      </c>
      <c r="J135" s="6" t="s">
        <v>2969</v>
      </c>
      <c r="K135" s="6" t="s">
        <v>3094</v>
      </c>
      <c r="L135" s="6" t="s">
        <v>3223</v>
      </c>
      <c r="M135" s="6" t="s">
        <v>3693</v>
      </c>
      <c r="N135" s="6" t="s">
        <v>3805</v>
      </c>
    </row>
    <row r="136" spans="1:14" x14ac:dyDescent="0.25">
      <c r="A136" s="13" t="s">
        <v>562</v>
      </c>
      <c r="B136" s="6" t="s">
        <v>711</v>
      </c>
      <c r="C136" s="6" t="s">
        <v>802</v>
      </c>
      <c r="D136" s="6" t="s">
        <v>893</v>
      </c>
      <c r="E136" s="6" t="s">
        <v>981</v>
      </c>
      <c r="F136" s="6" t="s">
        <v>1071</v>
      </c>
      <c r="G136" s="6" t="s">
        <v>893</v>
      </c>
      <c r="H136" s="6" t="s">
        <v>1241</v>
      </c>
      <c r="I136" s="6" t="s">
        <v>2844</v>
      </c>
      <c r="J136" s="6" t="s">
        <v>2970</v>
      </c>
      <c r="K136" s="6" t="s">
        <v>3095</v>
      </c>
      <c r="L136" s="6" t="s">
        <v>3224</v>
      </c>
      <c r="M136" s="6" t="s">
        <v>3694</v>
      </c>
      <c r="N136" s="6" t="s">
        <v>3806</v>
      </c>
    </row>
    <row r="137" spans="1:14" x14ac:dyDescent="0.25">
      <c r="A137" s="13" t="s">
        <v>1852</v>
      </c>
      <c r="B137" s="6" t="s">
        <v>1897</v>
      </c>
      <c r="C137" s="6" t="s">
        <v>1938</v>
      </c>
      <c r="D137" s="6" t="s">
        <v>1983</v>
      </c>
      <c r="E137" s="6" t="s">
        <v>2028</v>
      </c>
      <c r="F137" s="6" t="s">
        <v>2073</v>
      </c>
      <c r="G137" s="6" t="s">
        <v>2117</v>
      </c>
      <c r="H137" s="6" t="s">
        <v>2162</v>
      </c>
      <c r="I137" s="6" t="s">
        <v>2845</v>
      </c>
      <c r="J137" s="6" t="s">
        <v>2971</v>
      </c>
      <c r="K137" s="6" t="s">
        <v>3096</v>
      </c>
      <c r="L137" s="6" t="s">
        <v>3225</v>
      </c>
      <c r="M137" s="6" t="s">
        <v>3695</v>
      </c>
      <c r="N137" s="6" t="s">
        <v>3807</v>
      </c>
    </row>
    <row r="138" spans="1:14" x14ac:dyDescent="0.25">
      <c r="A138" s="13" t="s">
        <v>563</v>
      </c>
      <c r="B138" s="6" t="s">
        <v>712</v>
      </c>
      <c r="C138" s="6" t="s">
        <v>803</v>
      </c>
      <c r="D138" s="6" t="s">
        <v>894</v>
      </c>
      <c r="E138" s="6" t="s">
        <v>982</v>
      </c>
      <c r="F138" s="6" t="s">
        <v>1072</v>
      </c>
      <c r="G138" s="6" t="s">
        <v>1152</v>
      </c>
      <c r="H138" s="6" t="s">
        <v>1242</v>
      </c>
      <c r="I138" s="6" t="s">
        <v>2846</v>
      </c>
      <c r="J138" s="6" t="s">
        <v>2972</v>
      </c>
      <c r="K138" s="6" t="s">
        <v>3097</v>
      </c>
      <c r="L138" s="6" t="s">
        <v>3226</v>
      </c>
      <c r="M138" s="6" t="s">
        <v>3696</v>
      </c>
      <c r="N138" s="6" t="s">
        <v>3808</v>
      </c>
    </row>
    <row r="139" spans="1:14" x14ac:dyDescent="0.25">
      <c r="A139" s="13" t="s">
        <v>564</v>
      </c>
      <c r="B139" s="6" t="s">
        <v>713</v>
      </c>
      <c r="C139" s="6" t="s">
        <v>804</v>
      </c>
      <c r="D139" s="6" t="s">
        <v>895</v>
      </c>
      <c r="E139" s="6" t="s">
        <v>983</v>
      </c>
      <c r="F139" s="6" t="s">
        <v>1073</v>
      </c>
      <c r="G139" s="6" t="s">
        <v>1153</v>
      </c>
      <c r="H139" s="6" t="s">
        <v>1243</v>
      </c>
      <c r="I139" s="6" t="s">
        <v>2847</v>
      </c>
      <c r="J139" s="6" t="s">
        <v>2972</v>
      </c>
      <c r="K139" s="6" t="s">
        <v>3098</v>
      </c>
      <c r="L139" s="6" t="s">
        <v>3227</v>
      </c>
      <c r="M139" s="6" t="s">
        <v>3697</v>
      </c>
      <c r="N139" s="6" t="s">
        <v>3809</v>
      </c>
    </row>
    <row r="140" spans="1:14" x14ac:dyDescent="0.25">
      <c r="A140" s="13" t="s">
        <v>193</v>
      </c>
      <c r="B140" s="6" t="s">
        <v>194</v>
      </c>
      <c r="C140" s="6" t="s">
        <v>193</v>
      </c>
      <c r="D140" s="6" t="s">
        <v>195</v>
      </c>
      <c r="E140" s="6" t="s">
        <v>196</v>
      </c>
      <c r="F140" s="6" t="s">
        <v>197</v>
      </c>
      <c r="G140" s="6" t="s">
        <v>197</v>
      </c>
      <c r="H140" s="6" t="s">
        <v>198</v>
      </c>
      <c r="I140" s="6" t="s">
        <v>2848</v>
      </c>
      <c r="J140" s="6" t="s">
        <v>2973</v>
      </c>
      <c r="K140" s="6" t="s">
        <v>3099</v>
      </c>
      <c r="L140" s="6" t="s">
        <v>3228</v>
      </c>
      <c r="M140" s="6" t="s">
        <v>2973</v>
      </c>
      <c r="N140" s="6" t="s">
        <v>2848</v>
      </c>
    </row>
    <row r="141" spans="1:14" x14ac:dyDescent="0.25">
      <c r="A141" s="13" t="s">
        <v>565</v>
      </c>
      <c r="B141" s="6" t="s">
        <v>714</v>
      </c>
      <c r="C141" s="6" t="s">
        <v>805</v>
      </c>
      <c r="D141" s="6" t="s">
        <v>896</v>
      </c>
      <c r="E141" s="6" t="s">
        <v>984</v>
      </c>
      <c r="F141" s="6" t="s">
        <v>1074</v>
      </c>
      <c r="G141" s="6" t="s">
        <v>1154</v>
      </c>
      <c r="H141" s="6" t="s">
        <v>1244</v>
      </c>
      <c r="I141" s="6" t="s">
        <v>2849</v>
      </c>
      <c r="J141" s="6" t="s">
        <v>2974</v>
      </c>
      <c r="K141" s="6" t="s">
        <v>3100</v>
      </c>
      <c r="L141" s="6" t="s">
        <v>3229</v>
      </c>
      <c r="M141" s="6" t="s">
        <v>3698</v>
      </c>
      <c r="N141" s="6" t="s">
        <v>3810</v>
      </c>
    </row>
    <row r="142" spans="1:14" x14ac:dyDescent="0.25">
      <c r="A142" s="13" t="s">
        <v>167</v>
      </c>
      <c r="B142" s="6" t="s">
        <v>168</v>
      </c>
      <c r="C142" s="6" t="s">
        <v>169</v>
      </c>
      <c r="D142" s="6" t="s">
        <v>167</v>
      </c>
      <c r="E142" s="6" t="s">
        <v>170</v>
      </c>
      <c r="F142" s="6" t="s">
        <v>167</v>
      </c>
      <c r="G142" s="6" t="s">
        <v>171</v>
      </c>
      <c r="H142" s="6" t="s">
        <v>172</v>
      </c>
      <c r="I142" s="6" t="s">
        <v>2850</v>
      </c>
      <c r="J142" s="6" t="s">
        <v>2975</v>
      </c>
      <c r="K142" s="6" t="s">
        <v>3101</v>
      </c>
      <c r="L142" s="6" t="s">
        <v>3230</v>
      </c>
      <c r="M142" s="6" t="s">
        <v>3699</v>
      </c>
      <c r="N142" s="6" t="s">
        <v>2850</v>
      </c>
    </row>
    <row r="143" spans="1:14" x14ac:dyDescent="0.25">
      <c r="A143" s="13" t="s">
        <v>566</v>
      </c>
      <c r="B143" s="6" t="s">
        <v>1245</v>
      </c>
      <c r="C143" s="6" t="s">
        <v>1313</v>
      </c>
      <c r="D143" s="6" t="s">
        <v>1385</v>
      </c>
      <c r="E143" s="6" t="s">
        <v>1458</v>
      </c>
      <c r="F143" s="6" t="s">
        <v>1531</v>
      </c>
      <c r="G143" s="6" t="s">
        <v>1602</v>
      </c>
      <c r="H143" s="6" t="s">
        <v>1668</v>
      </c>
      <c r="I143" s="6" t="s">
        <v>2851</v>
      </c>
      <c r="J143" s="6" t="s">
        <v>2976</v>
      </c>
      <c r="K143" s="6" t="s">
        <v>3102</v>
      </c>
      <c r="L143" s="6" t="s">
        <v>3231</v>
      </c>
      <c r="M143" s="6" t="s">
        <v>3700</v>
      </c>
      <c r="N143" s="6" t="s">
        <v>3811</v>
      </c>
    </row>
    <row r="144" spans="1:14" x14ac:dyDescent="0.25">
      <c r="A144" s="13" t="s">
        <v>5</v>
      </c>
      <c r="B144" s="6" t="s">
        <v>1246</v>
      </c>
      <c r="C144" s="6" t="s">
        <v>1314</v>
      </c>
      <c r="D144" s="6" t="s">
        <v>1386</v>
      </c>
      <c r="E144" s="6" t="s">
        <v>1459</v>
      </c>
      <c r="F144" s="6" t="s">
        <v>1532</v>
      </c>
      <c r="G144" s="6" t="s">
        <v>1603</v>
      </c>
      <c r="H144" s="6" t="s">
        <v>1669</v>
      </c>
      <c r="I144" s="6" t="s">
        <v>2852</v>
      </c>
      <c r="J144" s="6" t="s">
        <v>2977</v>
      </c>
      <c r="K144" s="6" t="s">
        <v>3103</v>
      </c>
      <c r="L144" s="6" t="s">
        <v>3232</v>
      </c>
      <c r="M144" s="6" t="s">
        <v>3701</v>
      </c>
      <c r="N144" s="6" t="s">
        <v>3812</v>
      </c>
    </row>
    <row r="145" spans="1:14" x14ac:dyDescent="0.25">
      <c r="A145" s="13" t="s">
        <v>23</v>
      </c>
      <c r="B145" s="6" t="s">
        <v>1247</v>
      </c>
      <c r="C145" s="6" t="s">
        <v>1315</v>
      </c>
      <c r="D145" s="6" t="s">
        <v>1387</v>
      </c>
      <c r="E145" s="6" t="s">
        <v>1460</v>
      </c>
      <c r="F145" s="6" t="s">
        <v>1533</v>
      </c>
      <c r="G145" s="6" t="s">
        <v>1387</v>
      </c>
      <c r="H145" s="6" t="s">
        <v>1670</v>
      </c>
      <c r="I145" s="6" t="s">
        <v>2853</v>
      </c>
      <c r="J145" s="6" t="s">
        <v>2978</v>
      </c>
      <c r="K145" s="6" t="s">
        <v>3104</v>
      </c>
      <c r="L145" s="6" t="s">
        <v>3233</v>
      </c>
      <c r="M145" s="6" t="s">
        <v>3702</v>
      </c>
      <c r="N145" s="6" t="s">
        <v>3813</v>
      </c>
    </row>
    <row r="146" spans="1:14" x14ac:dyDescent="0.25">
      <c r="A146" s="13" t="s">
        <v>11</v>
      </c>
      <c r="B146" s="6" t="s">
        <v>1248</v>
      </c>
      <c r="C146" s="6" t="s">
        <v>1316</v>
      </c>
      <c r="D146" s="6" t="s">
        <v>1388</v>
      </c>
      <c r="E146" s="6" t="s">
        <v>1461</v>
      </c>
      <c r="F146" s="6" t="s">
        <v>1534</v>
      </c>
      <c r="G146" s="6" t="s">
        <v>1604</v>
      </c>
      <c r="H146" s="6" t="s">
        <v>1671</v>
      </c>
      <c r="I146" s="6" t="s">
        <v>2854</v>
      </c>
      <c r="J146" s="6" t="s">
        <v>2979</v>
      </c>
      <c r="K146" s="6" t="s">
        <v>3105</v>
      </c>
      <c r="L146" s="6" t="s">
        <v>3234</v>
      </c>
      <c r="M146" s="6" t="s">
        <v>3703</v>
      </c>
      <c r="N146" s="6" t="s">
        <v>3814</v>
      </c>
    </row>
    <row r="147" spans="1:14" x14ac:dyDescent="0.25">
      <c r="A147" s="13" t="s">
        <v>567</v>
      </c>
      <c r="B147" s="6" t="s">
        <v>1249</v>
      </c>
      <c r="C147" s="6" t="s">
        <v>1317</v>
      </c>
      <c r="D147" s="6" t="s">
        <v>1389</v>
      </c>
      <c r="E147" s="6" t="s">
        <v>1462</v>
      </c>
      <c r="F147" s="6" t="s">
        <v>1535</v>
      </c>
      <c r="G147" s="6" t="s">
        <v>1605</v>
      </c>
      <c r="H147" s="6" t="s">
        <v>1672</v>
      </c>
      <c r="I147" s="6" t="s">
        <v>2855</v>
      </c>
      <c r="J147" s="6" t="s">
        <v>2980</v>
      </c>
      <c r="K147" s="6" t="s">
        <v>3106</v>
      </c>
      <c r="L147" s="6" t="s">
        <v>3235</v>
      </c>
      <c r="M147" s="6" t="s">
        <v>3704</v>
      </c>
      <c r="N147" s="6" t="s">
        <v>3815</v>
      </c>
    </row>
    <row r="148" spans="1:14" x14ac:dyDescent="0.25">
      <c r="A148" s="13" t="s">
        <v>568</v>
      </c>
      <c r="B148" s="6" t="s">
        <v>1250</v>
      </c>
      <c r="C148" s="6" t="s">
        <v>1318</v>
      </c>
      <c r="D148" s="6" t="s">
        <v>1390</v>
      </c>
      <c r="E148" s="6" t="s">
        <v>1463</v>
      </c>
      <c r="F148" s="6" t="s">
        <v>1536</v>
      </c>
      <c r="G148" s="6" t="s">
        <v>1606</v>
      </c>
      <c r="H148" s="6" t="s">
        <v>1673</v>
      </c>
      <c r="I148" s="6" t="s">
        <v>2856</v>
      </c>
      <c r="J148" s="6" t="s">
        <v>2981</v>
      </c>
      <c r="K148" s="6" t="s">
        <v>3107</v>
      </c>
      <c r="L148" s="6" t="s">
        <v>3236</v>
      </c>
      <c r="M148" s="6" t="s">
        <v>3705</v>
      </c>
      <c r="N148" s="6" t="s">
        <v>3816</v>
      </c>
    </row>
    <row r="149" spans="1:14" x14ac:dyDescent="0.25">
      <c r="A149" s="13" t="s">
        <v>569</v>
      </c>
      <c r="B149" s="6" t="s">
        <v>1251</v>
      </c>
      <c r="C149" s="6" t="s">
        <v>1319</v>
      </c>
      <c r="D149" s="6" t="s">
        <v>1391</v>
      </c>
      <c r="E149" s="6" t="s">
        <v>1464</v>
      </c>
      <c r="F149" s="6" t="s">
        <v>1537</v>
      </c>
      <c r="G149" s="6" t="s">
        <v>1607</v>
      </c>
      <c r="H149" s="6" t="s">
        <v>1674</v>
      </c>
      <c r="I149" s="6" t="s">
        <v>2857</v>
      </c>
      <c r="J149" s="6" t="s">
        <v>2982</v>
      </c>
      <c r="K149" s="6" t="s">
        <v>3108</v>
      </c>
      <c r="L149" s="6" t="s">
        <v>3237</v>
      </c>
      <c r="M149" s="6" t="s">
        <v>3706</v>
      </c>
      <c r="N149" s="6" t="s">
        <v>3817</v>
      </c>
    </row>
    <row r="150" spans="1:14" x14ac:dyDescent="0.25">
      <c r="A150" s="13" t="s">
        <v>340</v>
      </c>
      <c r="B150" s="6" t="s">
        <v>1252</v>
      </c>
      <c r="C150" s="6" t="s">
        <v>340</v>
      </c>
      <c r="D150" s="6" t="s">
        <v>1392</v>
      </c>
      <c r="E150" s="6" t="s">
        <v>1465</v>
      </c>
      <c r="F150" s="6" t="s">
        <v>1538</v>
      </c>
      <c r="G150" s="6" t="s">
        <v>1608</v>
      </c>
      <c r="H150" s="6" t="s">
        <v>1675</v>
      </c>
      <c r="I150" s="6" t="s">
        <v>2858</v>
      </c>
      <c r="J150" s="6" t="s">
        <v>2983</v>
      </c>
      <c r="K150" s="6" t="s">
        <v>3109</v>
      </c>
      <c r="L150" s="6" t="s">
        <v>3238</v>
      </c>
      <c r="M150" s="6" t="s">
        <v>3707</v>
      </c>
      <c r="N150" s="6" t="s">
        <v>3818</v>
      </c>
    </row>
    <row r="151" spans="1:14" x14ac:dyDescent="0.25">
      <c r="A151" s="13" t="s">
        <v>1</v>
      </c>
      <c r="B151" s="6" t="s">
        <v>136</v>
      </c>
      <c r="C151" s="6" t="s">
        <v>1</v>
      </c>
      <c r="D151" s="6" t="s">
        <v>137</v>
      </c>
      <c r="E151" s="6" t="s">
        <v>138</v>
      </c>
      <c r="F151" s="6" t="s">
        <v>139</v>
      </c>
      <c r="G151" s="6" t="s">
        <v>140</v>
      </c>
      <c r="H151" s="6" t="s">
        <v>141</v>
      </c>
      <c r="I151" s="6" t="s">
        <v>1</v>
      </c>
      <c r="J151" s="6" t="s">
        <v>2984</v>
      </c>
      <c r="K151" s="6" t="s">
        <v>3110</v>
      </c>
      <c r="L151" s="6" t="s">
        <v>3239</v>
      </c>
      <c r="M151" s="6" t="s">
        <v>3708</v>
      </c>
      <c r="N151" s="6" t="s">
        <v>1</v>
      </c>
    </row>
    <row r="152" spans="1:14" x14ac:dyDescent="0.25">
      <c r="A152" s="13" t="s">
        <v>570</v>
      </c>
      <c r="B152" s="6" t="s">
        <v>1253</v>
      </c>
      <c r="C152" s="6" t="s">
        <v>1320</v>
      </c>
      <c r="D152" s="6" t="s">
        <v>1393</v>
      </c>
      <c r="E152" s="6" t="s">
        <v>1466</v>
      </c>
      <c r="F152" s="6" t="s">
        <v>1539</v>
      </c>
      <c r="G152" s="6" t="s">
        <v>1609</v>
      </c>
      <c r="H152" s="6" t="s">
        <v>1676</v>
      </c>
      <c r="I152" s="6" t="s">
        <v>2859</v>
      </c>
      <c r="J152" s="6" t="s">
        <v>2985</v>
      </c>
      <c r="K152" s="6" t="s">
        <v>3111</v>
      </c>
      <c r="L152" s="6" t="s">
        <v>3240</v>
      </c>
      <c r="M152" s="6" t="s">
        <v>3709</v>
      </c>
      <c r="N152" s="6" t="s">
        <v>2859</v>
      </c>
    </row>
    <row r="153" spans="1:14" x14ac:dyDescent="0.25">
      <c r="A153" s="13" t="s">
        <v>571</v>
      </c>
      <c r="B153" s="6" t="s">
        <v>1254</v>
      </c>
      <c r="C153" s="6" t="s">
        <v>1321</v>
      </c>
      <c r="D153" s="6" t="s">
        <v>1394</v>
      </c>
      <c r="E153" s="6" t="s">
        <v>1467</v>
      </c>
      <c r="F153" s="6" t="s">
        <v>1540</v>
      </c>
      <c r="G153" s="6" t="s">
        <v>1610</v>
      </c>
      <c r="H153" s="6" t="s">
        <v>1677</v>
      </c>
      <c r="I153" s="6" t="s">
        <v>2860</v>
      </c>
      <c r="J153" s="6" t="s">
        <v>2986</v>
      </c>
      <c r="K153" s="6" t="s">
        <v>3112</v>
      </c>
      <c r="L153" s="6" t="s">
        <v>3241</v>
      </c>
      <c r="M153" s="6" t="s">
        <v>3710</v>
      </c>
      <c r="N153" s="6" t="s">
        <v>3819</v>
      </c>
    </row>
    <row r="154" spans="1:14" x14ac:dyDescent="0.25">
      <c r="A154" s="13" t="s">
        <v>213</v>
      </c>
      <c r="B154" s="6" t="s">
        <v>214</v>
      </c>
      <c r="C154" s="6" t="s">
        <v>215</v>
      </c>
      <c r="D154" s="6" t="s">
        <v>216</v>
      </c>
      <c r="E154" s="6" t="s">
        <v>217</v>
      </c>
      <c r="F154" s="6" t="s">
        <v>218</v>
      </c>
      <c r="G154" s="6" t="s">
        <v>219</v>
      </c>
      <c r="H154" s="6" t="s">
        <v>220</v>
      </c>
      <c r="I154" s="6" t="s">
        <v>2861</v>
      </c>
      <c r="J154" s="6" t="s">
        <v>2987</v>
      </c>
      <c r="K154" s="6" t="s">
        <v>3113</v>
      </c>
      <c r="L154" s="6" t="s">
        <v>3242</v>
      </c>
      <c r="M154" s="6" t="s">
        <v>3711</v>
      </c>
      <c r="N154" s="6" t="s">
        <v>3820</v>
      </c>
    </row>
    <row r="155" spans="1:14" x14ac:dyDescent="0.25">
      <c r="A155" s="13" t="s">
        <v>205</v>
      </c>
      <c r="B155" s="6" t="s">
        <v>206</v>
      </c>
      <c r="C155" s="6" t="s">
        <v>207</v>
      </c>
      <c r="D155" s="6" t="s">
        <v>208</v>
      </c>
      <c r="E155" s="6" t="s">
        <v>209</v>
      </c>
      <c r="F155" s="6" t="s">
        <v>210</v>
      </c>
      <c r="G155" s="6" t="s">
        <v>211</v>
      </c>
      <c r="H155" s="6" t="s">
        <v>212</v>
      </c>
      <c r="I155" s="6" t="s">
        <v>2862</v>
      </c>
      <c r="J155" s="6" t="s">
        <v>2988</v>
      </c>
      <c r="K155" s="6" t="s">
        <v>3114</v>
      </c>
      <c r="L155" s="6" t="s">
        <v>3243</v>
      </c>
      <c r="M155" s="6" t="s">
        <v>3712</v>
      </c>
      <c r="N155" s="6" t="s">
        <v>3821</v>
      </c>
    </row>
    <row r="156" spans="1:14" x14ac:dyDescent="0.25">
      <c r="A156" s="13" t="s">
        <v>180</v>
      </c>
      <c r="B156" s="6" t="s">
        <v>1255</v>
      </c>
      <c r="C156" s="6" t="s">
        <v>181</v>
      </c>
      <c r="D156" s="6" t="s">
        <v>182</v>
      </c>
      <c r="E156" s="6" t="s">
        <v>183</v>
      </c>
      <c r="F156" s="6" t="s">
        <v>184</v>
      </c>
      <c r="G156" s="6" t="s">
        <v>185</v>
      </c>
      <c r="H156" s="6" t="s">
        <v>186</v>
      </c>
      <c r="I156" s="6" t="s">
        <v>2863</v>
      </c>
      <c r="J156" s="6" t="s">
        <v>2989</v>
      </c>
      <c r="K156" s="6" t="s">
        <v>3115</v>
      </c>
      <c r="L156" s="6" t="s">
        <v>3244</v>
      </c>
      <c r="M156" s="6" t="s">
        <v>3713</v>
      </c>
      <c r="N156" s="6" t="s">
        <v>3822</v>
      </c>
    </row>
    <row r="157" spans="1:14" x14ac:dyDescent="0.25">
      <c r="A157" s="13" t="s">
        <v>155</v>
      </c>
      <c r="B157" s="6" t="s">
        <v>156</v>
      </c>
      <c r="C157" s="6" t="s">
        <v>157</v>
      </c>
      <c r="D157" s="6" t="s">
        <v>158</v>
      </c>
      <c r="E157" s="6" t="s">
        <v>159</v>
      </c>
      <c r="F157" s="6" t="s">
        <v>160</v>
      </c>
      <c r="G157" s="6" t="s">
        <v>161</v>
      </c>
      <c r="H157" s="6" t="s">
        <v>162</v>
      </c>
      <c r="I157" s="6" t="s">
        <v>2864</v>
      </c>
      <c r="J157" s="6" t="s">
        <v>2990</v>
      </c>
      <c r="K157" s="6" t="s">
        <v>3116</v>
      </c>
      <c r="L157" s="6" t="s">
        <v>3245</v>
      </c>
      <c r="M157" s="6" t="s">
        <v>3714</v>
      </c>
      <c r="N157" s="6" t="s">
        <v>3823</v>
      </c>
    </row>
    <row r="158" spans="1:14" x14ac:dyDescent="0.25">
      <c r="A158" s="13" t="s">
        <v>572</v>
      </c>
      <c r="B158" s="6" t="s">
        <v>1256</v>
      </c>
      <c r="C158" s="6" t="s">
        <v>1322</v>
      </c>
      <c r="D158" s="6" t="s">
        <v>1395</v>
      </c>
      <c r="E158" s="6" t="s">
        <v>1468</v>
      </c>
      <c r="F158" s="6" t="s">
        <v>1541</v>
      </c>
      <c r="G158" s="6" t="s">
        <v>1611</v>
      </c>
      <c r="H158" s="6" t="s">
        <v>1678</v>
      </c>
      <c r="I158" s="6" t="s">
        <v>2865</v>
      </c>
      <c r="J158" s="6" t="s">
        <v>2991</v>
      </c>
      <c r="K158" s="6" t="s">
        <v>3117</v>
      </c>
      <c r="L158" s="6" t="s">
        <v>3246</v>
      </c>
      <c r="M158" s="6" t="s">
        <v>3715</v>
      </c>
      <c r="N158" s="6" t="s">
        <v>3824</v>
      </c>
    </row>
    <row r="159" spans="1:14" x14ac:dyDescent="0.25">
      <c r="A159" s="13" t="s">
        <v>573</v>
      </c>
      <c r="B159" s="6" t="s">
        <v>1257</v>
      </c>
      <c r="C159" s="6" t="s">
        <v>1323</v>
      </c>
      <c r="D159" s="6" t="s">
        <v>1396</v>
      </c>
      <c r="E159" s="6" t="s">
        <v>1469</v>
      </c>
      <c r="F159" s="6" t="s">
        <v>1542</v>
      </c>
      <c r="G159" s="6" t="s">
        <v>1612</v>
      </c>
      <c r="H159" s="6" t="s">
        <v>1679</v>
      </c>
      <c r="I159" s="6" t="s">
        <v>2866</v>
      </c>
      <c r="J159" s="6" t="s">
        <v>2992</v>
      </c>
      <c r="K159" s="6" t="s">
        <v>3118</v>
      </c>
      <c r="L159" s="6" t="s">
        <v>3247</v>
      </c>
      <c r="M159" s="6" t="s">
        <v>3716</v>
      </c>
      <c r="N159" s="6" t="s">
        <v>3825</v>
      </c>
    </row>
    <row r="160" spans="1:14" x14ac:dyDescent="0.25">
      <c r="A160" s="13" t="s">
        <v>116</v>
      </c>
      <c r="B160" s="6" t="s">
        <v>1258</v>
      </c>
      <c r="C160" s="6" t="s">
        <v>1324</v>
      </c>
      <c r="D160" s="6" t="s">
        <v>1397</v>
      </c>
      <c r="E160" s="6" t="s">
        <v>117</v>
      </c>
      <c r="F160" s="6" t="s">
        <v>118</v>
      </c>
      <c r="G160" s="6" t="s">
        <v>119</v>
      </c>
      <c r="H160" s="6" t="s">
        <v>120</v>
      </c>
      <c r="I160" s="6" t="s">
        <v>2867</v>
      </c>
      <c r="J160" s="6" t="s">
        <v>2993</v>
      </c>
      <c r="K160" s="6" t="s">
        <v>3119</v>
      </c>
      <c r="L160" s="6" t="s">
        <v>3248</v>
      </c>
      <c r="M160" s="6" t="s">
        <v>3717</v>
      </c>
      <c r="N160" s="6" t="s">
        <v>3826</v>
      </c>
    </row>
    <row r="161" spans="1:14" x14ac:dyDescent="0.25">
      <c r="A161" s="13" t="s">
        <v>317</v>
      </c>
      <c r="B161" s="6" t="s">
        <v>3466</v>
      </c>
      <c r="C161" s="6" t="s">
        <v>318</v>
      </c>
      <c r="D161" s="6" t="s">
        <v>319</v>
      </c>
      <c r="E161" s="6" t="s">
        <v>320</v>
      </c>
      <c r="F161" s="6" t="s">
        <v>321</v>
      </c>
      <c r="G161" s="6" t="s">
        <v>322</v>
      </c>
      <c r="H161" s="6" t="s">
        <v>323</v>
      </c>
      <c r="I161" s="6" t="s">
        <v>2868</v>
      </c>
      <c r="J161" s="6" t="s">
        <v>2994</v>
      </c>
      <c r="K161" s="6" t="s">
        <v>3120</v>
      </c>
      <c r="L161" s="6" t="s">
        <v>3249</v>
      </c>
      <c r="M161" s="6" t="s">
        <v>3718</v>
      </c>
      <c r="N161" s="6" t="s">
        <v>3827</v>
      </c>
    </row>
    <row r="162" spans="1:14" x14ac:dyDescent="0.25">
      <c r="A162" s="13" t="s">
        <v>262</v>
      </c>
      <c r="B162" s="6" t="s">
        <v>263</v>
      </c>
      <c r="C162" s="6" t="s">
        <v>264</v>
      </c>
      <c r="D162" s="6" t="s">
        <v>265</v>
      </c>
      <c r="E162" s="6" t="s">
        <v>266</v>
      </c>
      <c r="F162" s="6" t="s">
        <v>267</v>
      </c>
      <c r="G162" s="6" t="s">
        <v>268</v>
      </c>
      <c r="H162" s="6" t="s">
        <v>269</v>
      </c>
      <c r="I162" s="6" t="s">
        <v>2869</v>
      </c>
      <c r="J162" s="6" t="s">
        <v>2995</v>
      </c>
      <c r="K162" s="6" t="s">
        <v>3121</v>
      </c>
      <c r="L162" s="6" t="s">
        <v>3250</v>
      </c>
      <c r="M162" s="6" t="s">
        <v>3719</v>
      </c>
      <c r="N162" s="6" t="s">
        <v>3828</v>
      </c>
    </row>
    <row r="163" spans="1:14" x14ac:dyDescent="0.25">
      <c r="A163" s="13" t="s">
        <v>574</v>
      </c>
      <c r="B163" s="6" t="s">
        <v>1828</v>
      </c>
      <c r="C163" s="6" t="s">
        <v>1325</v>
      </c>
      <c r="D163" s="6" t="s">
        <v>1398</v>
      </c>
      <c r="E163" s="6" t="s">
        <v>1470</v>
      </c>
      <c r="F163" s="6" t="s">
        <v>1543</v>
      </c>
      <c r="G163" s="6" t="s">
        <v>1613</v>
      </c>
      <c r="H163" s="6" t="s">
        <v>1680</v>
      </c>
      <c r="I163" s="6" t="s">
        <v>2870</v>
      </c>
      <c r="J163" s="6" t="s">
        <v>2996</v>
      </c>
      <c r="K163" s="6" t="s">
        <v>3122</v>
      </c>
      <c r="L163" s="6" t="s">
        <v>3251</v>
      </c>
      <c r="M163" s="6" t="s">
        <v>3720</v>
      </c>
      <c r="N163" s="6" t="s">
        <v>3829</v>
      </c>
    </row>
    <row r="164" spans="1:14" x14ac:dyDescent="0.25">
      <c r="A164" s="13" t="s">
        <v>575</v>
      </c>
      <c r="B164" s="6" t="s">
        <v>1833</v>
      </c>
      <c r="C164" s="6" t="s">
        <v>1326</v>
      </c>
      <c r="D164" s="6" t="s">
        <v>1399</v>
      </c>
      <c r="E164" s="6" t="s">
        <v>1471</v>
      </c>
      <c r="F164" s="6" t="s">
        <v>1544</v>
      </c>
      <c r="G164" s="6" t="s">
        <v>1614</v>
      </c>
      <c r="H164" s="6" t="s">
        <v>1681</v>
      </c>
      <c r="I164" s="6" t="s">
        <v>2871</v>
      </c>
      <c r="J164" s="6" t="s">
        <v>2997</v>
      </c>
      <c r="K164" s="6" t="s">
        <v>3123</v>
      </c>
      <c r="L164" s="6" t="s">
        <v>3252</v>
      </c>
      <c r="M164" s="6" t="s">
        <v>3721</v>
      </c>
      <c r="N164" s="6" t="s">
        <v>3830</v>
      </c>
    </row>
    <row r="165" spans="1:14" x14ac:dyDescent="0.25">
      <c r="A165" s="13" t="s">
        <v>1840</v>
      </c>
      <c r="B165" s="6" t="s">
        <v>1894</v>
      </c>
      <c r="C165" s="6" t="s">
        <v>1935</v>
      </c>
      <c r="D165" s="6" t="s">
        <v>1980</v>
      </c>
      <c r="E165" s="6" t="s">
        <v>2025</v>
      </c>
      <c r="F165" s="6" t="s">
        <v>2070</v>
      </c>
      <c r="G165" s="6" t="s">
        <v>2115</v>
      </c>
      <c r="H165" s="6" t="s">
        <v>2159</v>
      </c>
      <c r="I165" s="6" t="s">
        <v>2872</v>
      </c>
      <c r="J165" s="6" t="s">
        <v>2998</v>
      </c>
      <c r="K165" s="6" t="s">
        <v>3124</v>
      </c>
      <c r="L165" s="6" t="s">
        <v>3253</v>
      </c>
      <c r="M165" s="6" t="s">
        <v>3722</v>
      </c>
      <c r="N165" s="6" t="s">
        <v>3831</v>
      </c>
    </row>
    <row r="166" spans="1:14" x14ac:dyDescent="0.25">
      <c r="A166" s="13" t="s">
        <v>199</v>
      </c>
      <c r="B166" s="6" t="s">
        <v>200</v>
      </c>
      <c r="C166" s="6" t="s">
        <v>201</v>
      </c>
      <c r="D166" s="6" t="s">
        <v>202</v>
      </c>
      <c r="E166" s="6" t="s">
        <v>199</v>
      </c>
      <c r="F166" s="6" t="s">
        <v>203</v>
      </c>
      <c r="G166" s="6" t="s">
        <v>202</v>
      </c>
      <c r="H166" s="6" t="s">
        <v>204</v>
      </c>
      <c r="I166" s="6" t="s">
        <v>2873</v>
      </c>
      <c r="J166" s="6" t="s">
        <v>2999</v>
      </c>
      <c r="K166" s="6" t="s">
        <v>3125</v>
      </c>
      <c r="L166" s="6" t="s">
        <v>3254</v>
      </c>
      <c r="M166" s="6" t="s">
        <v>3723</v>
      </c>
      <c r="N166" s="6" t="s">
        <v>2873</v>
      </c>
    </row>
    <row r="167" spans="1:14" x14ac:dyDescent="0.25">
      <c r="A167" s="13" t="s">
        <v>576</v>
      </c>
      <c r="B167" s="6" t="s">
        <v>1259</v>
      </c>
      <c r="C167" s="6" t="s">
        <v>1327</v>
      </c>
      <c r="D167" s="6" t="s">
        <v>1400</v>
      </c>
      <c r="E167" s="6" t="s">
        <v>1472</v>
      </c>
      <c r="F167" s="6" t="s">
        <v>1545</v>
      </c>
      <c r="G167" s="6" t="s">
        <v>1615</v>
      </c>
      <c r="H167" s="6" t="s">
        <v>1682</v>
      </c>
      <c r="I167" s="6" t="s">
        <v>2874</v>
      </c>
      <c r="J167" s="6" t="s">
        <v>3000</v>
      </c>
      <c r="K167" s="6" t="s">
        <v>3126</v>
      </c>
      <c r="L167" s="6" t="s">
        <v>3255</v>
      </c>
      <c r="M167" s="6" t="s">
        <v>3724</v>
      </c>
      <c r="N167" s="6" t="s">
        <v>3832</v>
      </c>
    </row>
    <row r="168" spans="1:14" x14ac:dyDescent="0.25">
      <c r="A168" s="13" t="s">
        <v>577</v>
      </c>
      <c r="B168" s="6" t="s">
        <v>1260</v>
      </c>
      <c r="C168" s="6" t="s">
        <v>1328</v>
      </c>
      <c r="D168" s="6" t="s">
        <v>1401</v>
      </c>
      <c r="E168" s="6" t="s">
        <v>1473</v>
      </c>
      <c r="F168" s="6" t="s">
        <v>1546</v>
      </c>
      <c r="G168" s="6" t="s">
        <v>1616</v>
      </c>
      <c r="H168" s="6" t="s">
        <v>1683</v>
      </c>
      <c r="I168" s="6" t="s">
        <v>2875</v>
      </c>
      <c r="J168" s="6" t="s">
        <v>3001</v>
      </c>
      <c r="K168" s="6" t="s">
        <v>3127</v>
      </c>
      <c r="L168" s="6" t="s">
        <v>3256</v>
      </c>
      <c r="M168" s="6" t="s">
        <v>3725</v>
      </c>
      <c r="N168" s="6" t="s">
        <v>3833</v>
      </c>
    </row>
    <row r="169" spans="1:14" x14ac:dyDescent="0.25">
      <c r="A169" s="13" t="s">
        <v>2288</v>
      </c>
      <c r="B169" s="6" t="s">
        <v>2290</v>
      </c>
      <c r="C169" s="6" t="s">
        <v>2292</v>
      </c>
      <c r="D169" s="6" t="s">
        <v>2294</v>
      </c>
      <c r="E169" s="6" t="s">
        <v>2296</v>
      </c>
      <c r="F169" s="6" t="s">
        <v>2298</v>
      </c>
      <c r="G169" s="6" t="s">
        <v>2300</v>
      </c>
      <c r="H169" s="6" t="s">
        <v>2301</v>
      </c>
      <c r="I169" s="6" t="s">
        <v>2876</v>
      </c>
      <c r="J169" s="6" t="s">
        <v>3002</v>
      </c>
      <c r="K169" s="6" t="s">
        <v>3128</v>
      </c>
      <c r="L169" s="6" t="s">
        <v>3257</v>
      </c>
      <c r="M169" s="6" t="s">
        <v>3726</v>
      </c>
      <c r="N169" s="6" t="s">
        <v>3834</v>
      </c>
    </row>
    <row r="170" spans="1:14" x14ac:dyDescent="0.25">
      <c r="A170" s="13" t="s">
        <v>32</v>
      </c>
      <c r="B170" s="6" t="s">
        <v>1261</v>
      </c>
      <c r="C170" s="6" t="s">
        <v>1329</v>
      </c>
      <c r="D170" s="6" t="s">
        <v>1402</v>
      </c>
      <c r="E170" s="6" t="s">
        <v>1474</v>
      </c>
      <c r="F170" s="6" t="s">
        <v>1547</v>
      </c>
      <c r="G170" s="6" t="s">
        <v>1617</v>
      </c>
      <c r="H170" s="6" t="s">
        <v>1684</v>
      </c>
      <c r="I170" s="6" t="s">
        <v>2877</v>
      </c>
      <c r="J170" s="6" t="s">
        <v>3003</v>
      </c>
      <c r="K170" s="6" t="s">
        <v>3129</v>
      </c>
      <c r="L170" s="6" t="s">
        <v>3258</v>
      </c>
      <c r="M170" s="6" t="s">
        <v>3727</v>
      </c>
      <c r="N170" s="6" t="s">
        <v>3835</v>
      </c>
    </row>
    <row r="171" spans="1:14" x14ac:dyDescent="0.25">
      <c r="A171" s="13" t="s">
        <v>31</v>
      </c>
      <c r="B171" s="6" t="s">
        <v>1262</v>
      </c>
      <c r="C171" s="6" t="s">
        <v>1330</v>
      </c>
      <c r="D171" s="6" t="s">
        <v>1403</v>
      </c>
      <c r="E171" s="6" t="s">
        <v>1475</v>
      </c>
      <c r="F171" s="6" t="s">
        <v>1548</v>
      </c>
      <c r="G171" s="6" t="s">
        <v>1618</v>
      </c>
      <c r="H171" s="6" t="s">
        <v>1685</v>
      </c>
      <c r="I171" s="6" t="s">
        <v>2878</v>
      </c>
      <c r="J171" s="6" t="s">
        <v>3004</v>
      </c>
      <c r="K171" s="6" t="s">
        <v>3130</v>
      </c>
      <c r="L171" s="6" t="s">
        <v>3259</v>
      </c>
      <c r="M171" s="6" t="s">
        <v>3728</v>
      </c>
      <c r="N171" s="6" t="s">
        <v>3836</v>
      </c>
    </row>
    <row r="172" spans="1:14" x14ac:dyDescent="0.25">
      <c r="A172" s="13" t="s">
        <v>578</v>
      </c>
      <c r="B172" s="6" t="s">
        <v>1263</v>
      </c>
      <c r="C172" s="6" t="s">
        <v>1331</v>
      </c>
      <c r="D172" s="6" t="s">
        <v>1404</v>
      </c>
      <c r="E172" s="6" t="s">
        <v>1476</v>
      </c>
      <c r="F172" s="6" t="s">
        <v>1549</v>
      </c>
      <c r="G172" s="6" t="s">
        <v>1619</v>
      </c>
      <c r="H172" s="6" t="s">
        <v>1686</v>
      </c>
      <c r="I172" s="6" t="s">
        <v>2879</v>
      </c>
      <c r="J172" s="6" t="s">
        <v>3005</v>
      </c>
      <c r="K172" s="6" t="s">
        <v>3131</v>
      </c>
      <c r="L172" s="6" t="s">
        <v>3260</v>
      </c>
      <c r="M172" s="6" t="s">
        <v>3729</v>
      </c>
      <c r="N172" s="6" t="s">
        <v>3837</v>
      </c>
    </row>
    <row r="173" spans="1:14" x14ac:dyDescent="0.25">
      <c r="A173" s="13" t="s">
        <v>3</v>
      </c>
      <c r="B173" s="6" t="s">
        <v>148</v>
      </c>
      <c r="C173" s="6" t="s">
        <v>149</v>
      </c>
      <c r="D173" s="6" t="s">
        <v>150</v>
      </c>
      <c r="E173" s="6" t="s">
        <v>151</v>
      </c>
      <c r="F173" s="6" t="s">
        <v>152</v>
      </c>
      <c r="G173" s="6" t="s">
        <v>153</v>
      </c>
      <c r="H173" s="6" t="s">
        <v>154</v>
      </c>
      <c r="I173" s="6" t="s">
        <v>2880</v>
      </c>
      <c r="J173" s="6" t="s">
        <v>3006</v>
      </c>
      <c r="K173" s="6" t="s">
        <v>3132</v>
      </c>
      <c r="L173" s="6" t="s">
        <v>3261</v>
      </c>
      <c r="M173" s="6" t="s">
        <v>154</v>
      </c>
      <c r="N173" s="6" t="s">
        <v>3838</v>
      </c>
    </row>
    <row r="174" spans="1:14" x14ac:dyDescent="0.25">
      <c r="A174" s="13" t="s">
        <v>579</v>
      </c>
      <c r="B174" s="6" t="s">
        <v>1838</v>
      </c>
      <c r="C174" s="6" t="s">
        <v>1332</v>
      </c>
      <c r="D174" s="6" t="s">
        <v>1405</v>
      </c>
      <c r="E174" s="6" t="s">
        <v>1477</v>
      </c>
      <c r="F174" s="6" t="s">
        <v>1550</v>
      </c>
      <c r="G174" s="6" t="s">
        <v>1620</v>
      </c>
      <c r="H174" s="6" t="s">
        <v>1687</v>
      </c>
      <c r="I174" s="6" t="s">
        <v>2881</v>
      </c>
      <c r="J174" s="6" t="s">
        <v>3007</v>
      </c>
      <c r="K174" s="6" t="s">
        <v>3133</v>
      </c>
      <c r="L174" s="6" t="s">
        <v>3262</v>
      </c>
      <c r="M174" s="6" t="s">
        <v>3730</v>
      </c>
      <c r="N174" s="6" t="s">
        <v>3839</v>
      </c>
    </row>
    <row r="175" spans="1:14" x14ac:dyDescent="0.25">
      <c r="A175" s="13" t="s">
        <v>580</v>
      </c>
      <c r="B175" s="6" t="s">
        <v>1844</v>
      </c>
      <c r="C175" s="6" t="s">
        <v>1333</v>
      </c>
      <c r="D175" s="6" t="s">
        <v>1406</v>
      </c>
      <c r="E175" s="6" t="s">
        <v>1478</v>
      </c>
      <c r="F175" s="6" t="s">
        <v>1551</v>
      </c>
      <c r="G175" s="6" t="s">
        <v>1621</v>
      </c>
      <c r="H175" s="6" t="s">
        <v>1688</v>
      </c>
      <c r="I175" s="6" t="s">
        <v>2882</v>
      </c>
      <c r="J175" s="6" t="s">
        <v>3008</v>
      </c>
      <c r="K175" s="6" t="s">
        <v>3134</v>
      </c>
      <c r="L175" s="6" t="s">
        <v>3263</v>
      </c>
      <c r="M175" s="6" t="s">
        <v>3731</v>
      </c>
      <c r="N175" s="6" t="s">
        <v>3840</v>
      </c>
    </row>
    <row r="176" spans="1:14" x14ac:dyDescent="0.25">
      <c r="A176" s="13" t="s">
        <v>324</v>
      </c>
      <c r="B176" s="6" t="s">
        <v>325</v>
      </c>
      <c r="C176" s="6" t="s">
        <v>326</v>
      </c>
      <c r="D176" s="6" t="s">
        <v>327</v>
      </c>
      <c r="E176" s="6" t="s">
        <v>328</v>
      </c>
      <c r="F176" s="6" t="s">
        <v>329</v>
      </c>
      <c r="G176" s="6" t="s">
        <v>330</v>
      </c>
      <c r="H176" s="6" t="s">
        <v>331</v>
      </c>
      <c r="I176" s="6" t="s">
        <v>2883</v>
      </c>
      <c r="J176" s="6" t="s">
        <v>3009</v>
      </c>
      <c r="K176" s="6" t="s">
        <v>3135</v>
      </c>
      <c r="L176" s="6" t="s">
        <v>3264</v>
      </c>
      <c r="M176" s="6" t="s">
        <v>3732</v>
      </c>
      <c r="N176" s="6" t="s">
        <v>3841</v>
      </c>
    </row>
    <row r="177" spans="1:14" x14ac:dyDescent="0.25">
      <c r="A177" s="13" t="s">
        <v>581</v>
      </c>
      <c r="B177" s="6" t="s">
        <v>1264</v>
      </c>
      <c r="C177" s="6" t="s">
        <v>1334</v>
      </c>
      <c r="D177" s="6" t="s">
        <v>1407</v>
      </c>
      <c r="E177" s="6" t="s">
        <v>1479</v>
      </c>
      <c r="F177" s="6" t="s">
        <v>1552</v>
      </c>
      <c r="G177" s="6" t="s">
        <v>581</v>
      </c>
      <c r="H177" s="6" t="s">
        <v>1689</v>
      </c>
      <c r="I177" s="6" t="s">
        <v>2884</v>
      </c>
      <c r="J177" s="6" t="s">
        <v>3010</v>
      </c>
      <c r="K177" s="6" t="s">
        <v>3136</v>
      </c>
      <c r="L177" s="6" t="s">
        <v>3265</v>
      </c>
      <c r="M177" s="6" t="s">
        <v>3733</v>
      </c>
      <c r="N177" s="6" t="s">
        <v>3842</v>
      </c>
    </row>
    <row r="178" spans="1:14" x14ac:dyDescent="0.25">
      <c r="A178" s="13" t="s">
        <v>582</v>
      </c>
      <c r="B178" s="6" t="s">
        <v>1265</v>
      </c>
      <c r="C178" s="6" t="s">
        <v>1335</v>
      </c>
      <c r="D178" s="6" t="s">
        <v>1408</v>
      </c>
      <c r="E178" s="6" t="s">
        <v>1480</v>
      </c>
      <c r="F178" s="6" t="s">
        <v>1553</v>
      </c>
      <c r="G178" s="6" t="s">
        <v>1622</v>
      </c>
      <c r="H178" s="6" t="s">
        <v>1690</v>
      </c>
      <c r="I178" s="6" t="s">
        <v>2885</v>
      </c>
      <c r="J178" s="6" t="s">
        <v>3011</v>
      </c>
      <c r="K178" s="6" t="s">
        <v>3137</v>
      </c>
      <c r="L178" s="6" t="s">
        <v>3266</v>
      </c>
      <c r="M178" s="6" t="s">
        <v>3734</v>
      </c>
      <c r="N178" s="6" t="s">
        <v>3843</v>
      </c>
    </row>
    <row r="179" spans="1:14" x14ac:dyDescent="0.25">
      <c r="A179" s="13" t="s">
        <v>0</v>
      </c>
      <c r="B179" s="6" t="s">
        <v>129</v>
      </c>
      <c r="C179" s="6" t="s">
        <v>130</v>
      </c>
      <c r="D179" s="6" t="s">
        <v>131</v>
      </c>
      <c r="E179" s="6" t="s">
        <v>132</v>
      </c>
      <c r="F179" s="6" t="s">
        <v>133</v>
      </c>
      <c r="G179" s="6" t="s">
        <v>134</v>
      </c>
      <c r="H179" s="6" t="s">
        <v>135</v>
      </c>
      <c r="I179" s="6" t="s">
        <v>2886</v>
      </c>
      <c r="J179" s="6" t="s">
        <v>135</v>
      </c>
      <c r="K179" s="6" t="s">
        <v>3138</v>
      </c>
      <c r="L179" s="6" t="s">
        <v>3267</v>
      </c>
      <c r="M179" s="6" t="s">
        <v>3735</v>
      </c>
      <c r="N179" s="6" t="s">
        <v>2886</v>
      </c>
    </row>
    <row r="180" spans="1:14" x14ac:dyDescent="0.25">
      <c r="A180" s="13" t="s">
        <v>583</v>
      </c>
      <c r="B180" s="6" t="s">
        <v>1266</v>
      </c>
      <c r="C180" s="6" t="s">
        <v>1336</v>
      </c>
      <c r="D180" s="6" t="s">
        <v>1409</v>
      </c>
      <c r="E180" s="6" t="s">
        <v>1481</v>
      </c>
      <c r="F180" s="6" t="s">
        <v>1554</v>
      </c>
      <c r="G180" s="6" t="s">
        <v>1623</v>
      </c>
      <c r="H180" s="6" t="s">
        <v>1691</v>
      </c>
      <c r="I180" s="6" t="s">
        <v>2887</v>
      </c>
      <c r="J180" s="6" t="s">
        <v>3012</v>
      </c>
      <c r="K180" s="6" t="s">
        <v>3139</v>
      </c>
      <c r="L180" s="6" t="s">
        <v>3268</v>
      </c>
      <c r="M180" s="6" t="s">
        <v>3736</v>
      </c>
      <c r="N180" s="6" t="s">
        <v>3844</v>
      </c>
    </row>
    <row r="181" spans="1:14" x14ac:dyDescent="0.25">
      <c r="A181" s="13" t="s">
        <v>584</v>
      </c>
      <c r="B181" s="6" t="s">
        <v>1267</v>
      </c>
      <c r="C181" s="6" t="s">
        <v>1337</v>
      </c>
      <c r="D181" s="6" t="s">
        <v>1410</v>
      </c>
      <c r="E181" s="6" t="s">
        <v>1482</v>
      </c>
      <c r="F181" s="6" t="s">
        <v>1555</v>
      </c>
      <c r="G181" s="6" t="s">
        <v>1624</v>
      </c>
      <c r="H181" s="6" t="s">
        <v>1692</v>
      </c>
      <c r="I181" s="6" t="s">
        <v>2888</v>
      </c>
      <c r="J181" s="6" t="s">
        <v>3013</v>
      </c>
      <c r="K181" s="6" t="s">
        <v>3140</v>
      </c>
      <c r="L181" s="6" t="s">
        <v>3269</v>
      </c>
      <c r="M181" s="6" t="s">
        <v>3737</v>
      </c>
      <c r="N181" s="6" t="s">
        <v>3845</v>
      </c>
    </row>
    <row r="182" spans="1:14" x14ac:dyDescent="0.25">
      <c r="A182" s="13" t="s">
        <v>585</v>
      </c>
      <c r="B182" s="6" t="s">
        <v>1268</v>
      </c>
      <c r="C182" s="6" t="s">
        <v>1338</v>
      </c>
      <c r="D182" s="6" t="s">
        <v>1411</v>
      </c>
      <c r="E182" s="6" t="s">
        <v>1483</v>
      </c>
      <c r="F182" s="6" t="s">
        <v>1556</v>
      </c>
      <c r="G182" s="6" t="s">
        <v>1625</v>
      </c>
      <c r="H182" s="6" t="s">
        <v>1693</v>
      </c>
      <c r="I182" s="6" t="s">
        <v>2889</v>
      </c>
      <c r="J182" s="6" t="s">
        <v>3014</v>
      </c>
      <c r="K182" s="6" t="s">
        <v>3141</v>
      </c>
      <c r="L182" s="6" t="s">
        <v>3270</v>
      </c>
      <c r="M182" s="6" t="s">
        <v>3738</v>
      </c>
      <c r="N182" s="6" t="s">
        <v>3846</v>
      </c>
    </row>
    <row r="183" spans="1:14" x14ac:dyDescent="0.25">
      <c r="A183" s="13" t="s">
        <v>586</v>
      </c>
      <c r="B183" s="6" t="s">
        <v>1269</v>
      </c>
      <c r="C183" s="6" t="s">
        <v>1339</v>
      </c>
      <c r="D183" s="6" t="s">
        <v>1412</v>
      </c>
      <c r="E183" s="6" t="s">
        <v>1484</v>
      </c>
      <c r="F183" s="6" t="s">
        <v>1557</v>
      </c>
      <c r="G183" s="6" t="s">
        <v>1626</v>
      </c>
      <c r="H183" s="6" t="s">
        <v>1694</v>
      </c>
      <c r="I183" s="6" t="s">
        <v>2890</v>
      </c>
      <c r="J183" s="6" t="s">
        <v>3015</v>
      </c>
      <c r="K183" s="6" t="s">
        <v>3142</v>
      </c>
      <c r="L183" s="6" t="s">
        <v>3271</v>
      </c>
      <c r="M183" s="6" t="s">
        <v>3739</v>
      </c>
      <c r="N183" s="6" t="s">
        <v>2890</v>
      </c>
    </row>
    <row r="184" spans="1:14" x14ac:dyDescent="0.25">
      <c r="A184" s="13" t="s">
        <v>26</v>
      </c>
      <c r="B184" s="6" t="s">
        <v>1270</v>
      </c>
      <c r="C184" s="6" t="s">
        <v>1340</v>
      </c>
      <c r="D184" s="6" t="s">
        <v>1413</v>
      </c>
      <c r="E184" s="6" t="s">
        <v>1485</v>
      </c>
      <c r="F184" s="6" t="s">
        <v>1558</v>
      </c>
      <c r="G184" s="6" t="s">
        <v>1627</v>
      </c>
      <c r="H184" s="6" t="s">
        <v>1695</v>
      </c>
      <c r="I184" s="6" t="s">
        <v>2891</v>
      </c>
      <c r="J184" s="6" t="s">
        <v>3016</v>
      </c>
      <c r="K184" s="6" t="s">
        <v>3143</v>
      </c>
      <c r="L184" s="6" t="s">
        <v>3272</v>
      </c>
      <c r="M184" s="6" t="s">
        <v>3740</v>
      </c>
      <c r="N184" s="6" t="s">
        <v>3847</v>
      </c>
    </row>
    <row r="185" spans="1:14" x14ac:dyDescent="0.25">
      <c r="A185" s="13" t="s">
        <v>1845</v>
      </c>
      <c r="B185" s="6" t="s">
        <v>1896</v>
      </c>
      <c r="C185" s="6" t="s">
        <v>1937</v>
      </c>
      <c r="D185" s="6" t="s">
        <v>1982</v>
      </c>
      <c r="E185" s="6" t="s">
        <v>2027</v>
      </c>
      <c r="F185" s="6" t="s">
        <v>2072</v>
      </c>
      <c r="G185" s="6" t="s">
        <v>1982</v>
      </c>
      <c r="H185" s="6" t="s">
        <v>2161</v>
      </c>
      <c r="I185" s="6" t="s">
        <v>2892</v>
      </c>
      <c r="J185" s="6" t="s">
        <v>3017</v>
      </c>
      <c r="K185" s="6" t="s">
        <v>3144</v>
      </c>
      <c r="L185" s="6" t="s">
        <v>3273</v>
      </c>
      <c r="M185" s="6" t="s">
        <v>3017</v>
      </c>
      <c r="N185" s="6" t="s">
        <v>2892</v>
      </c>
    </row>
    <row r="186" spans="1:14" x14ac:dyDescent="0.25">
      <c r="A186" s="13" t="s">
        <v>270</v>
      </c>
      <c r="B186" s="6" t="s">
        <v>271</v>
      </c>
      <c r="C186" s="6" t="s">
        <v>272</v>
      </c>
      <c r="D186" s="6" t="s">
        <v>273</v>
      </c>
      <c r="E186" s="6" t="s">
        <v>274</v>
      </c>
      <c r="F186" s="6" t="s">
        <v>275</v>
      </c>
      <c r="G186" s="6" t="s">
        <v>276</v>
      </c>
      <c r="H186" s="6" t="s">
        <v>277</v>
      </c>
      <c r="I186" s="6" t="s">
        <v>2893</v>
      </c>
      <c r="J186" s="6" t="s">
        <v>3018</v>
      </c>
      <c r="K186" s="6" t="s">
        <v>3145</v>
      </c>
      <c r="L186" s="6" t="s">
        <v>3274</v>
      </c>
      <c r="M186" s="6" t="s">
        <v>3741</v>
      </c>
      <c r="N186" s="6" t="s">
        <v>3848</v>
      </c>
    </row>
    <row r="187" spans="1:14" x14ac:dyDescent="0.25">
      <c r="A187" s="13" t="s">
        <v>587</v>
      </c>
      <c r="B187" s="6" t="s">
        <v>1837</v>
      </c>
      <c r="C187" s="6" t="s">
        <v>1341</v>
      </c>
      <c r="D187" s="6" t="s">
        <v>1414</v>
      </c>
      <c r="E187" s="6" t="s">
        <v>1486</v>
      </c>
      <c r="F187" s="6" t="s">
        <v>1559</v>
      </c>
      <c r="G187" s="6" t="s">
        <v>1414</v>
      </c>
      <c r="H187" s="6" t="s">
        <v>1696</v>
      </c>
      <c r="I187" s="6" t="s">
        <v>2894</v>
      </c>
      <c r="J187" s="6" t="s">
        <v>3019</v>
      </c>
      <c r="K187" s="6" t="s">
        <v>3146</v>
      </c>
      <c r="L187" s="6" t="s">
        <v>3275</v>
      </c>
      <c r="M187" s="6" t="s">
        <v>3742</v>
      </c>
      <c r="N187" s="6" t="s">
        <v>3849</v>
      </c>
    </row>
    <row r="188" spans="1:14" x14ac:dyDescent="0.25">
      <c r="A188" s="13" t="s">
        <v>2217</v>
      </c>
      <c r="B188" s="6" t="s">
        <v>2223</v>
      </c>
      <c r="C188" s="6" t="s">
        <v>2230</v>
      </c>
      <c r="D188" s="6" t="s">
        <v>2237</v>
      </c>
      <c r="E188" s="6" t="s">
        <v>2244</v>
      </c>
      <c r="F188" s="6" t="s">
        <v>2251</v>
      </c>
      <c r="G188" s="6" t="s">
        <v>2258</v>
      </c>
      <c r="H188" s="6" t="s">
        <v>2265</v>
      </c>
      <c r="I188" s="6" t="s">
        <v>2895</v>
      </c>
      <c r="J188" s="6" t="s">
        <v>3020</v>
      </c>
      <c r="K188" s="6" t="s">
        <v>3147</v>
      </c>
      <c r="L188" s="6" t="s">
        <v>3276</v>
      </c>
      <c r="M188" s="6" t="s">
        <v>3743</v>
      </c>
      <c r="N188" s="6" t="s">
        <v>3850</v>
      </c>
    </row>
    <row r="189" spans="1:14" x14ac:dyDescent="0.25">
      <c r="A189" s="13" t="s">
        <v>588</v>
      </c>
      <c r="B189" s="6" t="s">
        <v>1271</v>
      </c>
      <c r="C189" s="6" t="s">
        <v>1342</v>
      </c>
      <c r="D189" s="6" t="s">
        <v>1415</v>
      </c>
      <c r="E189" s="6" t="s">
        <v>1487</v>
      </c>
      <c r="F189" s="6" t="s">
        <v>1560</v>
      </c>
      <c r="G189" s="6" t="s">
        <v>1628</v>
      </c>
      <c r="H189" s="6" t="s">
        <v>1697</v>
      </c>
      <c r="I189" s="6" t="s">
        <v>2896</v>
      </c>
      <c r="J189" s="6" t="s">
        <v>3021</v>
      </c>
      <c r="K189" s="6" t="s">
        <v>3148</v>
      </c>
      <c r="L189" s="6" t="s">
        <v>3277</v>
      </c>
      <c r="M189" s="6" t="s">
        <v>3744</v>
      </c>
      <c r="N189" s="6" t="s">
        <v>3851</v>
      </c>
    </row>
    <row r="190" spans="1:14" x14ac:dyDescent="0.25">
      <c r="A190" s="13" t="s">
        <v>589</v>
      </c>
      <c r="B190" s="6" t="s">
        <v>1272</v>
      </c>
      <c r="C190" s="6" t="s">
        <v>1343</v>
      </c>
      <c r="D190" s="6" t="s">
        <v>1416</v>
      </c>
      <c r="E190" s="6" t="s">
        <v>1488</v>
      </c>
      <c r="F190" s="6" t="s">
        <v>1561</v>
      </c>
      <c r="G190" s="6" t="s">
        <v>1629</v>
      </c>
      <c r="H190" s="6" t="s">
        <v>1698</v>
      </c>
      <c r="I190" s="6" t="s">
        <v>2897</v>
      </c>
      <c r="J190" s="6" t="s">
        <v>3022</v>
      </c>
      <c r="K190" s="6" t="s">
        <v>3149</v>
      </c>
      <c r="L190" s="6" t="s">
        <v>3278</v>
      </c>
      <c r="M190" s="6" t="s">
        <v>3745</v>
      </c>
      <c r="N190" s="6" t="s">
        <v>3852</v>
      </c>
    </row>
    <row r="191" spans="1:14" x14ac:dyDescent="0.25">
      <c r="A191" s="13" t="s">
        <v>590</v>
      </c>
      <c r="B191" s="6" t="s">
        <v>1273</v>
      </c>
      <c r="C191" s="6" t="s">
        <v>1344</v>
      </c>
      <c r="D191" s="6" t="s">
        <v>1417</v>
      </c>
      <c r="E191" s="6" t="s">
        <v>1489</v>
      </c>
      <c r="F191" s="6" t="s">
        <v>1562</v>
      </c>
      <c r="G191" s="6" t="s">
        <v>1630</v>
      </c>
      <c r="H191" s="6" t="s">
        <v>1699</v>
      </c>
      <c r="I191" s="6" t="s">
        <v>2898</v>
      </c>
      <c r="J191" s="6" t="s">
        <v>3023</v>
      </c>
      <c r="K191" s="6" t="s">
        <v>3150</v>
      </c>
      <c r="L191" s="6" t="s">
        <v>3279</v>
      </c>
      <c r="M191" s="6" t="s">
        <v>3746</v>
      </c>
      <c r="N191" s="6" t="s">
        <v>2898</v>
      </c>
    </row>
    <row r="192" spans="1:14" x14ac:dyDescent="0.25">
      <c r="A192" s="13" t="s">
        <v>591</v>
      </c>
      <c r="B192" s="6" t="s">
        <v>1274</v>
      </c>
      <c r="C192" s="6" t="s">
        <v>1345</v>
      </c>
      <c r="D192" s="6" t="s">
        <v>1418</v>
      </c>
      <c r="E192" s="6" t="s">
        <v>1490</v>
      </c>
      <c r="F192" s="6" t="s">
        <v>1563</v>
      </c>
      <c r="G192" s="6" t="s">
        <v>1631</v>
      </c>
      <c r="H192" s="6" t="s">
        <v>1700</v>
      </c>
      <c r="I192" s="6" t="s">
        <v>2899</v>
      </c>
      <c r="J192" s="6" t="s">
        <v>3024</v>
      </c>
      <c r="K192" s="6" t="s">
        <v>3151</v>
      </c>
      <c r="L192" s="6" t="s">
        <v>3280</v>
      </c>
      <c r="M192" s="6" t="s">
        <v>3747</v>
      </c>
      <c r="N192" s="6" t="s">
        <v>3853</v>
      </c>
    </row>
    <row r="193" spans="1:14" x14ac:dyDescent="0.25">
      <c r="A193" s="13" t="s">
        <v>2268</v>
      </c>
      <c r="B193" s="6" t="s">
        <v>2282</v>
      </c>
      <c r="C193" s="6" t="s">
        <v>2280</v>
      </c>
      <c r="D193" s="6" t="s">
        <v>2278</v>
      </c>
      <c r="E193" s="6" t="s">
        <v>2276</v>
      </c>
      <c r="F193" s="6" t="s">
        <v>2274</v>
      </c>
      <c r="G193" s="6" t="s">
        <v>2272</v>
      </c>
      <c r="H193" s="6" t="s">
        <v>2270</v>
      </c>
      <c r="I193" s="6" t="s">
        <v>2900</v>
      </c>
      <c r="J193" s="6" t="s">
        <v>3025</v>
      </c>
      <c r="K193" s="6" t="s">
        <v>3152</v>
      </c>
      <c r="L193" s="6" t="s">
        <v>3281</v>
      </c>
      <c r="M193" s="6" t="s">
        <v>3748</v>
      </c>
      <c r="N193" s="6" t="s">
        <v>3854</v>
      </c>
    </row>
    <row r="194" spans="1:14" x14ac:dyDescent="0.25">
      <c r="A194" s="13" t="s">
        <v>1859</v>
      </c>
      <c r="B194" s="6" t="s">
        <v>1904</v>
      </c>
      <c r="C194" s="6" t="s">
        <v>1945</v>
      </c>
      <c r="D194" s="6" t="s">
        <v>1990</v>
      </c>
      <c r="E194" s="6" t="s">
        <v>2035</v>
      </c>
      <c r="F194" s="6" t="s">
        <v>2080</v>
      </c>
      <c r="G194" s="6" t="s">
        <v>2124</v>
      </c>
      <c r="H194" s="6" t="s">
        <v>2169</v>
      </c>
      <c r="I194" s="6" t="s">
        <v>2901</v>
      </c>
      <c r="J194" s="6" t="s">
        <v>3026</v>
      </c>
      <c r="K194" s="6" t="s">
        <v>3153</v>
      </c>
      <c r="L194" s="6" t="s">
        <v>3282</v>
      </c>
      <c r="M194" s="6" t="s">
        <v>3749</v>
      </c>
      <c r="N194" s="6" t="s">
        <v>3855</v>
      </c>
    </row>
    <row r="195" spans="1:14" x14ac:dyDescent="0.25">
      <c r="A195" s="13" t="s">
        <v>1857</v>
      </c>
      <c r="B195" s="6" t="s">
        <v>1902</v>
      </c>
      <c r="C195" s="6" t="s">
        <v>1943</v>
      </c>
      <c r="D195" s="6" t="s">
        <v>1988</v>
      </c>
      <c r="E195" s="6" t="s">
        <v>2033</v>
      </c>
      <c r="F195" s="6" t="s">
        <v>2078</v>
      </c>
      <c r="G195" s="6" t="s">
        <v>2122</v>
      </c>
      <c r="H195" s="6" t="s">
        <v>2167</v>
      </c>
      <c r="I195" s="6" t="s">
        <v>2902</v>
      </c>
      <c r="J195" s="6" t="s">
        <v>3027</v>
      </c>
      <c r="K195" s="6" t="s">
        <v>3154</v>
      </c>
      <c r="L195" s="6" t="s">
        <v>3283</v>
      </c>
      <c r="M195" s="6" t="s">
        <v>3750</v>
      </c>
      <c r="N195" s="6" t="s">
        <v>3856</v>
      </c>
    </row>
    <row r="196" spans="1:14" x14ac:dyDescent="0.25">
      <c r="A196" s="13" t="s">
        <v>1862</v>
      </c>
      <c r="B196" s="6" t="s">
        <v>1907</v>
      </c>
      <c r="C196" s="6" t="s">
        <v>1948</v>
      </c>
      <c r="D196" s="6" t="s">
        <v>1993</v>
      </c>
      <c r="E196" s="6" t="s">
        <v>2038</v>
      </c>
      <c r="F196" s="6" t="s">
        <v>2083</v>
      </c>
      <c r="G196" s="6" t="s">
        <v>2127</v>
      </c>
      <c r="H196" s="6" t="s">
        <v>2172</v>
      </c>
      <c r="I196" s="6" t="s">
        <v>2903</v>
      </c>
      <c r="J196" s="6" t="s">
        <v>3028</v>
      </c>
      <c r="K196" s="6" t="s">
        <v>3155</v>
      </c>
      <c r="L196" s="6" t="s">
        <v>3284</v>
      </c>
      <c r="M196" s="6" t="s">
        <v>3751</v>
      </c>
      <c r="N196" s="6" t="s">
        <v>2903</v>
      </c>
    </row>
    <row r="197" spans="1:14" x14ac:dyDescent="0.25">
      <c r="A197" s="13" t="s">
        <v>332</v>
      </c>
      <c r="B197" s="6" t="s">
        <v>333</v>
      </c>
      <c r="C197" s="6" t="s">
        <v>334</v>
      </c>
      <c r="D197" s="6" t="s">
        <v>335</v>
      </c>
      <c r="E197" s="6" t="s">
        <v>336</v>
      </c>
      <c r="F197" s="6" t="s">
        <v>337</v>
      </c>
      <c r="G197" s="6" t="s">
        <v>338</v>
      </c>
      <c r="H197" s="6" t="s">
        <v>1701</v>
      </c>
      <c r="I197" s="6" t="s">
        <v>2904</v>
      </c>
      <c r="J197" s="6" t="s">
        <v>3029</v>
      </c>
      <c r="K197" s="6" t="s">
        <v>3156</v>
      </c>
      <c r="L197" s="6" t="s">
        <v>3285</v>
      </c>
      <c r="M197" s="6" t="s">
        <v>3752</v>
      </c>
      <c r="N197" s="6" t="s">
        <v>3857</v>
      </c>
    </row>
    <row r="198" spans="1:14" x14ac:dyDescent="0.25">
      <c r="A198" s="13" t="s">
        <v>592</v>
      </c>
      <c r="B198" s="6" t="s">
        <v>1275</v>
      </c>
      <c r="C198" s="6" t="s">
        <v>1346</v>
      </c>
      <c r="D198" s="6" t="s">
        <v>1419</v>
      </c>
      <c r="E198" s="6" t="s">
        <v>1491</v>
      </c>
      <c r="F198" s="6" t="s">
        <v>1564</v>
      </c>
      <c r="G198" s="6" t="s">
        <v>1632</v>
      </c>
      <c r="H198" s="6" t="s">
        <v>1702</v>
      </c>
      <c r="I198" s="6" t="s">
        <v>2905</v>
      </c>
      <c r="J198" s="6" t="s">
        <v>3030</v>
      </c>
      <c r="K198" s="6" t="s">
        <v>3157</v>
      </c>
      <c r="L198" s="6" t="s">
        <v>3286</v>
      </c>
      <c r="M198" s="6" t="s">
        <v>3753</v>
      </c>
      <c r="N198" s="6" t="s">
        <v>3858</v>
      </c>
    </row>
    <row r="199" spans="1:14" x14ac:dyDescent="0.25">
      <c r="A199" s="13" t="s">
        <v>1883</v>
      </c>
      <c r="B199" s="6" t="s">
        <v>1926</v>
      </c>
      <c r="C199" s="6" t="s">
        <v>1969</v>
      </c>
      <c r="D199" s="6" t="s">
        <v>2014</v>
      </c>
      <c r="E199" s="6" t="s">
        <v>2059</v>
      </c>
      <c r="F199" s="6" t="s">
        <v>2104</v>
      </c>
      <c r="G199" s="6" t="s">
        <v>2148</v>
      </c>
      <c r="H199" s="6" t="s">
        <v>2193</v>
      </c>
      <c r="I199" s="6" t="s">
        <v>2906</v>
      </c>
      <c r="J199" s="6" t="s">
        <v>3031</v>
      </c>
      <c r="K199" s="6" t="s">
        <v>3158</v>
      </c>
      <c r="L199" s="6" t="s">
        <v>3287</v>
      </c>
      <c r="M199" s="6" t="s">
        <v>3754</v>
      </c>
      <c r="N199" s="6" t="s">
        <v>3859</v>
      </c>
    </row>
    <row r="200" spans="1:14" x14ac:dyDescent="0.25">
      <c r="A200" s="13" t="s">
        <v>1863</v>
      </c>
      <c r="B200" s="6" t="s">
        <v>1908</v>
      </c>
      <c r="C200" s="6" t="s">
        <v>1949</v>
      </c>
      <c r="D200" s="6" t="s">
        <v>1994</v>
      </c>
      <c r="E200" s="6" t="s">
        <v>2039</v>
      </c>
      <c r="F200" s="6" t="s">
        <v>2084</v>
      </c>
      <c r="G200" s="6" t="s">
        <v>2128</v>
      </c>
      <c r="H200" s="6" t="s">
        <v>2173</v>
      </c>
      <c r="I200" s="6" t="s">
        <v>2907</v>
      </c>
      <c r="J200" s="6" t="s">
        <v>3032</v>
      </c>
      <c r="K200" s="6" t="s">
        <v>3159</v>
      </c>
      <c r="L200" s="6" t="s">
        <v>3288</v>
      </c>
      <c r="M200" s="6" t="s">
        <v>3755</v>
      </c>
      <c r="N200" s="6" t="s">
        <v>3860</v>
      </c>
    </row>
    <row r="201" spans="1:14" x14ac:dyDescent="0.25">
      <c r="A201" s="13" t="s">
        <v>1856</v>
      </c>
      <c r="B201" s="6" t="s">
        <v>1901</v>
      </c>
      <c r="C201" s="6" t="s">
        <v>1942</v>
      </c>
      <c r="D201" s="6" t="s">
        <v>1987</v>
      </c>
      <c r="E201" s="6" t="s">
        <v>2032</v>
      </c>
      <c r="F201" s="6" t="s">
        <v>2077</v>
      </c>
      <c r="G201" s="6" t="s">
        <v>2121</v>
      </c>
      <c r="H201" s="6" t="s">
        <v>2166</v>
      </c>
      <c r="I201" s="6" t="s">
        <v>2908</v>
      </c>
      <c r="J201" s="6" t="s">
        <v>3033</v>
      </c>
      <c r="K201" s="6" t="s">
        <v>3160</v>
      </c>
      <c r="L201" s="6" t="s">
        <v>3289</v>
      </c>
      <c r="M201" s="6" t="s">
        <v>3756</v>
      </c>
      <c r="N201" s="6" t="s">
        <v>3861</v>
      </c>
    </row>
    <row r="202" spans="1:14" x14ac:dyDescent="0.25">
      <c r="A202" s="13" t="s">
        <v>1887</v>
      </c>
      <c r="B202" s="6" t="s">
        <v>1930</v>
      </c>
      <c r="C202" s="6" t="s">
        <v>1973</v>
      </c>
      <c r="D202" s="6" t="s">
        <v>2018</v>
      </c>
      <c r="E202" s="6" t="s">
        <v>2063</v>
      </c>
      <c r="F202" s="6" t="s">
        <v>2108</v>
      </c>
      <c r="G202" s="6" t="s">
        <v>2152</v>
      </c>
      <c r="H202" s="6" t="s">
        <v>2197</v>
      </c>
      <c r="I202" s="6" t="s">
        <v>2909</v>
      </c>
      <c r="J202" s="6" t="s">
        <v>3034</v>
      </c>
      <c r="K202" s="6" t="s">
        <v>3161</v>
      </c>
      <c r="L202" s="6" t="s">
        <v>3290</v>
      </c>
      <c r="M202" s="6" t="s">
        <v>3757</v>
      </c>
      <c r="N202" s="6" t="s">
        <v>3862</v>
      </c>
    </row>
    <row r="203" spans="1:14" x14ac:dyDescent="0.25">
      <c r="A203" s="13" t="s">
        <v>1888</v>
      </c>
      <c r="B203" s="6" t="s">
        <v>1931</v>
      </c>
      <c r="C203" s="6" t="s">
        <v>1974</v>
      </c>
      <c r="D203" s="6" t="s">
        <v>2019</v>
      </c>
      <c r="E203" s="6" t="s">
        <v>2064</v>
      </c>
      <c r="F203" s="6" t="s">
        <v>2109</v>
      </c>
      <c r="G203" s="6" t="s">
        <v>2153</v>
      </c>
      <c r="H203" s="6" t="s">
        <v>2198</v>
      </c>
      <c r="I203" s="6" t="s">
        <v>2910</v>
      </c>
      <c r="J203" s="6" t="s">
        <v>3035</v>
      </c>
      <c r="K203" s="6" t="s">
        <v>3162</v>
      </c>
      <c r="L203" s="6" t="s">
        <v>3291</v>
      </c>
      <c r="M203" s="6" t="s">
        <v>3758</v>
      </c>
      <c r="N203" s="6" t="s">
        <v>3863</v>
      </c>
    </row>
    <row r="204" spans="1:14" x14ac:dyDescent="0.25">
      <c r="A204" s="13" t="s">
        <v>1860</v>
      </c>
      <c r="B204" s="6" t="s">
        <v>1905</v>
      </c>
      <c r="C204" s="6" t="s">
        <v>1946</v>
      </c>
      <c r="D204" s="6" t="s">
        <v>1991</v>
      </c>
      <c r="E204" s="6" t="s">
        <v>2036</v>
      </c>
      <c r="F204" s="6" t="s">
        <v>2081</v>
      </c>
      <c r="G204" s="6" t="s">
        <v>2125</v>
      </c>
      <c r="H204" s="6" t="s">
        <v>2170</v>
      </c>
      <c r="I204" s="6" t="s">
        <v>2911</v>
      </c>
      <c r="J204" s="6" t="s">
        <v>3036</v>
      </c>
      <c r="K204" s="6" t="s">
        <v>3163</v>
      </c>
      <c r="L204" s="6" t="s">
        <v>3292</v>
      </c>
      <c r="M204" s="6" t="s">
        <v>3759</v>
      </c>
      <c r="N204" s="6" t="s">
        <v>3864</v>
      </c>
    </row>
    <row r="205" spans="1:14" x14ac:dyDescent="0.25">
      <c r="A205" s="13" t="s">
        <v>1867</v>
      </c>
      <c r="B205" s="6" t="s">
        <v>1912</v>
      </c>
      <c r="C205" s="6" t="s">
        <v>1953</v>
      </c>
      <c r="D205" s="6" t="s">
        <v>1998</v>
      </c>
      <c r="E205" s="6" t="s">
        <v>2043</v>
      </c>
      <c r="F205" s="6" t="s">
        <v>2088</v>
      </c>
      <c r="G205" s="6" t="s">
        <v>2132</v>
      </c>
      <c r="H205" s="6" t="s">
        <v>2177</v>
      </c>
      <c r="I205" s="6" t="s">
        <v>2912</v>
      </c>
      <c r="J205" s="6" t="s">
        <v>3037</v>
      </c>
      <c r="K205" s="6" t="s">
        <v>3164</v>
      </c>
      <c r="L205" s="6" t="s">
        <v>3293</v>
      </c>
      <c r="M205" s="6" t="s">
        <v>3760</v>
      </c>
      <c r="N205" s="6" t="s">
        <v>3865</v>
      </c>
    </row>
    <row r="206" spans="1:14" x14ac:dyDescent="0.25">
      <c r="A206" s="13" t="s">
        <v>1865</v>
      </c>
      <c r="B206" s="6" t="s">
        <v>1910</v>
      </c>
      <c r="C206" s="6" t="s">
        <v>1951</v>
      </c>
      <c r="D206" s="6" t="s">
        <v>1996</v>
      </c>
      <c r="E206" s="6" t="s">
        <v>2041</v>
      </c>
      <c r="F206" s="6" t="s">
        <v>2086</v>
      </c>
      <c r="G206" s="6" t="s">
        <v>2130</v>
      </c>
      <c r="H206" s="6" t="s">
        <v>2175</v>
      </c>
      <c r="I206" s="6" t="s">
        <v>2913</v>
      </c>
      <c r="J206" s="6" t="s">
        <v>3038</v>
      </c>
      <c r="K206" s="6" t="s">
        <v>3165</v>
      </c>
      <c r="L206" s="6" t="s">
        <v>3294</v>
      </c>
      <c r="M206" s="6" t="s">
        <v>3761</v>
      </c>
      <c r="N206" s="6" t="s">
        <v>3866</v>
      </c>
    </row>
    <row r="207" spans="1:14" x14ac:dyDescent="0.25">
      <c r="A207" s="13" t="s">
        <v>1877</v>
      </c>
      <c r="B207" s="6" t="s">
        <v>1921</v>
      </c>
      <c r="C207" s="6" t="s">
        <v>1963</v>
      </c>
      <c r="D207" s="6" t="s">
        <v>2008</v>
      </c>
      <c r="E207" s="6" t="s">
        <v>2053</v>
      </c>
      <c r="F207" s="6" t="s">
        <v>2098</v>
      </c>
      <c r="G207" s="6" t="s">
        <v>2142</v>
      </c>
      <c r="H207" s="6" t="s">
        <v>2187</v>
      </c>
      <c r="I207" s="6" t="s">
        <v>2914</v>
      </c>
      <c r="J207" s="6" t="s">
        <v>3039</v>
      </c>
      <c r="K207" s="6" t="s">
        <v>3166</v>
      </c>
      <c r="L207" s="6" t="s">
        <v>3295</v>
      </c>
      <c r="M207" s="6" t="s">
        <v>3762</v>
      </c>
      <c r="N207" s="6" t="s">
        <v>3867</v>
      </c>
    </row>
    <row r="208" spans="1:14" x14ac:dyDescent="0.25">
      <c r="A208" s="13" t="s">
        <v>593</v>
      </c>
      <c r="B208" s="6" t="s">
        <v>1276</v>
      </c>
      <c r="C208" s="6" t="s">
        <v>1347</v>
      </c>
      <c r="D208" s="6" t="s">
        <v>1420</v>
      </c>
      <c r="E208" s="6" t="s">
        <v>1492</v>
      </c>
      <c r="F208" s="6" t="s">
        <v>1565</v>
      </c>
      <c r="G208" s="6" t="s">
        <v>1633</v>
      </c>
      <c r="H208" s="6" t="s">
        <v>1703</v>
      </c>
      <c r="I208" s="6" t="s">
        <v>2915</v>
      </c>
      <c r="J208" s="6" t="s">
        <v>3040</v>
      </c>
      <c r="K208" s="6" t="s">
        <v>3167</v>
      </c>
      <c r="L208" s="6" t="s">
        <v>3296</v>
      </c>
      <c r="M208" s="6" t="s">
        <v>3763</v>
      </c>
      <c r="N208" s="6" t="s">
        <v>3868</v>
      </c>
    </row>
    <row r="209" spans="1:14" x14ac:dyDescent="0.25">
      <c r="A209" s="13" t="s">
        <v>1858</v>
      </c>
      <c r="B209" s="6" t="s">
        <v>1903</v>
      </c>
      <c r="C209" s="6" t="s">
        <v>1944</v>
      </c>
      <c r="D209" s="6" t="s">
        <v>1989</v>
      </c>
      <c r="E209" s="6" t="s">
        <v>2034</v>
      </c>
      <c r="F209" s="6" t="s">
        <v>2079</v>
      </c>
      <c r="G209" s="6" t="s">
        <v>2123</v>
      </c>
      <c r="H209" s="6" t="s">
        <v>2168</v>
      </c>
      <c r="I209" s="6" t="s">
        <v>2916</v>
      </c>
      <c r="J209" s="6" t="s">
        <v>3041</v>
      </c>
      <c r="K209" s="6" t="s">
        <v>3168</v>
      </c>
      <c r="L209" s="6" t="s">
        <v>3297</v>
      </c>
      <c r="M209" s="6" t="s">
        <v>3764</v>
      </c>
      <c r="N209" s="6" t="s">
        <v>3869</v>
      </c>
    </row>
    <row r="210" spans="1:14" x14ac:dyDescent="0.25">
      <c r="A210" s="13" t="s">
        <v>1854</v>
      </c>
      <c r="B210" s="6" t="s">
        <v>1899</v>
      </c>
      <c r="C210" s="6" t="s">
        <v>1940</v>
      </c>
      <c r="D210" s="6" t="s">
        <v>1985</v>
      </c>
      <c r="E210" s="6" t="s">
        <v>2030</v>
      </c>
      <c r="F210" s="6" t="s">
        <v>2075</v>
      </c>
      <c r="G210" s="6" t="s">
        <v>2119</v>
      </c>
      <c r="H210" s="6" t="s">
        <v>2164</v>
      </c>
      <c r="I210" s="6" t="s">
        <v>2917</v>
      </c>
      <c r="J210" s="6" t="s">
        <v>3042</v>
      </c>
      <c r="K210" s="6" t="s">
        <v>3169</v>
      </c>
      <c r="L210" s="6" t="s">
        <v>3298</v>
      </c>
      <c r="M210" s="6" t="s">
        <v>3765</v>
      </c>
      <c r="N210" s="6" t="s">
        <v>3870</v>
      </c>
    </row>
    <row r="211" spans="1:14" x14ac:dyDescent="0.25">
      <c r="A211" s="13" t="s">
        <v>594</v>
      </c>
      <c r="B211" s="6" t="s">
        <v>1277</v>
      </c>
      <c r="C211" s="6" t="s">
        <v>1348</v>
      </c>
      <c r="D211" s="6" t="s">
        <v>1421</v>
      </c>
      <c r="E211" s="6" t="s">
        <v>1493</v>
      </c>
      <c r="F211" s="6" t="s">
        <v>1566</v>
      </c>
      <c r="G211" s="6" t="s">
        <v>1634</v>
      </c>
      <c r="H211" s="6" t="s">
        <v>1704</v>
      </c>
      <c r="I211" s="6" t="s">
        <v>2918</v>
      </c>
      <c r="J211" s="6" t="s">
        <v>3043</v>
      </c>
      <c r="K211" s="6" t="s">
        <v>3170</v>
      </c>
      <c r="L211" s="6" t="s">
        <v>3299</v>
      </c>
      <c r="M211" s="6" t="s">
        <v>3766</v>
      </c>
      <c r="N211" s="6" t="s">
        <v>3871</v>
      </c>
    </row>
    <row r="212" spans="1:14" x14ac:dyDescent="0.25">
      <c r="A212" s="13" t="s">
        <v>278</v>
      </c>
      <c r="B212" s="6" t="s">
        <v>1278</v>
      </c>
      <c r="C212" s="6" t="s">
        <v>1349</v>
      </c>
      <c r="D212" s="6" t="s">
        <v>279</v>
      </c>
      <c r="E212" s="6" t="s">
        <v>280</v>
      </c>
      <c r="F212" s="6" t="s">
        <v>281</v>
      </c>
      <c r="G212" s="6" t="s">
        <v>282</v>
      </c>
      <c r="H212" s="6" t="s">
        <v>283</v>
      </c>
      <c r="I212" s="6" t="s">
        <v>2919</v>
      </c>
      <c r="J212" s="6" t="s">
        <v>3044</v>
      </c>
      <c r="K212" s="6" t="s">
        <v>3171</v>
      </c>
      <c r="L212" s="6" t="s">
        <v>3300</v>
      </c>
      <c r="M212" s="6" t="s">
        <v>3767</v>
      </c>
      <c r="N212" s="6" t="s">
        <v>3872</v>
      </c>
    </row>
    <row r="213" spans="1:14" x14ac:dyDescent="0.25">
      <c r="A213" s="13" t="s">
        <v>595</v>
      </c>
      <c r="B213" s="6" t="s">
        <v>1279</v>
      </c>
      <c r="C213" s="6" t="s">
        <v>1350</v>
      </c>
      <c r="D213" s="6" t="s">
        <v>1422</v>
      </c>
      <c r="E213" s="6" t="s">
        <v>1494</v>
      </c>
      <c r="F213" s="6" t="s">
        <v>1567</v>
      </c>
      <c r="G213" s="6" t="s">
        <v>1635</v>
      </c>
      <c r="H213" s="6" t="s">
        <v>1705</v>
      </c>
      <c r="I213" s="6" t="s">
        <v>2920</v>
      </c>
      <c r="J213" s="6" t="s">
        <v>3045</v>
      </c>
      <c r="K213" s="6" t="s">
        <v>3172</v>
      </c>
      <c r="L213" s="6" t="s">
        <v>3301</v>
      </c>
      <c r="M213" s="6" t="s">
        <v>3768</v>
      </c>
      <c r="N213" s="6" t="s">
        <v>3873</v>
      </c>
    </row>
    <row r="214" spans="1:14" x14ac:dyDescent="0.25">
      <c r="A214" s="13" t="s">
        <v>596</v>
      </c>
      <c r="B214" s="6" t="s">
        <v>1280</v>
      </c>
      <c r="C214" s="6" t="s">
        <v>1351</v>
      </c>
      <c r="D214" s="6" t="s">
        <v>1423</v>
      </c>
      <c r="E214" s="6" t="s">
        <v>1495</v>
      </c>
      <c r="F214" s="6" t="s">
        <v>1568</v>
      </c>
      <c r="G214" s="6" t="s">
        <v>1636</v>
      </c>
      <c r="H214" s="6" t="s">
        <v>1706</v>
      </c>
      <c r="I214" s="6" t="s">
        <v>2921</v>
      </c>
      <c r="J214" s="6" t="s">
        <v>3046</v>
      </c>
      <c r="K214" s="6" t="s">
        <v>3173</v>
      </c>
      <c r="L214" s="6" t="s">
        <v>3302</v>
      </c>
      <c r="M214" s="6" t="s">
        <v>3769</v>
      </c>
      <c r="N214" s="6" t="s">
        <v>3874</v>
      </c>
    </row>
    <row r="215" spans="1:14" x14ac:dyDescent="0.25">
      <c r="A215" s="13" t="s">
        <v>597</v>
      </c>
      <c r="B215" s="6" t="s">
        <v>1281</v>
      </c>
      <c r="C215" s="6" t="s">
        <v>1352</v>
      </c>
      <c r="D215" s="6" t="s">
        <v>1424</v>
      </c>
      <c r="E215" s="6" t="s">
        <v>1496</v>
      </c>
      <c r="F215" s="6" t="s">
        <v>1569</v>
      </c>
      <c r="G215" s="6" t="s">
        <v>1637</v>
      </c>
      <c r="H215" s="6" t="s">
        <v>1707</v>
      </c>
      <c r="I215" s="6" t="s">
        <v>2922</v>
      </c>
      <c r="J215" s="6" t="s">
        <v>3047</v>
      </c>
      <c r="K215" s="6" t="s">
        <v>3174</v>
      </c>
      <c r="L215" s="6" t="s">
        <v>3303</v>
      </c>
      <c r="M215" s="6" t="s">
        <v>3770</v>
      </c>
      <c r="N215" s="6" t="s">
        <v>3875</v>
      </c>
    </row>
    <row r="216" spans="1:14" x14ac:dyDescent="0.25">
      <c r="A216" s="13" t="s">
        <v>598</v>
      </c>
      <c r="B216" s="6" t="s">
        <v>1282</v>
      </c>
      <c r="C216" s="6" t="s">
        <v>1353</v>
      </c>
      <c r="D216" s="6" t="s">
        <v>1425</v>
      </c>
      <c r="E216" s="6" t="s">
        <v>1497</v>
      </c>
      <c r="F216" s="6" t="s">
        <v>1570</v>
      </c>
      <c r="G216" s="6" t="s">
        <v>1638</v>
      </c>
      <c r="H216" s="6" t="s">
        <v>1708</v>
      </c>
      <c r="I216" s="6" t="s">
        <v>2923</v>
      </c>
      <c r="J216" s="6" t="s">
        <v>3048</v>
      </c>
      <c r="K216" s="6" t="s">
        <v>3175</v>
      </c>
      <c r="L216" s="6" t="s">
        <v>3304</v>
      </c>
      <c r="M216" s="6" t="s">
        <v>3771</v>
      </c>
      <c r="N216" s="6" t="s">
        <v>3876</v>
      </c>
    </row>
    <row r="217" spans="1:14" x14ac:dyDescent="0.25">
      <c r="A217" s="13" t="s">
        <v>599</v>
      </c>
      <c r="B217" s="6" t="s">
        <v>1283</v>
      </c>
      <c r="C217" s="6" t="s">
        <v>1354</v>
      </c>
      <c r="D217" s="6" t="s">
        <v>1426</v>
      </c>
      <c r="E217" s="6" t="s">
        <v>1498</v>
      </c>
      <c r="F217" s="6" t="s">
        <v>1571</v>
      </c>
      <c r="G217" s="6" t="s">
        <v>1639</v>
      </c>
      <c r="H217" s="6" t="s">
        <v>1709</v>
      </c>
      <c r="I217" s="6" t="s">
        <v>2924</v>
      </c>
      <c r="J217" s="6" t="s">
        <v>3049</v>
      </c>
      <c r="K217" s="6" t="s">
        <v>3176</v>
      </c>
      <c r="L217" s="6" t="s">
        <v>3305</v>
      </c>
      <c r="M217" s="6" t="s">
        <v>3772</v>
      </c>
      <c r="N217" s="6" t="s">
        <v>3877</v>
      </c>
    </row>
    <row r="218" spans="1:14" x14ac:dyDescent="0.25">
      <c r="A218" s="13" t="s">
        <v>600</v>
      </c>
      <c r="B218" s="6" t="s">
        <v>1284</v>
      </c>
      <c r="C218" s="6" t="s">
        <v>1355</v>
      </c>
      <c r="D218" s="6" t="s">
        <v>1427</v>
      </c>
      <c r="E218" s="6" t="s">
        <v>1499</v>
      </c>
      <c r="F218" s="6" t="s">
        <v>1572</v>
      </c>
      <c r="G218" s="6" t="s">
        <v>1640</v>
      </c>
      <c r="H218" s="6" t="s">
        <v>1710</v>
      </c>
      <c r="I218" s="6" t="s">
        <v>2925</v>
      </c>
      <c r="J218" s="6" t="s">
        <v>3050</v>
      </c>
      <c r="K218" s="6" t="s">
        <v>3177</v>
      </c>
      <c r="L218" s="6" t="s">
        <v>3306</v>
      </c>
      <c r="M218" s="6" t="s">
        <v>3773</v>
      </c>
      <c r="N218" s="6" t="s">
        <v>3878</v>
      </c>
    </row>
    <row r="219" spans="1:14" x14ac:dyDescent="0.25">
      <c r="A219" s="13" t="s">
        <v>1839</v>
      </c>
      <c r="B219" s="6" t="s">
        <v>1893</v>
      </c>
      <c r="C219" s="6" t="s">
        <v>1934</v>
      </c>
      <c r="D219" s="6" t="s">
        <v>1979</v>
      </c>
      <c r="E219" s="6" t="s">
        <v>2024</v>
      </c>
      <c r="F219" s="6" t="s">
        <v>2069</v>
      </c>
      <c r="G219" s="6" t="s">
        <v>2114</v>
      </c>
      <c r="H219" s="6" t="s">
        <v>2158</v>
      </c>
      <c r="I219" s="6" t="s">
        <v>2926</v>
      </c>
      <c r="J219" s="6" t="s">
        <v>3051</v>
      </c>
      <c r="K219" s="6" t="s">
        <v>3178</v>
      </c>
      <c r="L219" s="6" t="s">
        <v>3307</v>
      </c>
      <c r="M219" s="6" t="s">
        <v>3774</v>
      </c>
      <c r="N219" s="6" t="s">
        <v>3879</v>
      </c>
    </row>
    <row r="220" spans="1:14" x14ac:dyDescent="0.25">
      <c r="A220" s="13" t="s">
        <v>187</v>
      </c>
      <c r="B220" s="6" t="s">
        <v>1285</v>
      </c>
      <c r="C220" s="6" t="s">
        <v>1356</v>
      </c>
      <c r="D220" s="6" t="s">
        <v>188</v>
      </c>
      <c r="E220" s="6" t="s">
        <v>189</v>
      </c>
      <c r="F220" s="6" t="s">
        <v>190</v>
      </c>
      <c r="G220" s="6" t="s">
        <v>191</v>
      </c>
      <c r="H220" s="6" t="s">
        <v>192</v>
      </c>
      <c r="I220" s="6" t="s">
        <v>2927</v>
      </c>
      <c r="J220" s="6" t="s">
        <v>3052</v>
      </c>
      <c r="K220" s="6" t="s">
        <v>3179</v>
      </c>
      <c r="L220" s="6" t="s">
        <v>3308</v>
      </c>
      <c r="M220" s="6" t="s">
        <v>3775</v>
      </c>
      <c r="N220" s="6" t="s">
        <v>3880</v>
      </c>
    </row>
    <row r="221" spans="1:14" x14ac:dyDescent="0.25">
      <c r="A221" s="13" t="s">
        <v>1889</v>
      </c>
      <c r="B221" s="6" t="s">
        <v>3464</v>
      </c>
      <c r="C221" s="6" t="s">
        <v>1976</v>
      </c>
      <c r="D221" s="6" t="s">
        <v>2021</v>
      </c>
      <c r="E221" s="6" t="s">
        <v>2066</v>
      </c>
      <c r="F221" s="6" t="s">
        <v>2111</v>
      </c>
      <c r="G221" s="6" t="s">
        <v>2155</v>
      </c>
      <c r="H221" s="6" t="s">
        <v>2200</v>
      </c>
      <c r="I221" s="6" t="s">
        <v>2928</v>
      </c>
      <c r="J221" s="6" t="s">
        <v>3053</v>
      </c>
      <c r="K221" s="6" t="s">
        <v>3180</v>
      </c>
      <c r="L221" s="6" t="s">
        <v>3309</v>
      </c>
      <c r="M221" s="6" t="s">
        <v>3776</v>
      </c>
      <c r="N221" s="6" t="s">
        <v>3881</v>
      </c>
    </row>
    <row r="222" spans="1:14" x14ac:dyDescent="0.25">
      <c r="A222" s="13" t="s">
        <v>221</v>
      </c>
      <c r="B222" s="6" t="s">
        <v>222</v>
      </c>
      <c r="C222" s="6" t="s">
        <v>223</v>
      </c>
      <c r="D222" s="6" t="s">
        <v>224</v>
      </c>
      <c r="E222" s="6" t="s">
        <v>225</v>
      </c>
      <c r="F222" s="6" t="s">
        <v>226</v>
      </c>
      <c r="G222" s="6" t="s">
        <v>227</v>
      </c>
      <c r="H222" s="6" t="s">
        <v>228</v>
      </c>
      <c r="I222" s="6" t="s">
        <v>2929</v>
      </c>
      <c r="J222" s="6" t="s">
        <v>3054</v>
      </c>
      <c r="K222" s="6" t="s">
        <v>3181</v>
      </c>
      <c r="L222" s="6" t="s">
        <v>3310</v>
      </c>
      <c r="M222" s="6" t="s">
        <v>3777</v>
      </c>
      <c r="N222" s="6" t="s">
        <v>3882</v>
      </c>
    </row>
    <row r="223" spans="1:14" x14ac:dyDescent="0.25">
      <c r="A223" s="13" t="s">
        <v>601</v>
      </c>
      <c r="B223" s="6" t="s">
        <v>1286</v>
      </c>
      <c r="C223" s="6" t="s">
        <v>1357</v>
      </c>
      <c r="D223" s="6" t="s">
        <v>1428</v>
      </c>
      <c r="E223" s="6" t="s">
        <v>1500</v>
      </c>
      <c r="F223" s="6" t="s">
        <v>1573</v>
      </c>
      <c r="G223" s="6" t="s">
        <v>1641</v>
      </c>
      <c r="H223" s="6" t="s">
        <v>1711</v>
      </c>
      <c r="I223" s="6" t="s">
        <v>2930</v>
      </c>
      <c r="J223" s="6" t="s">
        <v>3055</v>
      </c>
      <c r="K223" s="6" t="s">
        <v>3182</v>
      </c>
      <c r="L223" s="6" t="s">
        <v>3311</v>
      </c>
      <c r="M223" s="6" t="s">
        <v>3778</v>
      </c>
      <c r="N223" s="6" t="s">
        <v>3883</v>
      </c>
    </row>
    <row r="224" spans="1:14" x14ac:dyDescent="0.25">
      <c r="A224" s="13" t="s">
        <v>602</v>
      </c>
      <c r="B224" s="6" t="s">
        <v>1287</v>
      </c>
      <c r="C224" s="6" t="s">
        <v>1358</v>
      </c>
      <c r="D224" s="6" t="s">
        <v>1429</v>
      </c>
      <c r="E224" s="6" t="s">
        <v>1501</v>
      </c>
      <c r="F224" s="6" t="s">
        <v>1574</v>
      </c>
      <c r="G224" s="6" t="s">
        <v>1642</v>
      </c>
      <c r="H224" s="6" t="s">
        <v>1712</v>
      </c>
      <c r="I224" s="6" t="s">
        <v>2931</v>
      </c>
      <c r="J224" s="6" t="s">
        <v>3056</v>
      </c>
      <c r="K224" s="6" t="s">
        <v>3183</v>
      </c>
      <c r="L224" s="6" t="s">
        <v>3312</v>
      </c>
      <c r="M224" s="6" t="s">
        <v>3779</v>
      </c>
      <c r="N224" s="6" t="s">
        <v>3884</v>
      </c>
    </row>
    <row r="225" spans="1:14" x14ac:dyDescent="0.25">
      <c r="A225" s="13" t="s">
        <v>14</v>
      </c>
      <c r="B225" s="6" t="s">
        <v>1288</v>
      </c>
      <c r="C225" s="6" t="s">
        <v>1359</v>
      </c>
      <c r="D225" s="6" t="s">
        <v>1430</v>
      </c>
      <c r="E225" s="6" t="s">
        <v>1502</v>
      </c>
      <c r="F225" s="6" t="s">
        <v>1575</v>
      </c>
      <c r="G225" s="6" t="s">
        <v>1643</v>
      </c>
      <c r="H225" s="6" t="s">
        <v>1713</v>
      </c>
      <c r="I225" s="6" t="s">
        <v>2932</v>
      </c>
      <c r="J225" s="6" t="s">
        <v>3057</v>
      </c>
      <c r="K225" s="6" t="s">
        <v>3184</v>
      </c>
      <c r="L225" s="6" t="s">
        <v>3313</v>
      </c>
      <c r="M225" s="6" t="s">
        <v>3780</v>
      </c>
      <c r="N225" s="6" t="s">
        <v>3885</v>
      </c>
    </row>
    <row r="226" spans="1:14" x14ac:dyDescent="0.25">
      <c r="A226" s="13" t="s">
        <v>603</v>
      </c>
      <c r="B226" s="6" t="s">
        <v>1892</v>
      </c>
      <c r="C226" s="6" t="s">
        <v>1360</v>
      </c>
      <c r="D226" s="6" t="s">
        <v>1431</v>
      </c>
      <c r="E226" s="6" t="s">
        <v>1503</v>
      </c>
      <c r="F226" s="6" t="s">
        <v>1576</v>
      </c>
      <c r="G226" s="6" t="s">
        <v>1644</v>
      </c>
      <c r="H226" s="6" t="s">
        <v>1714</v>
      </c>
      <c r="I226" s="6" t="s">
        <v>2933</v>
      </c>
      <c r="J226" s="6" t="s">
        <v>3058</v>
      </c>
      <c r="K226" s="6" t="s">
        <v>3185</v>
      </c>
      <c r="L226" s="6" t="s">
        <v>3314</v>
      </c>
      <c r="M226" s="6" t="s">
        <v>3781</v>
      </c>
      <c r="N226" s="6" t="s">
        <v>3886</v>
      </c>
    </row>
    <row r="227" spans="1:14" x14ac:dyDescent="0.25">
      <c r="A227" s="13" t="s">
        <v>247</v>
      </c>
      <c r="B227" s="6" t="s">
        <v>248</v>
      </c>
      <c r="C227" s="6" t="s">
        <v>249</v>
      </c>
      <c r="D227" s="6" t="s">
        <v>250</v>
      </c>
      <c r="E227" s="6" t="s">
        <v>251</v>
      </c>
      <c r="F227" s="6" t="s">
        <v>252</v>
      </c>
      <c r="G227" s="6" t="s">
        <v>253</v>
      </c>
      <c r="H227" s="6" t="s">
        <v>254</v>
      </c>
      <c r="I227" s="6" t="s">
        <v>2934</v>
      </c>
      <c r="J227" s="6" t="s">
        <v>3059</v>
      </c>
      <c r="K227" s="6" t="s">
        <v>3186</v>
      </c>
      <c r="L227" s="6" t="s">
        <v>3315</v>
      </c>
      <c r="M227" s="6" t="s">
        <v>3782</v>
      </c>
      <c r="N227" s="6" t="s">
        <v>3887</v>
      </c>
    </row>
    <row r="228" spans="1:14" x14ac:dyDescent="0.25">
      <c r="A228" s="13" t="s">
        <v>309</v>
      </c>
      <c r="B228" s="6" t="s">
        <v>310</v>
      </c>
      <c r="C228" s="6" t="s">
        <v>311</v>
      </c>
      <c r="D228" s="6" t="s">
        <v>312</v>
      </c>
      <c r="E228" s="6" t="s">
        <v>313</v>
      </c>
      <c r="F228" s="6" t="s">
        <v>314</v>
      </c>
      <c r="G228" s="6" t="s">
        <v>315</v>
      </c>
      <c r="H228" s="6" t="s">
        <v>316</v>
      </c>
      <c r="I228" s="6" t="s">
        <v>2935</v>
      </c>
      <c r="J228" s="6" t="s">
        <v>3060</v>
      </c>
      <c r="K228" s="6" t="s">
        <v>3187</v>
      </c>
      <c r="L228" s="6" t="s">
        <v>3316</v>
      </c>
      <c r="M228" s="6" t="s">
        <v>3783</v>
      </c>
      <c r="N228" s="6" t="s">
        <v>2935</v>
      </c>
    </row>
    <row r="229" spans="1:14" x14ac:dyDescent="0.25">
      <c r="A229" s="13" t="s">
        <v>2</v>
      </c>
      <c r="B229" s="6" t="s">
        <v>142</v>
      </c>
      <c r="C229" s="6" t="s">
        <v>143</v>
      </c>
      <c r="D229" s="6" t="s">
        <v>144</v>
      </c>
      <c r="E229" s="6" t="s">
        <v>145</v>
      </c>
      <c r="F229" s="6" t="s">
        <v>146</v>
      </c>
      <c r="G229" s="6" t="s">
        <v>144</v>
      </c>
      <c r="H229" s="6" t="s">
        <v>147</v>
      </c>
      <c r="I229" s="6" t="s">
        <v>2936</v>
      </c>
      <c r="J229" s="6" t="s">
        <v>3061</v>
      </c>
      <c r="K229" s="6" t="s">
        <v>3188</v>
      </c>
      <c r="L229" s="6" t="s">
        <v>3317</v>
      </c>
      <c r="M229" s="6" t="s">
        <v>3784</v>
      </c>
      <c r="N229" s="6" t="s">
        <v>2936</v>
      </c>
    </row>
    <row r="230" spans="1:14" x14ac:dyDescent="0.25">
      <c r="A230" s="13" t="s">
        <v>1879</v>
      </c>
      <c r="B230" s="6" t="s">
        <v>1923</v>
      </c>
      <c r="C230" s="6" t="s">
        <v>1965</v>
      </c>
      <c r="D230" s="6" t="s">
        <v>2010</v>
      </c>
      <c r="E230" s="6" t="s">
        <v>2055</v>
      </c>
      <c r="F230" s="6" t="s">
        <v>2100</v>
      </c>
      <c r="G230" s="6" t="s">
        <v>2144</v>
      </c>
      <c r="H230" s="6" t="s">
        <v>2189</v>
      </c>
      <c r="I230" s="6" t="s">
        <v>2937</v>
      </c>
      <c r="J230" s="6" t="s">
        <v>3062</v>
      </c>
      <c r="K230" s="6" t="s">
        <v>3189</v>
      </c>
      <c r="L230" s="6" t="s">
        <v>3318</v>
      </c>
      <c r="M230" s="6" t="s">
        <v>3785</v>
      </c>
      <c r="N230" s="6" t="s">
        <v>3888</v>
      </c>
    </row>
    <row r="231" spans="1:14" x14ac:dyDescent="0.25">
      <c r="A231" s="13" t="s">
        <v>604</v>
      </c>
      <c r="B231" s="6" t="s">
        <v>1289</v>
      </c>
      <c r="C231" s="6" t="s">
        <v>1361</v>
      </c>
      <c r="D231" s="6" t="s">
        <v>1432</v>
      </c>
      <c r="E231" s="6" t="s">
        <v>1504</v>
      </c>
      <c r="F231" s="6" t="s">
        <v>1577</v>
      </c>
      <c r="G231" s="6" t="s">
        <v>1645</v>
      </c>
      <c r="H231" s="6" t="s">
        <v>1715</v>
      </c>
      <c r="I231" s="6" t="s">
        <v>2938</v>
      </c>
      <c r="J231" s="6" t="s">
        <v>3063</v>
      </c>
      <c r="K231" s="6" t="s">
        <v>3190</v>
      </c>
      <c r="L231" s="6" t="s">
        <v>3319</v>
      </c>
      <c r="M231" s="6" t="s">
        <v>3786</v>
      </c>
      <c r="N231" s="6" t="s">
        <v>3889</v>
      </c>
    </row>
    <row r="232" spans="1:14" x14ac:dyDescent="0.25">
      <c r="A232" s="13" t="s">
        <v>605</v>
      </c>
      <c r="B232" s="6" t="s">
        <v>1290</v>
      </c>
      <c r="C232" s="6" t="s">
        <v>1362</v>
      </c>
      <c r="D232" s="6" t="s">
        <v>1433</v>
      </c>
      <c r="E232" s="6" t="s">
        <v>1505</v>
      </c>
      <c r="F232" s="6" t="s">
        <v>1578</v>
      </c>
      <c r="G232" s="6" t="s">
        <v>1646</v>
      </c>
      <c r="H232" s="6" t="s">
        <v>1716</v>
      </c>
      <c r="I232" s="6" t="s">
        <v>2939</v>
      </c>
      <c r="J232" s="6" t="s">
        <v>3064</v>
      </c>
      <c r="K232" s="6" t="s">
        <v>3191</v>
      </c>
      <c r="L232" s="6" t="s">
        <v>3320</v>
      </c>
      <c r="M232" s="6" t="s">
        <v>3787</v>
      </c>
      <c r="N232" s="6" t="s">
        <v>3890</v>
      </c>
    </row>
    <row r="233" spans="1:14" x14ac:dyDescent="0.25">
      <c r="A233" s="13" t="s">
        <v>606</v>
      </c>
      <c r="B233" s="6" t="s">
        <v>1291</v>
      </c>
      <c r="C233" s="6" t="s">
        <v>1363</v>
      </c>
      <c r="D233" s="6" t="s">
        <v>1434</v>
      </c>
      <c r="E233" s="6" t="s">
        <v>1506</v>
      </c>
      <c r="F233" s="6" t="s">
        <v>1579</v>
      </c>
      <c r="G233" s="6" t="s">
        <v>1647</v>
      </c>
      <c r="H233" s="6" t="s">
        <v>1717</v>
      </c>
      <c r="I233" s="6" t="s">
        <v>2940</v>
      </c>
      <c r="J233" s="6" t="s">
        <v>3065</v>
      </c>
      <c r="K233" s="6" t="s">
        <v>3192</v>
      </c>
      <c r="L233" s="6" t="s">
        <v>3321</v>
      </c>
      <c r="M233" s="6" t="s">
        <v>3788</v>
      </c>
      <c r="N233" s="6" t="s">
        <v>3891</v>
      </c>
    </row>
    <row r="234" spans="1:14" x14ac:dyDescent="0.25">
      <c r="A234" s="13" t="s">
        <v>607</v>
      </c>
      <c r="B234" s="6" t="s">
        <v>1292</v>
      </c>
      <c r="C234" s="6" t="s">
        <v>1364</v>
      </c>
      <c r="D234" s="6" t="s">
        <v>1435</v>
      </c>
      <c r="E234" s="6" t="s">
        <v>1507</v>
      </c>
      <c r="F234" s="6" t="s">
        <v>1580</v>
      </c>
      <c r="G234" s="6" t="s">
        <v>1648</v>
      </c>
      <c r="H234" s="6" t="s">
        <v>1718</v>
      </c>
      <c r="I234" s="6" t="s">
        <v>2941</v>
      </c>
      <c r="J234" s="6" t="s">
        <v>3066</v>
      </c>
      <c r="K234" s="6" t="s">
        <v>3193</v>
      </c>
      <c r="L234" s="6" t="s">
        <v>3322</v>
      </c>
      <c r="M234" s="6" t="s">
        <v>3789</v>
      </c>
      <c r="N234" s="6" t="s">
        <v>3892</v>
      </c>
    </row>
    <row r="235" spans="1:14" x14ac:dyDescent="0.25">
      <c r="A235" s="13" t="s">
        <v>17</v>
      </c>
      <c r="B235" s="6" t="s">
        <v>1293</v>
      </c>
      <c r="C235" s="6" t="s">
        <v>1365</v>
      </c>
      <c r="D235" s="6" t="s">
        <v>1436</v>
      </c>
      <c r="E235" s="6" t="s">
        <v>1508</v>
      </c>
      <c r="F235" s="6" t="s">
        <v>1581</v>
      </c>
      <c r="G235" s="6" t="s">
        <v>1649</v>
      </c>
      <c r="H235" s="6" t="s">
        <v>1719</v>
      </c>
      <c r="I235" s="6" t="s">
        <v>2942</v>
      </c>
      <c r="J235" s="6" t="s">
        <v>3067</v>
      </c>
      <c r="K235" s="6" t="s">
        <v>3194</v>
      </c>
      <c r="L235" s="6" t="s">
        <v>3323</v>
      </c>
      <c r="M235" s="6" t="s">
        <v>3790</v>
      </c>
      <c r="N235" s="6" t="s">
        <v>2942</v>
      </c>
    </row>
    <row r="236" spans="1:14" x14ac:dyDescent="0.25">
      <c r="A236" s="13" t="s">
        <v>608</v>
      </c>
      <c r="B236" s="6" t="s">
        <v>1294</v>
      </c>
      <c r="C236" s="6" t="s">
        <v>1366</v>
      </c>
      <c r="D236" s="6" t="s">
        <v>1437</v>
      </c>
      <c r="E236" s="6" t="s">
        <v>1509</v>
      </c>
      <c r="F236" s="6" t="s">
        <v>1582</v>
      </c>
      <c r="G236" s="6" t="s">
        <v>608</v>
      </c>
      <c r="H236" s="6" t="s">
        <v>608</v>
      </c>
      <c r="I236" s="6" t="s">
        <v>2943</v>
      </c>
      <c r="J236" s="6" t="s">
        <v>3068</v>
      </c>
      <c r="K236" s="6" t="s">
        <v>3195</v>
      </c>
      <c r="L236" s="6" t="s">
        <v>3324</v>
      </c>
      <c r="M236" s="6" t="s">
        <v>608</v>
      </c>
      <c r="N236" s="6" t="s">
        <v>3893</v>
      </c>
    </row>
    <row r="237" spans="1:14" x14ac:dyDescent="0.25">
      <c r="A237" s="13" t="s">
        <v>609</v>
      </c>
      <c r="B237" s="6" t="s">
        <v>1295</v>
      </c>
      <c r="C237" s="6" t="s">
        <v>609</v>
      </c>
      <c r="D237" s="6" t="s">
        <v>1438</v>
      </c>
      <c r="E237" s="6" t="s">
        <v>1510</v>
      </c>
      <c r="F237" s="6" t="s">
        <v>1583</v>
      </c>
      <c r="G237" s="6" t="s">
        <v>609</v>
      </c>
      <c r="H237" s="6" t="s">
        <v>1720</v>
      </c>
      <c r="I237" s="6" t="s">
        <v>2944</v>
      </c>
      <c r="J237" s="6" t="s">
        <v>3069</v>
      </c>
      <c r="K237" s="6" t="s">
        <v>3196</v>
      </c>
      <c r="L237" s="6" t="s">
        <v>3325</v>
      </c>
      <c r="M237" s="6" t="s">
        <v>3791</v>
      </c>
      <c r="N237" s="6" t="s">
        <v>3894</v>
      </c>
    </row>
    <row r="238" spans="1:14" x14ac:dyDescent="0.25">
      <c r="A238" s="13" t="s">
        <v>342</v>
      </c>
      <c r="B238" s="6" t="s">
        <v>1296</v>
      </c>
      <c r="C238" s="6" t="s">
        <v>342</v>
      </c>
      <c r="D238" s="6" t="s">
        <v>401</v>
      </c>
      <c r="E238" s="6" t="s">
        <v>420</v>
      </c>
      <c r="F238" s="6" t="s">
        <v>437</v>
      </c>
      <c r="G238" s="6" t="s">
        <v>342</v>
      </c>
      <c r="H238" s="6" t="s">
        <v>342</v>
      </c>
      <c r="I238" s="6" t="s">
        <v>342</v>
      </c>
      <c r="J238" s="6" t="s">
        <v>2338</v>
      </c>
      <c r="K238" s="6" t="s">
        <v>2362</v>
      </c>
      <c r="L238" s="6" t="s">
        <v>2387</v>
      </c>
      <c r="M238" s="6" t="s">
        <v>3792</v>
      </c>
      <c r="N238" s="6" t="s">
        <v>3895</v>
      </c>
    </row>
    <row r="239" spans="1:14" x14ac:dyDescent="0.25">
      <c r="A239" s="13" t="s">
        <v>610</v>
      </c>
      <c r="B239" s="6" t="s">
        <v>1835</v>
      </c>
      <c r="C239" s="6" t="s">
        <v>1367</v>
      </c>
      <c r="D239" s="6" t="s">
        <v>1439</v>
      </c>
      <c r="E239" s="6" t="s">
        <v>1511</v>
      </c>
      <c r="F239" s="6" t="s">
        <v>1584</v>
      </c>
      <c r="G239" s="6" t="s">
        <v>1650</v>
      </c>
      <c r="H239" s="6" t="s">
        <v>1721</v>
      </c>
      <c r="I239" s="6" t="s">
        <v>2945</v>
      </c>
      <c r="J239" s="6" t="s">
        <v>3070</v>
      </c>
      <c r="K239" s="6" t="s">
        <v>3197</v>
      </c>
      <c r="L239" s="6" t="s">
        <v>3326</v>
      </c>
      <c r="M239" s="6" t="s">
        <v>3793</v>
      </c>
      <c r="N239" s="6" t="s">
        <v>3896</v>
      </c>
    </row>
    <row r="240" spans="1:14" x14ac:dyDescent="0.25">
      <c r="A240" s="13" t="s">
        <v>20</v>
      </c>
      <c r="B240" s="6" t="s">
        <v>1297</v>
      </c>
      <c r="C240" s="6" t="s">
        <v>1368</v>
      </c>
      <c r="D240" s="6" t="s">
        <v>1440</v>
      </c>
      <c r="E240" s="6" t="s">
        <v>1512</v>
      </c>
      <c r="F240" s="6" t="s">
        <v>1585</v>
      </c>
      <c r="G240" s="6" t="s">
        <v>1651</v>
      </c>
      <c r="H240" s="6" t="s">
        <v>1722</v>
      </c>
      <c r="I240" s="6" t="s">
        <v>2946</v>
      </c>
      <c r="J240" s="6" t="s">
        <v>3071</v>
      </c>
      <c r="K240" s="6" t="s">
        <v>3198</v>
      </c>
      <c r="L240" s="6" t="s">
        <v>3327</v>
      </c>
      <c r="M240" s="6" t="s">
        <v>3794</v>
      </c>
      <c r="N240" s="6" t="s">
        <v>3897</v>
      </c>
    </row>
    <row r="241" spans="1:14" x14ac:dyDescent="0.25">
      <c r="A241" s="13" t="s">
        <v>255</v>
      </c>
      <c r="B241" s="6" t="s">
        <v>256</v>
      </c>
      <c r="C241" s="6" t="s">
        <v>257</v>
      </c>
      <c r="D241" s="6" t="s">
        <v>258</v>
      </c>
      <c r="E241" s="6" t="s">
        <v>1513</v>
      </c>
      <c r="F241" s="6" t="s">
        <v>259</v>
      </c>
      <c r="G241" s="6" t="s">
        <v>260</v>
      </c>
      <c r="H241" s="6" t="s">
        <v>261</v>
      </c>
      <c r="I241" s="6" t="s">
        <v>3430</v>
      </c>
      <c r="J241" s="6" t="s">
        <v>3396</v>
      </c>
      <c r="K241" s="6" t="s">
        <v>3362</v>
      </c>
      <c r="L241" s="6" t="s">
        <v>3328</v>
      </c>
      <c r="M241" s="6" t="s">
        <v>3933</v>
      </c>
      <c r="N241" s="6" t="s">
        <v>3898</v>
      </c>
    </row>
    <row r="242" spans="1:14" x14ac:dyDescent="0.25">
      <c r="A242" s="13" t="s">
        <v>611</v>
      </c>
      <c r="B242" s="6" t="s">
        <v>1834</v>
      </c>
      <c r="C242" s="6" t="s">
        <v>1369</v>
      </c>
      <c r="D242" s="6" t="s">
        <v>1441</v>
      </c>
      <c r="E242" s="6" t="s">
        <v>1514</v>
      </c>
      <c r="F242" s="6" t="s">
        <v>1586</v>
      </c>
      <c r="G242" s="6" t="s">
        <v>1652</v>
      </c>
      <c r="H242" s="6" t="s">
        <v>1723</v>
      </c>
      <c r="I242" s="6" t="s">
        <v>3431</v>
      </c>
      <c r="J242" s="6" t="s">
        <v>3397</v>
      </c>
      <c r="K242" s="6" t="s">
        <v>3363</v>
      </c>
      <c r="L242" s="6" t="s">
        <v>3329</v>
      </c>
      <c r="M242" s="6" t="s">
        <v>3934</v>
      </c>
      <c r="N242" s="6" t="s">
        <v>3899</v>
      </c>
    </row>
    <row r="243" spans="1:14" x14ac:dyDescent="0.25">
      <c r="A243" s="13" t="s">
        <v>612</v>
      </c>
      <c r="B243" s="6" t="s">
        <v>1298</v>
      </c>
      <c r="C243" s="6" t="s">
        <v>1370</v>
      </c>
      <c r="D243" s="6" t="s">
        <v>1442</v>
      </c>
      <c r="E243" s="6" t="s">
        <v>1515</v>
      </c>
      <c r="F243" s="6" t="s">
        <v>1587</v>
      </c>
      <c r="G243" s="6" t="s">
        <v>1653</v>
      </c>
      <c r="H243" s="6" t="s">
        <v>1724</v>
      </c>
      <c r="I243" s="6" t="s">
        <v>3432</v>
      </c>
      <c r="J243" s="6" t="s">
        <v>3398</v>
      </c>
      <c r="K243" s="6" t="s">
        <v>3364</v>
      </c>
      <c r="L243" s="6" t="s">
        <v>3330</v>
      </c>
      <c r="M243" s="6" t="s">
        <v>3935</v>
      </c>
      <c r="N243" s="6" t="s">
        <v>3900</v>
      </c>
    </row>
    <row r="244" spans="1:14" x14ac:dyDescent="0.25">
      <c r="A244" s="13" t="s">
        <v>613</v>
      </c>
      <c r="B244" s="6" t="s">
        <v>1299</v>
      </c>
      <c r="C244" s="6" t="s">
        <v>1371</v>
      </c>
      <c r="D244" s="6" t="s">
        <v>1443</v>
      </c>
      <c r="E244" s="6" t="s">
        <v>1516</v>
      </c>
      <c r="F244" s="6" t="s">
        <v>1588</v>
      </c>
      <c r="G244" s="6" t="s">
        <v>1654</v>
      </c>
      <c r="H244" s="6" t="s">
        <v>1725</v>
      </c>
      <c r="I244" s="6" t="s">
        <v>3433</v>
      </c>
      <c r="J244" s="6" t="s">
        <v>3399</v>
      </c>
      <c r="K244" s="6" t="s">
        <v>3365</v>
      </c>
      <c r="L244" s="6" t="s">
        <v>3331</v>
      </c>
      <c r="M244" s="6" t="s">
        <v>3936</v>
      </c>
      <c r="N244" s="6" t="s">
        <v>3901</v>
      </c>
    </row>
    <row r="245" spans="1:14" x14ac:dyDescent="0.25">
      <c r="A245" s="13" t="s">
        <v>614</v>
      </c>
      <c r="B245" s="6" t="s">
        <v>1300</v>
      </c>
      <c r="C245" s="6" t="s">
        <v>1372</v>
      </c>
      <c r="D245" s="6" t="s">
        <v>1444</v>
      </c>
      <c r="E245" s="6" t="s">
        <v>1517</v>
      </c>
      <c r="F245" s="6" t="s">
        <v>1589</v>
      </c>
      <c r="G245" s="6" t="s">
        <v>1655</v>
      </c>
      <c r="H245" s="6" t="s">
        <v>1726</v>
      </c>
      <c r="I245" s="6" t="s">
        <v>3434</v>
      </c>
      <c r="J245" s="6" t="s">
        <v>3400</v>
      </c>
      <c r="K245" s="6" t="s">
        <v>3366</v>
      </c>
      <c r="L245" s="6" t="s">
        <v>3332</v>
      </c>
      <c r="M245" s="6" t="s">
        <v>3937</v>
      </c>
      <c r="N245" s="6" t="s">
        <v>3902</v>
      </c>
    </row>
    <row r="246" spans="1:14" x14ac:dyDescent="0.25">
      <c r="A246" s="13" t="s">
        <v>615</v>
      </c>
      <c r="B246" s="6" t="s">
        <v>1301</v>
      </c>
      <c r="C246" s="6" t="s">
        <v>1373</v>
      </c>
      <c r="D246" s="6" t="s">
        <v>1445</v>
      </c>
      <c r="E246" s="6" t="s">
        <v>1518</v>
      </c>
      <c r="F246" s="6" t="s">
        <v>1590</v>
      </c>
      <c r="G246" s="6" t="s">
        <v>1656</v>
      </c>
      <c r="H246" s="6" t="s">
        <v>1727</v>
      </c>
      <c r="I246" s="6" t="s">
        <v>3435</v>
      </c>
      <c r="J246" s="6" t="s">
        <v>3401</v>
      </c>
      <c r="K246" s="6" t="s">
        <v>3367</v>
      </c>
      <c r="L246" s="6" t="s">
        <v>3333</v>
      </c>
      <c r="M246" s="6" t="s">
        <v>3938</v>
      </c>
      <c r="N246" s="6" t="s">
        <v>3903</v>
      </c>
    </row>
    <row r="247" spans="1:14" x14ac:dyDescent="0.25">
      <c r="A247" s="13" t="s">
        <v>616</v>
      </c>
      <c r="B247" s="6" t="s">
        <v>1302</v>
      </c>
      <c r="C247" s="6" t="s">
        <v>1374</v>
      </c>
      <c r="D247" s="6" t="s">
        <v>1446</v>
      </c>
      <c r="E247" s="6" t="s">
        <v>1519</v>
      </c>
      <c r="F247" s="6" t="s">
        <v>1591</v>
      </c>
      <c r="G247" s="6" t="s">
        <v>1657</v>
      </c>
      <c r="H247" s="6" t="s">
        <v>1728</v>
      </c>
      <c r="I247" s="6" t="s">
        <v>3436</v>
      </c>
      <c r="J247" s="6" t="s">
        <v>3402</v>
      </c>
      <c r="K247" s="6" t="s">
        <v>3368</v>
      </c>
      <c r="L247" s="6" t="s">
        <v>3334</v>
      </c>
      <c r="M247" s="6" t="s">
        <v>3939</v>
      </c>
      <c r="N247" s="6" t="s">
        <v>3904</v>
      </c>
    </row>
    <row r="248" spans="1:14" x14ac:dyDescent="0.25">
      <c r="A248" s="13" t="s">
        <v>617</v>
      </c>
      <c r="B248" s="6" t="s">
        <v>1303</v>
      </c>
      <c r="C248" s="6" t="s">
        <v>1375</v>
      </c>
      <c r="D248" s="6" t="s">
        <v>1447</v>
      </c>
      <c r="E248" s="6" t="s">
        <v>1520</v>
      </c>
      <c r="F248" s="6" t="s">
        <v>1592</v>
      </c>
      <c r="G248" s="6" t="s">
        <v>1658</v>
      </c>
      <c r="H248" s="6" t="s">
        <v>1729</v>
      </c>
      <c r="I248" s="6" t="s">
        <v>3437</v>
      </c>
      <c r="J248" s="6" t="s">
        <v>3403</v>
      </c>
      <c r="K248" s="6" t="s">
        <v>3369</v>
      </c>
      <c r="L248" s="6" t="s">
        <v>3335</v>
      </c>
      <c r="M248" s="6" t="s">
        <v>3940</v>
      </c>
      <c r="N248" s="6" t="s">
        <v>3905</v>
      </c>
    </row>
    <row r="249" spans="1:14" x14ac:dyDescent="0.25">
      <c r="A249" s="13" t="s">
        <v>304</v>
      </c>
      <c r="B249" s="6" t="s">
        <v>1304</v>
      </c>
      <c r="C249" s="6" t="s">
        <v>305</v>
      </c>
      <c r="D249" s="6" t="s">
        <v>1448</v>
      </c>
      <c r="E249" s="6" t="s">
        <v>1521</v>
      </c>
      <c r="F249" s="6" t="s">
        <v>306</v>
      </c>
      <c r="G249" s="6" t="s">
        <v>307</v>
      </c>
      <c r="H249" s="6" t="s">
        <v>308</v>
      </c>
      <c r="I249" s="6" t="s">
        <v>3438</v>
      </c>
      <c r="J249" s="6" t="s">
        <v>3404</v>
      </c>
      <c r="K249" s="6" t="s">
        <v>3370</v>
      </c>
      <c r="L249" s="6" t="s">
        <v>3336</v>
      </c>
      <c r="M249" s="6" t="s">
        <v>3941</v>
      </c>
      <c r="N249" s="6" t="s">
        <v>3906</v>
      </c>
    </row>
    <row r="250" spans="1:14" x14ac:dyDescent="0.25">
      <c r="A250" s="13" t="s">
        <v>618</v>
      </c>
      <c r="B250" s="6" t="s">
        <v>1305</v>
      </c>
      <c r="C250" s="6" t="s">
        <v>1376</v>
      </c>
      <c r="D250" s="6" t="s">
        <v>1449</v>
      </c>
      <c r="E250" s="6" t="s">
        <v>1522</v>
      </c>
      <c r="F250" s="6" t="s">
        <v>1593</v>
      </c>
      <c r="G250" s="6" t="s">
        <v>1659</v>
      </c>
      <c r="H250" s="6" t="s">
        <v>1730</v>
      </c>
      <c r="I250" s="6" t="s">
        <v>3439</v>
      </c>
      <c r="J250" s="6" t="s">
        <v>3405</v>
      </c>
      <c r="K250" s="6" t="s">
        <v>3371</v>
      </c>
      <c r="L250" s="6" t="s">
        <v>3337</v>
      </c>
      <c r="M250" s="6" t="s">
        <v>3942</v>
      </c>
      <c r="N250" s="6" t="s">
        <v>3907</v>
      </c>
    </row>
    <row r="251" spans="1:14" x14ac:dyDescent="0.25">
      <c r="A251" s="13" t="s">
        <v>619</v>
      </c>
      <c r="B251" s="6" t="s">
        <v>1836</v>
      </c>
      <c r="C251" s="6" t="s">
        <v>1377</v>
      </c>
      <c r="D251" s="6" t="s">
        <v>1450</v>
      </c>
      <c r="E251" s="6" t="s">
        <v>1523</v>
      </c>
      <c r="F251" s="6" t="s">
        <v>1594</v>
      </c>
      <c r="G251" s="6" t="s">
        <v>1660</v>
      </c>
      <c r="H251" s="6" t="s">
        <v>1731</v>
      </c>
      <c r="I251" s="6" t="s">
        <v>3440</v>
      </c>
      <c r="J251" s="6" t="s">
        <v>3406</v>
      </c>
      <c r="K251" s="6" t="s">
        <v>3372</v>
      </c>
      <c r="L251" s="6" t="s">
        <v>3338</v>
      </c>
      <c r="M251" s="6" t="s">
        <v>3943</v>
      </c>
      <c r="N251" s="6" t="s">
        <v>3908</v>
      </c>
    </row>
    <row r="252" spans="1:14" x14ac:dyDescent="0.25">
      <c r="A252" s="13" t="s">
        <v>1851</v>
      </c>
      <c r="B252" s="6" t="s">
        <v>1932</v>
      </c>
      <c r="C252" s="6" t="s">
        <v>1975</v>
      </c>
      <c r="D252" s="6" t="s">
        <v>2020</v>
      </c>
      <c r="E252" s="6" t="s">
        <v>2065</v>
      </c>
      <c r="F252" s="6" t="s">
        <v>2110</v>
      </c>
      <c r="G252" s="6" t="s">
        <v>2154</v>
      </c>
      <c r="H252" s="6" t="s">
        <v>2199</v>
      </c>
      <c r="I252" s="6" t="s">
        <v>3441</v>
      </c>
      <c r="J252" s="6" t="s">
        <v>3407</v>
      </c>
      <c r="K252" s="6" t="s">
        <v>3373</v>
      </c>
      <c r="L252" s="6" t="s">
        <v>3339</v>
      </c>
      <c r="M252" s="6" t="s">
        <v>3944</v>
      </c>
      <c r="N252" s="6" t="s">
        <v>3909</v>
      </c>
    </row>
    <row r="253" spans="1:14" x14ac:dyDescent="0.25">
      <c r="A253" s="13" t="s">
        <v>1891</v>
      </c>
      <c r="B253" s="6" t="s">
        <v>1933</v>
      </c>
      <c r="C253" s="6" t="s">
        <v>1978</v>
      </c>
      <c r="D253" s="6" t="s">
        <v>2023</v>
      </c>
      <c r="E253" s="6" t="s">
        <v>2068</v>
      </c>
      <c r="F253" s="6" t="s">
        <v>2113</v>
      </c>
      <c r="G253" s="6" t="s">
        <v>2157</v>
      </c>
      <c r="H253" s="6" t="s">
        <v>2202</v>
      </c>
      <c r="I253" s="6" t="s">
        <v>3442</v>
      </c>
      <c r="J253" s="6" t="s">
        <v>3408</v>
      </c>
      <c r="K253" s="6" t="s">
        <v>3374</v>
      </c>
      <c r="L253" s="6" t="s">
        <v>3340</v>
      </c>
      <c r="M253" s="6" t="s">
        <v>3945</v>
      </c>
      <c r="N253" s="6" t="s">
        <v>3910</v>
      </c>
    </row>
    <row r="254" spans="1:14" x14ac:dyDescent="0.25">
      <c r="A254" s="13" t="s">
        <v>620</v>
      </c>
      <c r="B254" s="6" t="s">
        <v>1306</v>
      </c>
      <c r="C254" s="6" t="s">
        <v>1378</v>
      </c>
      <c r="D254" s="6" t="s">
        <v>1451</v>
      </c>
      <c r="E254" s="6" t="s">
        <v>1524</v>
      </c>
      <c r="F254" s="6" t="s">
        <v>1595</v>
      </c>
      <c r="G254" s="6" t="s">
        <v>1661</v>
      </c>
      <c r="H254" s="6" t="s">
        <v>1732</v>
      </c>
      <c r="I254" s="6" t="s">
        <v>3443</v>
      </c>
      <c r="J254" s="6" t="s">
        <v>3409</v>
      </c>
      <c r="K254" s="6" t="s">
        <v>3375</v>
      </c>
      <c r="L254" s="6" t="s">
        <v>3341</v>
      </c>
      <c r="M254" s="6" t="s">
        <v>3946</v>
      </c>
      <c r="N254" s="6" t="s">
        <v>3911</v>
      </c>
    </row>
    <row r="255" spans="1:14" x14ac:dyDescent="0.25">
      <c r="A255" s="13" t="s">
        <v>89</v>
      </c>
      <c r="B255" s="6" t="s">
        <v>376</v>
      </c>
      <c r="C255" s="6" t="s">
        <v>90</v>
      </c>
      <c r="D255" s="6" t="s">
        <v>91</v>
      </c>
      <c r="E255" s="6" t="s">
        <v>92</v>
      </c>
      <c r="F255" s="6" t="s">
        <v>93</v>
      </c>
      <c r="G255" s="6" t="s">
        <v>94</v>
      </c>
      <c r="H255" s="6" t="s">
        <v>95</v>
      </c>
      <c r="I255" s="6" t="s">
        <v>2336</v>
      </c>
      <c r="J255" s="6" t="s">
        <v>2360</v>
      </c>
      <c r="K255" s="6" t="s">
        <v>2385</v>
      </c>
      <c r="L255" s="6" t="s">
        <v>2409</v>
      </c>
      <c r="M255" s="6" t="s">
        <v>3947</v>
      </c>
      <c r="N255" s="6" t="s">
        <v>3912</v>
      </c>
    </row>
    <row r="256" spans="1:14" x14ac:dyDescent="0.25">
      <c r="A256" s="13" t="s">
        <v>621</v>
      </c>
      <c r="B256" s="6" t="s">
        <v>1307</v>
      </c>
      <c r="C256" s="6" t="s">
        <v>1379</v>
      </c>
      <c r="D256" s="6" t="s">
        <v>1452</v>
      </c>
      <c r="E256" s="6" t="s">
        <v>1525</v>
      </c>
      <c r="F256" s="6" t="s">
        <v>1596</v>
      </c>
      <c r="G256" s="6" t="s">
        <v>1662</v>
      </c>
      <c r="H256" s="6" t="s">
        <v>1733</v>
      </c>
      <c r="I256" s="6" t="s">
        <v>3444</v>
      </c>
      <c r="J256" s="6" t="s">
        <v>3410</v>
      </c>
      <c r="K256" s="6" t="s">
        <v>3376</v>
      </c>
      <c r="L256" s="6" t="s">
        <v>3342</v>
      </c>
      <c r="M256" s="6" t="s">
        <v>3948</v>
      </c>
      <c r="N256" s="6" t="s">
        <v>3913</v>
      </c>
    </row>
    <row r="257" spans="1:14" x14ac:dyDescent="0.25">
      <c r="A257" s="13" t="s">
        <v>622</v>
      </c>
      <c r="B257" s="6" t="s">
        <v>1308</v>
      </c>
      <c r="C257" s="6" t="s">
        <v>1380</v>
      </c>
      <c r="D257" s="6" t="s">
        <v>1453</v>
      </c>
      <c r="E257" s="6" t="s">
        <v>1526</v>
      </c>
      <c r="F257" s="6" t="s">
        <v>1597</v>
      </c>
      <c r="G257" s="6" t="s">
        <v>1663</v>
      </c>
      <c r="H257" s="6" t="s">
        <v>1734</v>
      </c>
      <c r="I257" s="6" t="s">
        <v>3445</v>
      </c>
      <c r="J257" s="6" t="s">
        <v>3411</v>
      </c>
      <c r="K257" s="6" t="s">
        <v>3377</v>
      </c>
      <c r="L257" s="6" t="s">
        <v>3343</v>
      </c>
      <c r="M257" s="6" t="s">
        <v>3949</v>
      </c>
      <c r="N257" s="6" t="s">
        <v>3914</v>
      </c>
    </row>
    <row r="258" spans="1:14" x14ac:dyDescent="0.25">
      <c r="A258" s="13" t="s">
        <v>623</v>
      </c>
      <c r="B258" s="6" t="s">
        <v>1309</v>
      </c>
      <c r="C258" s="6" t="s">
        <v>1381</v>
      </c>
      <c r="D258" s="6" t="s">
        <v>1454</v>
      </c>
      <c r="E258" s="6" t="s">
        <v>1527</v>
      </c>
      <c r="F258" s="6" t="s">
        <v>1598</v>
      </c>
      <c r="G258" s="6" t="s">
        <v>1664</v>
      </c>
      <c r="H258" s="6" t="s">
        <v>1735</v>
      </c>
      <c r="I258" s="6" t="s">
        <v>3446</v>
      </c>
      <c r="J258" s="6" t="s">
        <v>3412</v>
      </c>
      <c r="K258" s="6" t="s">
        <v>3378</v>
      </c>
      <c r="L258" s="6" t="s">
        <v>3344</v>
      </c>
      <c r="M258" s="6" t="s">
        <v>3950</v>
      </c>
      <c r="N258" s="6" t="s">
        <v>3915</v>
      </c>
    </row>
    <row r="259" spans="1:14" x14ac:dyDescent="0.25">
      <c r="A259" s="13" t="s">
        <v>624</v>
      </c>
      <c r="B259" s="6" t="s">
        <v>1310</v>
      </c>
      <c r="C259" s="6" t="s">
        <v>1382</v>
      </c>
      <c r="D259" s="6" t="s">
        <v>1455</v>
      </c>
      <c r="E259" s="6" t="s">
        <v>1528</v>
      </c>
      <c r="F259" s="6" t="s">
        <v>1599</v>
      </c>
      <c r="G259" s="6" t="s">
        <v>1665</v>
      </c>
      <c r="H259" s="6" t="s">
        <v>1736</v>
      </c>
      <c r="I259" s="6" t="s">
        <v>3447</v>
      </c>
      <c r="J259" s="6" t="s">
        <v>3413</v>
      </c>
      <c r="K259" s="6" t="s">
        <v>3379</v>
      </c>
      <c r="L259" s="6" t="s">
        <v>3345</v>
      </c>
      <c r="M259" s="6" t="s">
        <v>3951</v>
      </c>
      <c r="N259" s="6" t="s">
        <v>3916</v>
      </c>
    </row>
    <row r="260" spans="1:14" x14ac:dyDescent="0.25">
      <c r="A260" s="13" t="s">
        <v>625</v>
      </c>
      <c r="B260" s="6" t="s">
        <v>1311</v>
      </c>
      <c r="C260" s="6" t="s">
        <v>1383</v>
      </c>
      <c r="D260" s="6" t="s">
        <v>1456</v>
      </c>
      <c r="E260" s="6" t="s">
        <v>1529</v>
      </c>
      <c r="F260" s="6" t="s">
        <v>1600</v>
      </c>
      <c r="G260" s="6" t="s">
        <v>1666</v>
      </c>
      <c r="H260" s="6" t="s">
        <v>1737</v>
      </c>
      <c r="I260" s="6" t="s">
        <v>3448</v>
      </c>
      <c r="J260" s="6" t="s">
        <v>3414</v>
      </c>
      <c r="K260" s="6" t="s">
        <v>3380</v>
      </c>
      <c r="L260" s="6" t="s">
        <v>3346</v>
      </c>
      <c r="M260" s="6" t="s">
        <v>3952</v>
      </c>
      <c r="N260" s="6" t="s">
        <v>3917</v>
      </c>
    </row>
    <row r="261" spans="1:14" x14ac:dyDescent="0.25">
      <c r="A261" s="13" t="s">
        <v>626</v>
      </c>
      <c r="B261" s="6" t="s">
        <v>1312</v>
      </c>
      <c r="C261" s="6" t="s">
        <v>1384</v>
      </c>
      <c r="D261" s="6" t="s">
        <v>1457</v>
      </c>
      <c r="E261" s="6" t="s">
        <v>1530</v>
      </c>
      <c r="F261" s="6" t="s">
        <v>1601</v>
      </c>
      <c r="G261" s="6" t="s">
        <v>1667</v>
      </c>
      <c r="H261" s="6" t="s">
        <v>1738</v>
      </c>
      <c r="I261" s="6" t="s">
        <v>3449</v>
      </c>
      <c r="J261" s="6" t="s">
        <v>3415</v>
      </c>
      <c r="K261" s="6" t="s">
        <v>3381</v>
      </c>
      <c r="L261" s="6" t="s">
        <v>3347</v>
      </c>
      <c r="M261" s="6" t="s">
        <v>3953</v>
      </c>
      <c r="N261" s="6" t="s">
        <v>3918</v>
      </c>
    </row>
    <row r="262" spans="1:14" x14ac:dyDescent="0.25">
      <c r="A262" s="13" t="s">
        <v>627</v>
      </c>
      <c r="B262" s="6" t="s">
        <v>1814</v>
      </c>
      <c r="C262" s="6" t="s">
        <v>1802</v>
      </c>
      <c r="D262" s="6" t="s">
        <v>1789</v>
      </c>
      <c r="E262" s="6" t="s">
        <v>1777</v>
      </c>
      <c r="F262" s="6" t="s">
        <v>1764</v>
      </c>
      <c r="G262" s="6" t="s">
        <v>1751</v>
      </c>
      <c r="H262" s="6" t="s">
        <v>1744</v>
      </c>
      <c r="I262" s="6" t="s">
        <v>3450</v>
      </c>
      <c r="J262" s="6" t="s">
        <v>3416</v>
      </c>
      <c r="K262" s="6" t="s">
        <v>3382</v>
      </c>
      <c r="L262" s="6" t="s">
        <v>3348</v>
      </c>
      <c r="M262" s="6" t="s">
        <v>3954</v>
      </c>
      <c r="N262" s="6" t="s">
        <v>3919</v>
      </c>
    </row>
    <row r="263" spans="1:14" x14ac:dyDescent="0.25">
      <c r="A263" s="13" t="s">
        <v>628</v>
      </c>
      <c r="B263" s="6" t="s">
        <v>1815</v>
      </c>
      <c r="C263" s="6" t="s">
        <v>1803</v>
      </c>
      <c r="D263" s="6" t="s">
        <v>1790</v>
      </c>
      <c r="E263" s="6" t="s">
        <v>1778</v>
      </c>
      <c r="F263" s="6" t="s">
        <v>1765</v>
      </c>
      <c r="G263" s="6" t="s">
        <v>1752</v>
      </c>
      <c r="H263" s="6" t="s">
        <v>1745</v>
      </c>
      <c r="I263" s="6" t="s">
        <v>3451</v>
      </c>
      <c r="J263" s="6" t="s">
        <v>3417</v>
      </c>
      <c r="K263" s="6" t="s">
        <v>3383</v>
      </c>
      <c r="L263" s="6" t="s">
        <v>3349</v>
      </c>
      <c r="M263" s="6" t="s">
        <v>3955</v>
      </c>
      <c r="N263" s="6" t="s">
        <v>3920</v>
      </c>
    </row>
    <row r="264" spans="1:14" x14ac:dyDescent="0.25">
      <c r="A264" s="13" t="s">
        <v>629</v>
      </c>
      <c r="B264" s="6" t="s">
        <v>1816</v>
      </c>
      <c r="C264" s="6" t="s">
        <v>1804</v>
      </c>
      <c r="D264" s="6" t="s">
        <v>1791</v>
      </c>
      <c r="E264" s="6" t="s">
        <v>1779</v>
      </c>
      <c r="F264" s="6" t="s">
        <v>1766</v>
      </c>
      <c r="G264" s="6" t="s">
        <v>1753</v>
      </c>
      <c r="H264" s="6" t="s">
        <v>1746</v>
      </c>
      <c r="I264" s="6" t="s">
        <v>3452</v>
      </c>
      <c r="J264" s="6" t="s">
        <v>3418</v>
      </c>
      <c r="K264" s="6" t="s">
        <v>3384</v>
      </c>
      <c r="L264" s="6" t="s">
        <v>3350</v>
      </c>
      <c r="M264" s="6" t="s">
        <v>3956</v>
      </c>
      <c r="N264" s="6" t="s">
        <v>3921</v>
      </c>
    </row>
    <row r="265" spans="1:14" x14ac:dyDescent="0.25">
      <c r="A265" s="13" t="s">
        <v>630</v>
      </c>
      <c r="B265" s="6" t="s">
        <v>1817</v>
      </c>
      <c r="C265" s="6" t="s">
        <v>1805</v>
      </c>
      <c r="D265" s="6" t="s">
        <v>1792</v>
      </c>
      <c r="E265" s="6" t="s">
        <v>1780</v>
      </c>
      <c r="F265" s="6" t="s">
        <v>1767</v>
      </c>
      <c r="G265" s="6" t="s">
        <v>1754</v>
      </c>
      <c r="H265" s="6" t="s">
        <v>1747</v>
      </c>
      <c r="I265" s="6" t="s">
        <v>3453</v>
      </c>
      <c r="J265" s="6" t="s">
        <v>3419</v>
      </c>
      <c r="K265" s="6" t="s">
        <v>3385</v>
      </c>
      <c r="L265" s="6" t="s">
        <v>3351</v>
      </c>
      <c r="M265" s="6" t="s">
        <v>3957</v>
      </c>
      <c r="N265" s="6" t="s">
        <v>3922</v>
      </c>
    </row>
    <row r="266" spans="1:14" x14ac:dyDescent="0.25">
      <c r="A266" s="13" t="s">
        <v>631</v>
      </c>
      <c r="B266" s="6" t="s">
        <v>1818</v>
      </c>
      <c r="C266" s="6" t="s">
        <v>1806</v>
      </c>
      <c r="D266" s="6" t="s">
        <v>1793</v>
      </c>
      <c r="E266" s="6" t="s">
        <v>1781</v>
      </c>
      <c r="F266" s="6" t="s">
        <v>1768</v>
      </c>
      <c r="G266" s="6" t="s">
        <v>1755</v>
      </c>
      <c r="H266" s="6" t="s">
        <v>1748</v>
      </c>
      <c r="I266" s="6" t="s">
        <v>3454</v>
      </c>
      <c r="J266" s="6" t="s">
        <v>3420</v>
      </c>
      <c r="K266" s="6" t="s">
        <v>3386</v>
      </c>
      <c r="L266" s="6" t="s">
        <v>3352</v>
      </c>
      <c r="M266" s="6" t="s">
        <v>3958</v>
      </c>
      <c r="N266" s="6" t="s">
        <v>3923</v>
      </c>
    </row>
    <row r="267" spans="1:14" x14ac:dyDescent="0.25">
      <c r="A267" s="13" t="s">
        <v>632</v>
      </c>
      <c r="B267" s="6" t="s">
        <v>1850</v>
      </c>
      <c r="C267" s="6" t="s">
        <v>1807</v>
      </c>
      <c r="D267" s="6" t="s">
        <v>1794</v>
      </c>
      <c r="E267" s="6" t="s">
        <v>1782</v>
      </c>
      <c r="F267" s="6" t="s">
        <v>1769</v>
      </c>
      <c r="G267" s="6" t="s">
        <v>1756</v>
      </c>
      <c r="H267" s="6" t="s">
        <v>1749</v>
      </c>
      <c r="I267" s="6" t="s">
        <v>3455</v>
      </c>
      <c r="J267" s="6" t="s">
        <v>3421</v>
      </c>
      <c r="K267" s="6" t="s">
        <v>3387</v>
      </c>
      <c r="L267" s="6" t="s">
        <v>3353</v>
      </c>
      <c r="M267" s="6" t="s">
        <v>3959</v>
      </c>
      <c r="N267" s="6" t="s">
        <v>3924</v>
      </c>
    </row>
    <row r="268" spans="1:14" x14ac:dyDescent="0.25">
      <c r="A268" s="13" t="s">
        <v>633</v>
      </c>
      <c r="B268" s="6" t="s">
        <v>1819</v>
      </c>
      <c r="C268" s="6" t="s">
        <v>1808</v>
      </c>
      <c r="D268" s="6" t="s">
        <v>1795</v>
      </c>
      <c r="E268" s="6" t="s">
        <v>1783</v>
      </c>
      <c r="F268" s="6" t="s">
        <v>1770</v>
      </c>
      <c r="G268" s="6" t="s">
        <v>1757</v>
      </c>
      <c r="H268" s="6" t="s">
        <v>1750</v>
      </c>
      <c r="I268" s="6" t="s">
        <v>3456</v>
      </c>
      <c r="J268" s="6" t="s">
        <v>3422</v>
      </c>
      <c r="K268" s="6" t="s">
        <v>3388</v>
      </c>
      <c r="L268" s="6" t="s">
        <v>3354</v>
      </c>
      <c r="M268" s="6" t="s">
        <v>3960</v>
      </c>
      <c r="N268" s="6" t="s">
        <v>3925</v>
      </c>
    </row>
    <row r="269" spans="1:14" x14ac:dyDescent="0.25">
      <c r="A269" s="13" t="s">
        <v>13</v>
      </c>
      <c r="B269" s="6" t="s">
        <v>163</v>
      </c>
      <c r="C269" s="6" t="s">
        <v>164</v>
      </c>
      <c r="D269" s="6" t="s">
        <v>1796</v>
      </c>
      <c r="E269" s="6" t="s">
        <v>165</v>
      </c>
      <c r="F269" s="6" t="s">
        <v>1771</v>
      </c>
      <c r="G269" s="6" t="s">
        <v>1758</v>
      </c>
      <c r="H269" s="6" t="s">
        <v>166</v>
      </c>
      <c r="I269" s="6" t="s">
        <v>3457</v>
      </c>
      <c r="J269" s="6" t="s">
        <v>3423</v>
      </c>
      <c r="K269" s="6" t="s">
        <v>3389</v>
      </c>
      <c r="L269" s="6" t="s">
        <v>3355</v>
      </c>
      <c r="M269" s="6" t="s">
        <v>3961</v>
      </c>
      <c r="N269" s="6" t="s">
        <v>3926</v>
      </c>
    </row>
    <row r="270" spans="1:14" x14ac:dyDescent="0.25">
      <c r="A270" s="13" t="s">
        <v>634</v>
      </c>
      <c r="B270" s="6" t="s">
        <v>1820</v>
      </c>
      <c r="C270" s="6" t="s">
        <v>1809</v>
      </c>
      <c r="D270" s="6" t="s">
        <v>1797</v>
      </c>
      <c r="E270" s="6" t="s">
        <v>1784</v>
      </c>
      <c r="F270" s="6" t="s">
        <v>1772</v>
      </c>
      <c r="G270" s="6" t="s">
        <v>1759</v>
      </c>
      <c r="H270" s="6" t="s">
        <v>1739</v>
      </c>
      <c r="I270" s="6" t="s">
        <v>3458</v>
      </c>
      <c r="J270" s="6" t="s">
        <v>3424</v>
      </c>
      <c r="K270" s="6" t="s">
        <v>3390</v>
      </c>
      <c r="L270" s="6" t="s">
        <v>3356</v>
      </c>
      <c r="M270" s="6" t="s">
        <v>3962</v>
      </c>
      <c r="N270" s="6" t="s">
        <v>3927</v>
      </c>
    </row>
    <row r="271" spans="1:14" x14ac:dyDescent="0.25">
      <c r="A271" s="13" t="s">
        <v>34</v>
      </c>
      <c r="B271" s="6" t="s">
        <v>1824</v>
      </c>
      <c r="C271" s="6" t="s">
        <v>1810</v>
      </c>
      <c r="D271" s="6" t="s">
        <v>1798</v>
      </c>
      <c r="E271" s="6" t="s">
        <v>1785</v>
      </c>
      <c r="F271" s="6" t="s">
        <v>1773</v>
      </c>
      <c r="G271" s="6" t="s">
        <v>1760</v>
      </c>
      <c r="H271" s="6" t="s">
        <v>1740</v>
      </c>
      <c r="I271" s="6" t="s">
        <v>3459</v>
      </c>
      <c r="J271" s="6" t="s">
        <v>3425</v>
      </c>
      <c r="K271" s="6" t="s">
        <v>3391</v>
      </c>
      <c r="L271" s="6" t="s">
        <v>3357</v>
      </c>
      <c r="M271" s="6" t="s">
        <v>3963</v>
      </c>
      <c r="N271" s="6" t="s">
        <v>3928</v>
      </c>
    </row>
    <row r="272" spans="1:14" x14ac:dyDescent="0.25">
      <c r="A272" s="13" t="s">
        <v>30</v>
      </c>
      <c r="B272" s="6" t="s">
        <v>1823</v>
      </c>
      <c r="C272" s="6" t="s">
        <v>1811</v>
      </c>
      <c r="D272" s="6" t="s">
        <v>1799</v>
      </c>
      <c r="E272" s="6" t="s">
        <v>1786</v>
      </c>
      <c r="F272" s="6" t="s">
        <v>1774</v>
      </c>
      <c r="G272" s="6" t="s">
        <v>1761</v>
      </c>
      <c r="H272" s="6" t="s">
        <v>1741</v>
      </c>
      <c r="I272" s="6" t="s">
        <v>3460</v>
      </c>
      <c r="J272" s="6" t="s">
        <v>3426</v>
      </c>
      <c r="K272" s="6" t="s">
        <v>3392</v>
      </c>
      <c r="L272" s="6" t="s">
        <v>3358</v>
      </c>
      <c r="M272" s="6" t="s">
        <v>3964</v>
      </c>
      <c r="N272" s="6" t="s">
        <v>3929</v>
      </c>
    </row>
    <row r="273" spans="1:14" x14ac:dyDescent="0.25">
      <c r="A273" s="13" t="s">
        <v>635</v>
      </c>
      <c r="B273" s="6" t="s">
        <v>1821</v>
      </c>
      <c r="C273" s="6" t="s">
        <v>1812</v>
      </c>
      <c r="D273" s="6" t="s">
        <v>1800</v>
      </c>
      <c r="E273" s="6" t="s">
        <v>1787</v>
      </c>
      <c r="F273" s="6" t="s">
        <v>1775</v>
      </c>
      <c r="G273" s="6" t="s">
        <v>1762</v>
      </c>
      <c r="H273" s="6" t="s">
        <v>1742</v>
      </c>
      <c r="I273" s="6" t="s">
        <v>3461</v>
      </c>
      <c r="J273" s="6" t="s">
        <v>3427</v>
      </c>
      <c r="K273" s="6" t="s">
        <v>3393</v>
      </c>
      <c r="L273" s="6" t="s">
        <v>3359</v>
      </c>
      <c r="M273" s="6" t="s">
        <v>3965</v>
      </c>
      <c r="N273" s="6" t="s">
        <v>3930</v>
      </c>
    </row>
    <row r="274" spans="1:14" x14ac:dyDescent="0.25">
      <c r="A274" s="13" t="s">
        <v>636</v>
      </c>
      <c r="B274" s="6" t="s">
        <v>1822</v>
      </c>
      <c r="C274" s="6" t="s">
        <v>1813</v>
      </c>
      <c r="D274" s="6" t="s">
        <v>1801</v>
      </c>
      <c r="E274" s="6" t="s">
        <v>1788</v>
      </c>
      <c r="F274" s="6" t="s">
        <v>1776</v>
      </c>
      <c r="G274" s="6" t="s">
        <v>1763</v>
      </c>
      <c r="H274" s="6" t="s">
        <v>1743</v>
      </c>
      <c r="I274" s="6" t="s">
        <v>3462</v>
      </c>
      <c r="J274" s="6" t="s">
        <v>3428</v>
      </c>
      <c r="K274" s="6" t="s">
        <v>3394</v>
      </c>
      <c r="L274" s="6" t="s">
        <v>3360</v>
      </c>
      <c r="M274" s="6" t="s">
        <v>3966</v>
      </c>
      <c r="N274" s="6" t="s">
        <v>3931</v>
      </c>
    </row>
    <row r="275" spans="1:14" x14ac:dyDescent="0.25">
      <c r="A275" s="13" t="s">
        <v>2303</v>
      </c>
      <c r="B275" s="6" t="s">
        <v>2308</v>
      </c>
      <c r="C275" s="6" t="s">
        <v>2309</v>
      </c>
      <c r="D275" s="6" t="s">
        <v>2310</v>
      </c>
      <c r="E275" s="6" t="s">
        <v>2311</v>
      </c>
      <c r="F275" s="6" t="s">
        <v>2312</v>
      </c>
      <c r="G275" s="6" t="s">
        <v>2313</v>
      </c>
      <c r="H275" s="6" t="s">
        <v>2314</v>
      </c>
      <c r="I275" s="6" t="s">
        <v>3463</v>
      </c>
      <c r="J275" s="6" t="s">
        <v>3429</v>
      </c>
      <c r="K275" s="6" t="s">
        <v>3395</v>
      </c>
      <c r="L275" s="6" t="s">
        <v>3361</v>
      </c>
      <c r="M275" s="6" t="s">
        <v>3967</v>
      </c>
      <c r="N275" s="6" t="s">
        <v>3932</v>
      </c>
    </row>
  </sheetData>
  <sortState xmlns:xlrd2="http://schemas.microsoft.com/office/spreadsheetml/2017/richdata2" ref="A2:H274">
    <sortCondition ref="A2:A274"/>
  </sortState>
  <hyperlinks>
    <hyperlink ref="B272" r:id="rId1" xr:uid="{7586BF0A-8944-43F2-AD6B-23BBCA327C0D}"/>
  </hyperlinks>
  <pageMargins left="0.7" right="0.7" top="0.75" bottom="0.75" header="0.3" footer="0.3"/>
  <pageSetup paperSize="9" orientation="portrait" verticalDpi="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E2B8B-1950-4CE0-B9DD-5F2AAE7B5F99}">
  <sheetPr codeName="Planilha1"/>
  <dimension ref="A1:L24"/>
  <sheetViews>
    <sheetView tabSelected="1" topLeftCell="B1" workbookViewId="0">
      <selection activeCell="G3" sqref="G3"/>
    </sheetView>
  </sheetViews>
  <sheetFormatPr defaultRowHeight="15" x14ac:dyDescent="0.25"/>
  <cols>
    <col min="1" max="1" width="15.7109375" bestFit="1" customWidth="1"/>
    <col min="2" max="2" width="9.42578125" bestFit="1" customWidth="1"/>
    <col min="3" max="3" width="9.28515625" bestFit="1" customWidth="1"/>
    <col min="4" max="4" width="11.140625" bestFit="1" customWidth="1"/>
    <col min="5" max="5" width="12.7109375" bestFit="1" customWidth="1"/>
    <col min="6" max="6" width="23.7109375" bestFit="1" customWidth="1"/>
    <col min="7" max="7" width="22.140625" bestFit="1" customWidth="1"/>
    <col min="8" max="8" width="17.42578125" bestFit="1" customWidth="1"/>
    <col min="9" max="9" width="16.7109375" bestFit="1" customWidth="1"/>
    <col min="10" max="10" width="16" bestFit="1" customWidth="1"/>
    <col min="11" max="11" width="21.85546875" bestFit="1" customWidth="1"/>
    <col min="12" max="12" width="5.7109375" bestFit="1" customWidth="1"/>
  </cols>
  <sheetData>
    <row r="1" spans="1:12" x14ac:dyDescent="0.25">
      <c r="A1" s="59" t="s">
        <v>1144</v>
      </c>
      <c r="B1" s="26" t="s">
        <v>197</v>
      </c>
      <c r="C1" s="26" t="s">
        <v>1099</v>
      </c>
      <c r="D1" s="26" t="s">
        <v>552</v>
      </c>
      <c r="E1" s="26" t="s">
        <v>559</v>
      </c>
      <c r="F1" s="26" t="s">
        <v>1642</v>
      </c>
      <c r="G1" s="26" t="s">
        <v>1641</v>
      </c>
      <c r="H1" s="26" t="s">
        <v>1153</v>
      </c>
      <c r="I1" s="26" t="s">
        <v>1623</v>
      </c>
      <c r="J1" s="26" t="s">
        <v>1609</v>
      </c>
      <c r="K1" s="26" t="s">
        <v>1117</v>
      </c>
      <c r="L1" s="26" t="s">
        <v>202</v>
      </c>
    </row>
    <row r="2" spans="1:12" ht="15.75" thickBot="1" x14ac:dyDescent="0.3">
      <c r="A2" s="20">
        <v>0</v>
      </c>
      <c r="B2" s="27" t="s">
        <v>4028</v>
      </c>
      <c r="C2" s="27"/>
      <c r="D2" s="62">
        <v>-10.3485839</v>
      </c>
      <c r="E2" s="62">
        <v>-48.298583999999998</v>
      </c>
      <c r="F2" s="63">
        <v>0</v>
      </c>
      <c r="G2" s="63">
        <v>0.99930555555555556</v>
      </c>
      <c r="H2" s="34" t="s">
        <v>1628</v>
      </c>
      <c r="I2" s="35">
        <v>0</v>
      </c>
      <c r="J2" s="34">
        <v>0</v>
      </c>
      <c r="K2" s="34">
        <v>0</v>
      </c>
      <c r="L2" s="34">
        <v>0</v>
      </c>
    </row>
    <row r="3" spans="1:12" ht="15.75" thickTop="1" x14ac:dyDescent="0.25">
      <c r="A3" s="21">
        <v>1</v>
      </c>
      <c r="B3" s="28" t="s">
        <v>4004</v>
      </c>
      <c r="C3" s="69" t="s">
        <v>4029</v>
      </c>
      <c r="D3">
        <v>-10.344564</v>
      </c>
      <c r="E3">
        <v>-48.293768</v>
      </c>
      <c r="F3" s="64">
        <v>0</v>
      </c>
      <c r="G3" s="64">
        <v>0.41666666666666669</v>
      </c>
      <c r="H3" s="28" t="s">
        <v>1152</v>
      </c>
      <c r="I3" s="31">
        <v>0</v>
      </c>
      <c r="J3" s="28">
        <v>0</v>
      </c>
      <c r="K3" s="28">
        <v>2</v>
      </c>
      <c r="L3" s="28">
        <v>0</v>
      </c>
    </row>
    <row r="4" spans="1:12" ht="15.75" thickBot="1" x14ac:dyDescent="0.3">
      <c r="A4" s="23">
        <v>2</v>
      </c>
      <c r="B4" s="29" t="s">
        <v>4005</v>
      </c>
      <c r="C4" s="69" t="s">
        <v>4030</v>
      </c>
      <c r="D4">
        <v>-10.350031</v>
      </c>
      <c r="E4">
        <v>-48.290249000000003</v>
      </c>
      <c r="F4" s="65">
        <v>0</v>
      </c>
      <c r="G4" s="65">
        <v>0.99930555555555556</v>
      </c>
      <c r="H4" s="29" t="s">
        <v>1151</v>
      </c>
      <c r="I4" s="32">
        <v>0</v>
      </c>
      <c r="J4" s="29">
        <v>0</v>
      </c>
      <c r="K4" s="29">
        <v>0</v>
      </c>
      <c r="L4" s="29">
        <v>0</v>
      </c>
    </row>
    <row r="5" spans="1:12" ht="16.5" thickTop="1" thickBot="1" x14ac:dyDescent="0.3">
      <c r="A5" s="23">
        <v>3</v>
      </c>
      <c r="B5" s="28" t="s">
        <v>4006</v>
      </c>
      <c r="C5" s="69" t="s">
        <v>4031</v>
      </c>
      <c r="D5">
        <v>-10.33384</v>
      </c>
      <c r="E5">
        <v>-48.293022000000001</v>
      </c>
      <c r="F5" s="66">
        <v>0</v>
      </c>
      <c r="G5" s="66">
        <v>0.99930555555555556</v>
      </c>
      <c r="H5" s="30" t="s">
        <v>1152</v>
      </c>
      <c r="I5" s="33">
        <v>0</v>
      </c>
      <c r="J5" s="30">
        <v>0</v>
      </c>
      <c r="K5" s="30">
        <v>3</v>
      </c>
      <c r="L5" s="30">
        <v>0</v>
      </c>
    </row>
    <row r="6" spans="1:12" ht="15.75" thickTop="1" x14ac:dyDescent="0.25">
      <c r="A6" s="23">
        <v>4</v>
      </c>
      <c r="B6" s="28" t="s">
        <v>4007</v>
      </c>
      <c r="C6" s="69" t="s">
        <v>4032</v>
      </c>
      <c r="D6">
        <v>-10.3452819</v>
      </c>
      <c r="E6">
        <v>-48.282004000000001</v>
      </c>
      <c r="F6" s="65">
        <v>0</v>
      </c>
      <c r="G6" s="65">
        <v>0.99930555555555556</v>
      </c>
      <c r="H6" s="29" t="s">
        <v>1151</v>
      </c>
      <c r="I6" s="32">
        <v>0</v>
      </c>
      <c r="J6" s="29">
        <v>0</v>
      </c>
      <c r="K6" s="29">
        <v>0</v>
      </c>
      <c r="L6" s="29">
        <v>0</v>
      </c>
    </row>
    <row r="7" spans="1:12" ht="15.75" thickBot="1" x14ac:dyDescent="0.3">
      <c r="A7" s="23">
        <v>5</v>
      </c>
      <c r="B7" s="29" t="s">
        <v>4008</v>
      </c>
      <c r="C7" s="70" t="s">
        <v>4033</v>
      </c>
      <c r="D7">
        <v>-10.349429000000001</v>
      </c>
      <c r="E7">
        <v>-48.294384999999998</v>
      </c>
      <c r="F7" s="66">
        <v>0</v>
      </c>
      <c r="G7" s="66">
        <v>0.99930555555555556</v>
      </c>
      <c r="H7" s="30" t="s">
        <v>1151</v>
      </c>
      <c r="I7" s="33">
        <v>0</v>
      </c>
      <c r="J7" s="30">
        <v>0</v>
      </c>
      <c r="K7" s="30">
        <v>0</v>
      </c>
      <c r="L7" s="30">
        <v>0</v>
      </c>
    </row>
    <row r="8" spans="1:12" ht="16.5" thickTop="1" thickBot="1" x14ac:dyDescent="0.3">
      <c r="A8" s="23">
        <v>6</v>
      </c>
      <c r="B8" s="28" t="s">
        <v>4009</v>
      </c>
      <c r="C8" s="69" t="s">
        <v>4029</v>
      </c>
      <c r="D8">
        <v>-10.344564</v>
      </c>
      <c r="E8">
        <v>-48.293768</v>
      </c>
      <c r="F8" s="65">
        <v>0</v>
      </c>
      <c r="G8" s="65">
        <v>0.99930555555555556</v>
      </c>
      <c r="H8" s="29" t="s">
        <v>1151</v>
      </c>
      <c r="I8" s="32">
        <v>0</v>
      </c>
      <c r="J8" s="29">
        <v>0</v>
      </c>
      <c r="K8" s="29">
        <v>0</v>
      </c>
      <c r="L8" s="29">
        <v>0</v>
      </c>
    </row>
    <row r="9" spans="1:12" ht="15.75" thickTop="1" x14ac:dyDescent="0.25">
      <c r="A9" s="23">
        <v>7</v>
      </c>
      <c r="B9" s="28" t="s">
        <v>4010</v>
      </c>
      <c r="C9" s="69" t="s">
        <v>4034</v>
      </c>
      <c r="D9">
        <v>-10.340785</v>
      </c>
      <c r="E9">
        <v>-48.296253</v>
      </c>
      <c r="F9" s="66">
        <v>0</v>
      </c>
      <c r="G9" s="66">
        <v>0.99930555555555556</v>
      </c>
      <c r="H9" s="30" t="s">
        <v>1151</v>
      </c>
      <c r="I9" s="33">
        <v>0</v>
      </c>
      <c r="J9" s="30">
        <v>0</v>
      </c>
      <c r="K9" s="30">
        <v>0</v>
      </c>
      <c r="L9" s="30">
        <v>0</v>
      </c>
    </row>
    <row r="10" spans="1:12" ht="15.75" thickBot="1" x14ac:dyDescent="0.3">
      <c r="A10" s="23">
        <v>8</v>
      </c>
      <c r="B10" s="29" t="s">
        <v>4011</v>
      </c>
      <c r="C10" s="69" t="s">
        <v>4035</v>
      </c>
      <c r="D10">
        <v>-10.3339122</v>
      </c>
      <c r="E10">
        <v>-48.298287600000002</v>
      </c>
      <c r="F10" s="65">
        <v>0</v>
      </c>
      <c r="G10" s="65">
        <v>0.99930555555555556</v>
      </c>
      <c r="H10" s="29" t="s">
        <v>1151</v>
      </c>
      <c r="I10" s="32">
        <v>0</v>
      </c>
      <c r="J10" s="29">
        <v>0</v>
      </c>
      <c r="K10" s="29">
        <v>0</v>
      </c>
      <c r="L10" s="29">
        <v>0</v>
      </c>
    </row>
    <row r="11" spans="1:12" ht="16.5" thickTop="1" thickBot="1" x14ac:dyDescent="0.3">
      <c r="A11" s="23">
        <v>9</v>
      </c>
      <c r="B11" s="28" t="s">
        <v>4012</v>
      </c>
      <c r="C11" s="69" t="s">
        <v>4036</v>
      </c>
      <c r="D11">
        <v>-10.333536</v>
      </c>
      <c r="E11">
        <v>-48.298969</v>
      </c>
      <c r="F11" s="66">
        <v>0</v>
      </c>
      <c r="G11" s="66">
        <v>0.99930555555555556</v>
      </c>
      <c r="H11" s="30" t="s">
        <v>1151</v>
      </c>
      <c r="I11" s="33">
        <v>0</v>
      </c>
      <c r="J11" s="30">
        <v>0</v>
      </c>
      <c r="K11" s="30">
        <v>0</v>
      </c>
      <c r="L11" s="30">
        <v>0</v>
      </c>
    </row>
    <row r="12" spans="1:12" ht="15.75" thickTop="1" x14ac:dyDescent="0.25">
      <c r="A12" s="23">
        <v>10</v>
      </c>
      <c r="B12" s="28" t="s">
        <v>4013</v>
      </c>
      <c r="C12" s="69" t="s">
        <v>4037</v>
      </c>
      <c r="D12">
        <v>-10.3582036</v>
      </c>
      <c r="E12">
        <v>-48.298056600000002</v>
      </c>
      <c r="F12" s="65">
        <v>0</v>
      </c>
      <c r="G12" s="65">
        <v>0.99930555555555556</v>
      </c>
      <c r="H12" s="29" t="s">
        <v>1151</v>
      </c>
      <c r="I12" s="32">
        <v>0</v>
      </c>
      <c r="J12" s="29">
        <v>0</v>
      </c>
      <c r="K12" s="29">
        <v>0</v>
      </c>
      <c r="L12" s="29">
        <v>0</v>
      </c>
    </row>
    <row r="13" spans="1:12" ht="15.75" thickBot="1" x14ac:dyDescent="0.3">
      <c r="A13" s="23">
        <v>11</v>
      </c>
      <c r="B13" s="29" t="s">
        <v>4014</v>
      </c>
      <c r="C13" s="69" t="s">
        <v>4038</v>
      </c>
      <c r="D13">
        <v>-10.354574899999999</v>
      </c>
      <c r="E13">
        <v>-48.301355899999997</v>
      </c>
      <c r="F13" s="66">
        <v>0</v>
      </c>
      <c r="G13" s="66">
        <v>0.99930555555555556</v>
      </c>
      <c r="H13" s="30" t="s">
        <v>1152</v>
      </c>
      <c r="I13" s="33">
        <v>0</v>
      </c>
      <c r="J13" s="30">
        <v>0</v>
      </c>
      <c r="K13" s="30">
        <v>5</v>
      </c>
      <c r="L13" s="30">
        <v>0</v>
      </c>
    </row>
    <row r="14" spans="1:12" ht="16.5" thickTop="1" thickBot="1" x14ac:dyDescent="0.3">
      <c r="A14" s="23">
        <v>12</v>
      </c>
      <c r="B14" s="28" t="s">
        <v>4015</v>
      </c>
      <c r="C14" s="69" t="s">
        <v>4039</v>
      </c>
      <c r="D14">
        <v>-10.686169899999999</v>
      </c>
      <c r="E14">
        <v>-48.392023399999999</v>
      </c>
      <c r="F14" s="65">
        <v>0</v>
      </c>
      <c r="G14" s="65">
        <v>0.99930555555555556</v>
      </c>
      <c r="H14" s="29" t="s">
        <v>1151</v>
      </c>
      <c r="I14" s="32">
        <v>0</v>
      </c>
      <c r="J14" s="29">
        <v>0</v>
      </c>
      <c r="K14" s="29">
        <v>0</v>
      </c>
      <c r="L14" s="29">
        <v>0</v>
      </c>
    </row>
    <row r="15" spans="1:12" ht="15.75" thickTop="1" x14ac:dyDescent="0.25">
      <c r="A15" s="23">
        <v>13</v>
      </c>
      <c r="B15" s="28" t="s">
        <v>4016</v>
      </c>
      <c r="C15" t="s">
        <v>4039</v>
      </c>
      <c r="D15">
        <v>-10.686169899999999</v>
      </c>
      <c r="E15">
        <v>-48.392023399999999</v>
      </c>
      <c r="F15" s="66">
        <v>0</v>
      </c>
      <c r="G15" s="66">
        <v>0.99930555555555556</v>
      </c>
      <c r="H15" s="30" t="s">
        <v>1151</v>
      </c>
      <c r="I15" s="33">
        <v>0</v>
      </c>
      <c r="J15" s="30">
        <v>0</v>
      </c>
      <c r="K15" s="30">
        <v>0</v>
      </c>
      <c r="L15" s="30">
        <v>0</v>
      </c>
    </row>
    <row r="16" spans="1:12" ht="15.75" thickBot="1" x14ac:dyDescent="0.3">
      <c r="A16" s="23">
        <v>14</v>
      </c>
      <c r="B16" s="29" t="s">
        <v>4017</v>
      </c>
      <c r="C16" t="s">
        <v>4039</v>
      </c>
      <c r="D16">
        <v>-10.686169899999999</v>
      </c>
      <c r="E16">
        <v>-48.392023399999999</v>
      </c>
      <c r="F16" s="65">
        <v>0</v>
      </c>
      <c r="G16" s="65">
        <v>0.99930555555555556</v>
      </c>
      <c r="H16" s="29" t="s">
        <v>1151</v>
      </c>
      <c r="I16" s="32">
        <v>0</v>
      </c>
      <c r="J16" s="29">
        <v>0</v>
      </c>
      <c r="K16" s="29">
        <v>0</v>
      </c>
      <c r="L16" s="29">
        <v>0</v>
      </c>
    </row>
    <row r="17" spans="1:12" ht="16.5" thickTop="1" thickBot="1" x14ac:dyDescent="0.3">
      <c r="A17" s="23">
        <v>15</v>
      </c>
      <c r="B17" s="28" t="s">
        <v>4018</v>
      </c>
      <c r="C17" t="s">
        <v>4039</v>
      </c>
      <c r="D17">
        <v>-10.686169899999999</v>
      </c>
      <c r="E17">
        <v>-48.392023399999999</v>
      </c>
      <c r="F17" s="66">
        <v>0</v>
      </c>
      <c r="G17" s="66">
        <v>0.99930555555555556</v>
      </c>
      <c r="H17" s="30" t="s">
        <v>1151</v>
      </c>
      <c r="I17" s="33">
        <v>0</v>
      </c>
      <c r="J17" s="30">
        <v>0</v>
      </c>
      <c r="K17" s="30">
        <v>0</v>
      </c>
      <c r="L17" s="30">
        <v>0</v>
      </c>
    </row>
    <row r="18" spans="1:12" ht="15.75" thickTop="1" x14ac:dyDescent="0.25">
      <c r="A18" s="23">
        <v>16</v>
      </c>
      <c r="B18" s="28" t="s">
        <v>4019</v>
      </c>
      <c r="C18" t="s">
        <v>4040</v>
      </c>
      <c r="D18">
        <v>-10.371456</v>
      </c>
      <c r="E18">
        <v>-48.304425999999999</v>
      </c>
      <c r="F18" s="65">
        <v>0</v>
      </c>
      <c r="G18" s="65">
        <v>0.99930555555555556</v>
      </c>
      <c r="H18" s="29" t="s">
        <v>1151</v>
      </c>
      <c r="I18" s="32">
        <v>0</v>
      </c>
      <c r="J18" s="29">
        <v>0</v>
      </c>
      <c r="K18" s="29">
        <v>0</v>
      </c>
      <c r="L18" s="29">
        <v>0</v>
      </c>
    </row>
    <row r="19" spans="1:12" ht="16.5" thickBot="1" x14ac:dyDescent="0.3">
      <c r="A19" s="23">
        <v>17</v>
      </c>
      <c r="B19" s="29" t="s">
        <v>4020</v>
      </c>
      <c r="C19" s="71" t="s">
        <v>4041</v>
      </c>
      <c r="D19">
        <v>-10.33765</v>
      </c>
      <c r="E19">
        <v>-48.295870000000001</v>
      </c>
      <c r="F19" s="66">
        <v>0</v>
      </c>
      <c r="G19" s="66">
        <v>0.99930555555555556</v>
      </c>
      <c r="H19" s="30" t="s">
        <v>1152</v>
      </c>
      <c r="I19" s="33">
        <v>0</v>
      </c>
      <c r="J19" s="30">
        <v>0</v>
      </c>
      <c r="K19" s="30">
        <v>5</v>
      </c>
      <c r="L19" s="30">
        <v>0</v>
      </c>
    </row>
    <row r="20" spans="1:12" ht="17.25" thickTop="1" thickBot="1" x14ac:dyDescent="0.3">
      <c r="A20" s="23">
        <v>18</v>
      </c>
      <c r="B20" s="28" t="s">
        <v>4021</v>
      </c>
      <c r="C20" s="71" t="s">
        <v>4042</v>
      </c>
      <c r="D20">
        <v>-10.338210999999999</v>
      </c>
      <c r="E20">
        <v>-48.299523999999998</v>
      </c>
      <c r="F20" s="65">
        <v>0</v>
      </c>
      <c r="G20" s="65">
        <v>0.99930555555555556</v>
      </c>
      <c r="H20" s="29" t="s">
        <v>1151</v>
      </c>
      <c r="I20" s="32">
        <v>0</v>
      </c>
      <c r="J20" s="29">
        <v>0</v>
      </c>
      <c r="K20" s="29">
        <v>0</v>
      </c>
      <c r="L20" s="29">
        <v>0</v>
      </c>
    </row>
    <row r="21" spans="1:12" ht="16.5" thickTop="1" x14ac:dyDescent="0.25">
      <c r="A21" s="23">
        <v>19</v>
      </c>
      <c r="B21" s="28" t="s">
        <v>4022</v>
      </c>
      <c r="C21" s="72" t="s">
        <v>4043</v>
      </c>
      <c r="D21">
        <v>-10.3352176</v>
      </c>
      <c r="E21">
        <v>-48.294383099999997</v>
      </c>
      <c r="F21" s="66">
        <v>0</v>
      </c>
      <c r="G21" s="66">
        <v>0.99930555555555556</v>
      </c>
      <c r="H21" s="30" t="s">
        <v>1151</v>
      </c>
      <c r="I21" s="33">
        <v>0</v>
      </c>
      <c r="J21" s="30">
        <v>0</v>
      </c>
      <c r="K21" s="30">
        <v>0</v>
      </c>
      <c r="L21" s="30">
        <v>0</v>
      </c>
    </row>
    <row r="22" spans="1:12" ht="16.5" thickBot="1" x14ac:dyDescent="0.3">
      <c r="A22" s="23">
        <v>20</v>
      </c>
      <c r="B22" s="29" t="s">
        <v>4023</v>
      </c>
      <c r="C22" s="71" t="s">
        <v>4044</v>
      </c>
      <c r="D22">
        <v>-10.354293</v>
      </c>
      <c r="E22">
        <v>-48.303457000000002</v>
      </c>
      <c r="F22" s="65">
        <v>0</v>
      </c>
      <c r="G22" s="65">
        <v>0.99930555555555556</v>
      </c>
      <c r="H22" s="29" t="s">
        <v>1151</v>
      </c>
      <c r="I22" s="32">
        <v>0</v>
      </c>
      <c r="J22" s="29">
        <v>0</v>
      </c>
      <c r="K22" s="29">
        <v>0</v>
      </c>
      <c r="L22" s="29">
        <v>0</v>
      </c>
    </row>
    <row r="23" spans="1:12" ht="16.5" thickTop="1" x14ac:dyDescent="0.25">
      <c r="A23" s="23">
        <v>21</v>
      </c>
      <c r="B23" s="28" t="s">
        <v>4024</v>
      </c>
      <c r="C23" s="71" t="s">
        <v>4045</v>
      </c>
      <c r="D23">
        <v>-10.670123500000001</v>
      </c>
      <c r="E23">
        <v>-48.3977352</v>
      </c>
      <c r="F23" s="66">
        <v>0</v>
      </c>
      <c r="G23" s="66">
        <v>0.99930555555555556</v>
      </c>
      <c r="H23" s="30" t="s">
        <v>1151</v>
      </c>
      <c r="I23" s="33">
        <v>0</v>
      </c>
      <c r="J23" s="30">
        <v>0</v>
      </c>
      <c r="K23" s="30">
        <v>0</v>
      </c>
      <c r="L23" s="30">
        <v>0</v>
      </c>
    </row>
    <row r="24" spans="1:12" x14ac:dyDescent="0.25">
      <c r="A24" s="22">
        <v>22</v>
      </c>
      <c r="B24" s="61" t="s">
        <v>4003</v>
      </c>
      <c r="C24" s="73" t="s">
        <v>4046</v>
      </c>
      <c r="D24">
        <v>-10.332970400000001</v>
      </c>
      <c r="E24">
        <v>-48.298139999999997</v>
      </c>
      <c r="F24" s="67">
        <v>0</v>
      </c>
      <c r="G24" s="67">
        <v>0.99930555555555556</v>
      </c>
      <c r="H24" s="61" t="s">
        <v>1152</v>
      </c>
      <c r="I24" s="68">
        <v>0</v>
      </c>
      <c r="J24" s="61">
        <v>15</v>
      </c>
      <c r="K24" s="61">
        <v>0</v>
      </c>
      <c r="L24" s="61">
        <v>0</v>
      </c>
    </row>
  </sheetData>
  <phoneticPr fontId="28" type="noConversion"/>
  <conditionalFormatting sqref="A2">
    <cfRule type="expression" dxfId="242" priority="1" stopIfTrue="1">
      <formula>ISBLANK(A2)</formula>
    </cfRule>
  </conditionalFormatting>
  <conditionalFormatting sqref="B2">
    <cfRule type="expression" dxfId="241" priority="2" stopIfTrue="1">
      <formula>ISBLANK(B2)</formula>
    </cfRule>
  </conditionalFormatting>
  <conditionalFormatting sqref="F2">
    <cfRule type="cellIs" dxfId="240" priority="3" stopIfTrue="1" operator="greaterThan">
      <formula>G2-$I$2</formula>
    </cfRule>
  </conditionalFormatting>
  <conditionalFormatting sqref="G2">
    <cfRule type="cellIs" dxfId="239" priority="4" stopIfTrue="1" operator="lessThan">
      <formula>F2+$I$2</formula>
    </cfRule>
  </conditionalFormatting>
  <conditionalFormatting sqref="I2">
    <cfRule type="cellIs" dxfId="238" priority="5" stopIfTrue="1" operator="greaterThan">
      <formula>G2-F2 + 0.0001</formula>
    </cfRule>
  </conditionalFormatting>
  <conditionalFormatting sqref="A3">
    <cfRule type="expression" dxfId="237" priority="6" stopIfTrue="1">
      <formula>ISBLANK(A3)</formula>
    </cfRule>
  </conditionalFormatting>
  <conditionalFormatting sqref="B3 B5:B6 B8:B9 B11:B12 B14:B15 B17:B18 B20:B21 B23">
    <cfRule type="expression" dxfId="236" priority="7" stopIfTrue="1">
      <formula>ISBLANK(B3)</formula>
    </cfRule>
  </conditionalFormatting>
  <conditionalFormatting sqref="F3">
    <cfRule type="cellIs" dxfId="235" priority="8" stopIfTrue="1" operator="greaterThan">
      <formula>G3-$I$3</formula>
    </cfRule>
  </conditionalFormatting>
  <conditionalFormatting sqref="G3">
    <cfRule type="cellIs" dxfId="234" priority="9" stopIfTrue="1" operator="lessThan">
      <formula>F3+$I$3</formula>
    </cfRule>
  </conditionalFormatting>
  <conditionalFormatting sqref="H3">
    <cfRule type="cellIs" dxfId="233" priority="10" stopIfTrue="1" operator="equal">
      <formula>"Pode ser visitado"</formula>
    </cfRule>
    <cfRule type="cellIs" dxfId="232" priority="11" stopIfTrue="1" operator="equal">
      <formula>"Não visite"</formula>
    </cfRule>
  </conditionalFormatting>
  <conditionalFormatting sqref="I3">
    <cfRule type="cellIs" dxfId="231" priority="12" stopIfTrue="1" operator="greaterThan">
      <formula>G3-F3 + 0.0001</formula>
    </cfRule>
  </conditionalFormatting>
  <conditionalFormatting sqref="A4">
    <cfRule type="expression" dxfId="230" priority="13" stopIfTrue="1">
      <formula>ISBLANK(A4)</formula>
    </cfRule>
  </conditionalFormatting>
  <conditionalFormatting sqref="B4 B7 B10 B13 B16 B19 B22">
    <cfRule type="expression" dxfId="229" priority="14" stopIfTrue="1">
      <formula>ISBLANK(B4)</formula>
    </cfRule>
  </conditionalFormatting>
  <conditionalFormatting sqref="F4">
    <cfRule type="cellIs" dxfId="228" priority="15" stopIfTrue="1" operator="greaterThan">
      <formula>G4-$I$4</formula>
    </cfRule>
  </conditionalFormatting>
  <conditionalFormatting sqref="G4">
    <cfRule type="cellIs" dxfId="227" priority="16" stopIfTrue="1" operator="lessThan">
      <formula>F4+$I$4</formula>
    </cfRule>
  </conditionalFormatting>
  <conditionalFormatting sqref="H4">
    <cfRule type="cellIs" dxfId="226" priority="17" stopIfTrue="1" operator="equal">
      <formula>"Pode ser visitado"</formula>
    </cfRule>
    <cfRule type="cellIs" dxfId="225" priority="18" stopIfTrue="1" operator="equal">
      <formula>"Não visite"</formula>
    </cfRule>
  </conditionalFormatting>
  <conditionalFormatting sqref="I4">
    <cfRule type="cellIs" dxfId="224" priority="19" stopIfTrue="1" operator="greaterThan">
      <formula>G4-F4 + 0.0001</formula>
    </cfRule>
  </conditionalFormatting>
  <conditionalFormatting sqref="A5">
    <cfRule type="expression" dxfId="223" priority="20" stopIfTrue="1">
      <formula>ISBLANK(A5)</formula>
    </cfRule>
  </conditionalFormatting>
  <conditionalFormatting sqref="B5 B8 B11 B14 B17 B20 B23">
    <cfRule type="expression" dxfId="222" priority="21" stopIfTrue="1">
      <formula>ISBLANK(B5)</formula>
    </cfRule>
  </conditionalFormatting>
  <conditionalFormatting sqref="F5">
    <cfRule type="cellIs" dxfId="221" priority="22" stopIfTrue="1" operator="greaterThan">
      <formula>G5-$I$5</formula>
    </cfRule>
  </conditionalFormatting>
  <conditionalFormatting sqref="G5">
    <cfRule type="cellIs" dxfId="220" priority="23" stopIfTrue="1" operator="lessThan">
      <formula>F5+$I$5</formula>
    </cfRule>
  </conditionalFormatting>
  <conditionalFormatting sqref="H5">
    <cfRule type="cellIs" dxfId="219" priority="24" stopIfTrue="1" operator="equal">
      <formula>"Pode ser visitado"</formula>
    </cfRule>
  </conditionalFormatting>
  <conditionalFormatting sqref="H5">
    <cfRule type="cellIs" dxfId="218" priority="25" stopIfTrue="1" operator="equal">
      <formula>"Não visite"</formula>
    </cfRule>
  </conditionalFormatting>
  <conditionalFormatting sqref="I5">
    <cfRule type="cellIs" dxfId="217" priority="26" stopIfTrue="1" operator="greaterThan">
      <formula>G5-F5 + 0.0001</formula>
    </cfRule>
  </conditionalFormatting>
  <conditionalFormatting sqref="A6">
    <cfRule type="expression" dxfId="216" priority="27" stopIfTrue="1">
      <formula>ISBLANK(A6)</formula>
    </cfRule>
  </conditionalFormatting>
  <conditionalFormatting sqref="B6">
    <cfRule type="expression" dxfId="215" priority="28" stopIfTrue="1">
      <formula>ISBLANK(B6)</formula>
    </cfRule>
  </conditionalFormatting>
  <conditionalFormatting sqref="F6">
    <cfRule type="cellIs" dxfId="214" priority="29" stopIfTrue="1" operator="greaterThan">
      <formula>G6-$I$6</formula>
    </cfRule>
  </conditionalFormatting>
  <conditionalFormatting sqref="G6">
    <cfRule type="cellIs" dxfId="213" priority="30" stopIfTrue="1" operator="lessThan">
      <formula>F6+$I$6</formula>
    </cfRule>
  </conditionalFormatting>
  <conditionalFormatting sqref="H6">
    <cfRule type="cellIs" dxfId="212" priority="31" stopIfTrue="1" operator="equal">
      <formula>"Pode ser visitado"</formula>
    </cfRule>
  </conditionalFormatting>
  <conditionalFormatting sqref="H6">
    <cfRule type="cellIs" dxfId="211" priority="32" stopIfTrue="1" operator="equal">
      <formula>"Não visite"</formula>
    </cfRule>
  </conditionalFormatting>
  <conditionalFormatting sqref="I6">
    <cfRule type="cellIs" dxfId="210" priority="33" stopIfTrue="1" operator="greaterThan">
      <formula>G6-F6 + 0.0001</formula>
    </cfRule>
  </conditionalFormatting>
  <conditionalFormatting sqref="A7">
    <cfRule type="expression" dxfId="209" priority="34" stopIfTrue="1">
      <formula>ISBLANK(A7)</formula>
    </cfRule>
  </conditionalFormatting>
  <conditionalFormatting sqref="B7">
    <cfRule type="expression" dxfId="208" priority="35" stopIfTrue="1">
      <formula>ISBLANK(B7)</formula>
    </cfRule>
  </conditionalFormatting>
  <conditionalFormatting sqref="F7">
    <cfRule type="cellIs" dxfId="207" priority="36" stopIfTrue="1" operator="greaterThan">
      <formula>G7-$I$7</formula>
    </cfRule>
  </conditionalFormatting>
  <conditionalFormatting sqref="G7">
    <cfRule type="cellIs" dxfId="206" priority="37" stopIfTrue="1" operator="lessThan">
      <formula>F7+$I$7</formula>
    </cfRule>
  </conditionalFormatting>
  <conditionalFormatting sqref="H7">
    <cfRule type="cellIs" dxfId="205" priority="38" stopIfTrue="1" operator="equal">
      <formula>"Pode ser visitado"</formula>
    </cfRule>
  </conditionalFormatting>
  <conditionalFormatting sqref="H7">
    <cfRule type="cellIs" dxfId="204" priority="39" stopIfTrue="1" operator="equal">
      <formula>"Não visite"</formula>
    </cfRule>
  </conditionalFormatting>
  <conditionalFormatting sqref="I7">
    <cfRule type="cellIs" dxfId="203" priority="40" stopIfTrue="1" operator="greaterThan">
      <formula>G7-F7 + 0.0001</formula>
    </cfRule>
  </conditionalFormatting>
  <conditionalFormatting sqref="A8">
    <cfRule type="expression" dxfId="202" priority="41" stopIfTrue="1">
      <formula>ISBLANK(A8)</formula>
    </cfRule>
  </conditionalFormatting>
  <conditionalFormatting sqref="B8">
    <cfRule type="expression" dxfId="201" priority="42" stopIfTrue="1">
      <formula>ISBLANK(B8)</formula>
    </cfRule>
  </conditionalFormatting>
  <conditionalFormatting sqref="F8">
    <cfRule type="cellIs" dxfId="200" priority="43" stopIfTrue="1" operator="greaterThan">
      <formula>G8-$I$8</formula>
    </cfRule>
  </conditionalFormatting>
  <conditionalFormatting sqref="G8">
    <cfRule type="cellIs" dxfId="199" priority="44" stopIfTrue="1" operator="lessThan">
      <formula>F8+$I$8</formula>
    </cfRule>
  </conditionalFormatting>
  <conditionalFormatting sqref="H8">
    <cfRule type="cellIs" dxfId="198" priority="45" stopIfTrue="1" operator="equal">
      <formula>"Pode ser visitado"</formula>
    </cfRule>
  </conditionalFormatting>
  <conditionalFormatting sqref="H8">
    <cfRule type="cellIs" dxfId="197" priority="46" stopIfTrue="1" operator="equal">
      <formula>"Não visite"</formula>
    </cfRule>
  </conditionalFormatting>
  <conditionalFormatting sqref="I8">
    <cfRule type="cellIs" dxfId="196" priority="47" stopIfTrue="1" operator="greaterThan">
      <formula>G8-F8 + 0.0001</formula>
    </cfRule>
  </conditionalFormatting>
  <conditionalFormatting sqref="A9">
    <cfRule type="expression" dxfId="195" priority="48" stopIfTrue="1">
      <formula>ISBLANK(A9)</formula>
    </cfRule>
  </conditionalFormatting>
  <conditionalFormatting sqref="B9">
    <cfRule type="expression" dxfId="194" priority="49" stopIfTrue="1">
      <formula>ISBLANK(B9)</formula>
    </cfRule>
  </conditionalFormatting>
  <conditionalFormatting sqref="F9">
    <cfRule type="cellIs" dxfId="193" priority="50" stopIfTrue="1" operator="greaterThan">
      <formula>G9-$I$9</formula>
    </cfRule>
  </conditionalFormatting>
  <conditionalFormatting sqref="G9">
    <cfRule type="cellIs" dxfId="192" priority="51" stopIfTrue="1" operator="lessThan">
      <formula>F9+$I$9</formula>
    </cfRule>
  </conditionalFormatting>
  <conditionalFormatting sqref="H9">
    <cfRule type="cellIs" dxfId="191" priority="52" stopIfTrue="1" operator="equal">
      <formula>"Pode ser visitado"</formula>
    </cfRule>
  </conditionalFormatting>
  <conditionalFormatting sqref="H9">
    <cfRule type="cellIs" dxfId="190" priority="53" stopIfTrue="1" operator="equal">
      <formula>"Não visite"</formula>
    </cfRule>
  </conditionalFormatting>
  <conditionalFormatting sqref="I9">
    <cfRule type="cellIs" dxfId="189" priority="54" stopIfTrue="1" operator="greaterThan">
      <formula>G9-F9 + 0.0001</formula>
    </cfRule>
  </conditionalFormatting>
  <conditionalFormatting sqref="A10">
    <cfRule type="expression" dxfId="188" priority="55" stopIfTrue="1">
      <formula>ISBLANK(A10)</formula>
    </cfRule>
  </conditionalFormatting>
  <conditionalFormatting sqref="B10">
    <cfRule type="expression" dxfId="187" priority="56" stopIfTrue="1">
      <formula>ISBLANK(B10)</formula>
    </cfRule>
  </conditionalFormatting>
  <conditionalFormatting sqref="F10">
    <cfRule type="cellIs" dxfId="186" priority="57" stopIfTrue="1" operator="greaterThan">
      <formula>G10-$I$10</formula>
    </cfRule>
  </conditionalFormatting>
  <conditionalFormatting sqref="G10">
    <cfRule type="cellIs" dxfId="185" priority="58" stopIfTrue="1" operator="lessThan">
      <formula>F10+$I$10</formula>
    </cfRule>
  </conditionalFormatting>
  <conditionalFormatting sqref="H10">
    <cfRule type="cellIs" dxfId="184" priority="59" stopIfTrue="1" operator="equal">
      <formula>"Pode ser visitado"</formula>
    </cfRule>
  </conditionalFormatting>
  <conditionalFormatting sqref="H10">
    <cfRule type="cellIs" dxfId="183" priority="60" stopIfTrue="1" operator="equal">
      <formula>"Não visite"</formula>
    </cfRule>
  </conditionalFormatting>
  <conditionalFormatting sqref="I10">
    <cfRule type="cellIs" dxfId="182" priority="61" stopIfTrue="1" operator="greaterThan">
      <formula>G10-F10 + 0.0001</formula>
    </cfRule>
  </conditionalFormatting>
  <conditionalFormatting sqref="A11">
    <cfRule type="expression" dxfId="181" priority="62" stopIfTrue="1">
      <formula>ISBLANK(A11)</formula>
    </cfRule>
  </conditionalFormatting>
  <conditionalFormatting sqref="B11">
    <cfRule type="expression" dxfId="180" priority="63" stopIfTrue="1">
      <formula>ISBLANK(B11)</formula>
    </cfRule>
  </conditionalFormatting>
  <conditionalFormatting sqref="F11">
    <cfRule type="cellIs" dxfId="179" priority="64" stopIfTrue="1" operator="greaterThan">
      <formula>G11-$I$11</formula>
    </cfRule>
  </conditionalFormatting>
  <conditionalFormatting sqref="G11">
    <cfRule type="cellIs" dxfId="178" priority="65" stopIfTrue="1" operator="lessThan">
      <formula>F11+$I$11</formula>
    </cfRule>
  </conditionalFormatting>
  <conditionalFormatting sqref="H11">
    <cfRule type="cellIs" dxfId="177" priority="66" stopIfTrue="1" operator="equal">
      <formula>"Pode ser visitado"</formula>
    </cfRule>
  </conditionalFormatting>
  <conditionalFormatting sqref="H11">
    <cfRule type="cellIs" dxfId="176" priority="67" stopIfTrue="1" operator="equal">
      <formula>"Não visite"</formula>
    </cfRule>
  </conditionalFormatting>
  <conditionalFormatting sqref="I11">
    <cfRule type="cellIs" dxfId="175" priority="68" stopIfTrue="1" operator="greaterThan">
      <formula>G11-F11 + 0.0001</formula>
    </cfRule>
  </conditionalFormatting>
  <conditionalFormatting sqref="A12">
    <cfRule type="expression" dxfId="174" priority="69" stopIfTrue="1">
      <formula>ISBLANK(A12)</formula>
    </cfRule>
  </conditionalFormatting>
  <conditionalFormatting sqref="B12">
    <cfRule type="expression" dxfId="173" priority="70" stopIfTrue="1">
      <formula>ISBLANK(B12)</formula>
    </cfRule>
  </conditionalFormatting>
  <conditionalFormatting sqref="F12">
    <cfRule type="cellIs" dxfId="172" priority="71" stopIfTrue="1" operator="greaterThan">
      <formula>G12-$I$12</formula>
    </cfRule>
  </conditionalFormatting>
  <conditionalFormatting sqref="G12">
    <cfRule type="cellIs" dxfId="171" priority="72" stopIfTrue="1" operator="lessThan">
      <formula>F12+$I$12</formula>
    </cfRule>
  </conditionalFormatting>
  <conditionalFormatting sqref="H12">
    <cfRule type="cellIs" dxfId="170" priority="73" stopIfTrue="1" operator="equal">
      <formula>"Pode ser visitado"</formula>
    </cfRule>
  </conditionalFormatting>
  <conditionalFormatting sqref="H12">
    <cfRule type="cellIs" dxfId="169" priority="74" stopIfTrue="1" operator="equal">
      <formula>"Não visite"</formula>
    </cfRule>
  </conditionalFormatting>
  <conditionalFormatting sqref="I12">
    <cfRule type="cellIs" dxfId="168" priority="75" stopIfTrue="1" operator="greaterThan">
      <formula>G12-F12 + 0.0001</formula>
    </cfRule>
  </conditionalFormatting>
  <conditionalFormatting sqref="A13">
    <cfRule type="expression" dxfId="167" priority="76" stopIfTrue="1">
      <formula>ISBLANK(A13)</formula>
    </cfRule>
  </conditionalFormatting>
  <conditionalFormatting sqref="B13">
    <cfRule type="expression" dxfId="166" priority="77" stopIfTrue="1">
      <formula>ISBLANK(B13)</formula>
    </cfRule>
  </conditionalFormatting>
  <conditionalFormatting sqref="F13">
    <cfRule type="cellIs" dxfId="165" priority="78" stopIfTrue="1" operator="greaterThan">
      <formula>G13-$I$13</formula>
    </cfRule>
  </conditionalFormatting>
  <conditionalFormatting sqref="G13">
    <cfRule type="cellIs" dxfId="164" priority="79" stopIfTrue="1" operator="lessThan">
      <formula>F13+$I$13</formula>
    </cfRule>
  </conditionalFormatting>
  <conditionalFormatting sqref="H13">
    <cfRule type="cellIs" dxfId="163" priority="80" stopIfTrue="1" operator="equal">
      <formula>"Pode ser visitado"</formula>
    </cfRule>
  </conditionalFormatting>
  <conditionalFormatting sqref="H13">
    <cfRule type="cellIs" dxfId="162" priority="81" stopIfTrue="1" operator="equal">
      <formula>"Não visite"</formula>
    </cfRule>
  </conditionalFormatting>
  <conditionalFormatting sqref="I13">
    <cfRule type="cellIs" dxfId="161" priority="82" stopIfTrue="1" operator="greaterThan">
      <formula>G13-F13 + 0.0001</formula>
    </cfRule>
  </conditionalFormatting>
  <conditionalFormatting sqref="A14">
    <cfRule type="expression" dxfId="160" priority="83" stopIfTrue="1">
      <formula>ISBLANK(A14)</formula>
    </cfRule>
  </conditionalFormatting>
  <conditionalFormatting sqref="B14">
    <cfRule type="expression" dxfId="159" priority="84" stopIfTrue="1">
      <formula>ISBLANK(B14)</formula>
    </cfRule>
  </conditionalFormatting>
  <conditionalFormatting sqref="F14">
    <cfRule type="cellIs" dxfId="158" priority="85" stopIfTrue="1" operator="greaterThan">
      <formula>G14-$I$14</formula>
    </cfRule>
  </conditionalFormatting>
  <conditionalFormatting sqref="G14">
    <cfRule type="cellIs" dxfId="157" priority="86" stopIfTrue="1" operator="lessThan">
      <formula>F14+$I$14</formula>
    </cfRule>
  </conditionalFormatting>
  <conditionalFormatting sqref="H14">
    <cfRule type="cellIs" dxfId="156" priority="87" stopIfTrue="1" operator="equal">
      <formula>"Pode ser visitado"</formula>
    </cfRule>
  </conditionalFormatting>
  <conditionalFormatting sqref="H14">
    <cfRule type="cellIs" dxfId="155" priority="88" stopIfTrue="1" operator="equal">
      <formula>"Não visite"</formula>
    </cfRule>
  </conditionalFormatting>
  <conditionalFormatting sqref="I14">
    <cfRule type="cellIs" dxfId="154" priority="89" stopIfTrue="1" operator="greaterThan">
      <formula>G14-F14 + 0.0001</formula>
    </cfRule>
  </conditionalFormatting>
  <conditionalFormatting sqref="A15">
    <cfRule type="expression" dxfId="153" priority="90" stopIfTrue="1">
      <formula>ISBLANK(A15)</formula>
    </cfRule>
  </conditionalFormatting>
  <conditionalFormatting sqref="B15">
    <cfRule type="expression" dxfId="152" priority="91" stopIfTrue="1">
      <formula>ISBLANK(B15)</formula>
    </cfRule>
  </conditionalFormatting>
  <conditionalFormatting sqref="F15">
    <cfRule type="cellIs" dxfId="151" priority="92" stopIfTrue="1" operator="greaterThan">
      <formula>G15-$I$15</formula>
    </cfRule>
  </conditionalFormatting>
  <conditionalFormatting sqref="G15">
    <cfRule type="cellIs" dxfId="150" priority="93" stopIfTrue="1" operator="lessThan">
      <formula>F15+$I$15</formula>
    </cfRule>
  </conditionalFormatting>
  <conditionalFormatting sqref="H15">
    <cfRule type="cellIs" dxfId="149" priority="94" stopIfTrue="1" operator="equal">
      <formula>"Pode ser visitado"</formula>
    </cfRule>
  </conditionalFormatting>
  <conditionalFormatting sqref="H15">
    <cfRule type="cellIs" dxfId="148" priority="95" stopIfTrue="1" operator="equal">
      <formula>"Não visite"</formula>
    </cfRule>
  </conditionalFormatting>
  <conditionalFormatting sqref="I15">
    <cfRule type="cellIs" dxfId="147" priority="96" stopIfTrue="1" operator="greaterThan">
      <formula>G15-F15 + 0.0001</formula>
    </cfRule>
  </conditionalFormatting>
  <conditionalFormatting sqref="A16">
    <cfRule type="expression" dxfId="146" priority="97" stopIfTrue="1">
      <formula>ISBLANK(A16)</formula>
    </cfRule>
  </conditionalFormatting>
  <conditionalFormatting sqref="B16">
    <cfRule type="expression" dxfId="145" priority="98" stopIfTrue="1">
      <formula>ISBLANK(B16)</formula>
    </cfRule>
  </conditionalFormatting>
  <conditionalFormatting sqref="F16">
    <cfRule type="cellIs" dxfId="144" priority="99" stopIfTrue="1" operator="greaterThan">
      <formula>G16-$I$16</formula>
    </cfRule>
  </conditionalFormatting>
  <conditionalFormatting sqref="G16">
    <cfRule type="cellIs" dxfId="143" priority="100" stopIfTrue="1" operator="lessThan">
      <formula>F16+$I$16</formula>
    </cfRule>
  </conditionalFormatting>
  <conditionalFormatting sqref="H16">
    <cfRule type="cellIs" dxfId="142" priority="101" stopIfTrue="1" operator="equal">
      <formula>"Pode ser visitado"</formula>
    </cfRule>
  </conditionalFormatting>
  <conditionalFormatting sqref="H16">
    <cfRule type="cellIs" dxfId="141" priority="102" stopIfTrue="1" operator="equal">
      <formula>"Não visite"</formula>
    </cfRule>
  </conditionalFormatting>
  <conditionalFormatting sqref="I16">
    <cfRule type="cellIs" dxfId="140" priority="103" stopIfTrue="1" operator="greaterThan">
      <formula>G16-F16 + 0.0001</formula>
    </cfRule>
  </conditionalFormatting>
  <conditionalFormatting sqref="A17">
    <cfRule type="expression" dxfId="139" priority="104" stopIfTrue="1">
      <formula>ISBLANK(A17)</formula>
    </cfRule>
  </conditionalFormatting>
  <conditionalFormatting sqref="B17">
    <cfRule type="expression" dxfId="138" priority="105" stopIfTrue="1">
      <formula>ISBLANK(B17)</formula>
    </cfRule>
  </conditionalFormatting>
  <conditionalFormatting sqref="F17">
    <cfRule type="cellIs" dxfId="137" priority="106" stopIfTrue="1" operator="greaterThan">
      <formula>G17-$I$17</formula>
    </cfRule>
  </conditionalFormatting>
  <conditionalFormatting sqref="G17">
    <cfRule type="cellIs" dxfId="136" priority="107" stopIfTrue="1" operator="lessThan">
      <formula>F17+$I$17</formula>
    </cfRule>
  </conditionalFormatting>
  <conditionalFormatting sqref="H17">
    <cfRule type="cellIs" dxfId="135" priority="108" stopIfTrue="1" operator="equal">
      <formula>"Pode ser visitado"</formula>
    </cfRule>
  </conditionalFormatting>
  <conditionalFormatting sqref="H17">
    <cfRule type="cellIs" dxfId="134" priority="109" stopIfTrue="1" operator="equal">
      <formula>"Não visite"</formula>
    </cfRule>
  </conditionalFormatting>
  <conditionalFormatting sqref="I17">
    <cfRule type="cellIs" dxfId="133" priority="110" stopIfTrue="1" operator="greaterThan">
      <formula>G17-F17 + 0.0001</formula>
    </cfRule>
  </conditionalFormatting>
  <conditionalFormatting sqref="A18">
    <cfRule type="expression" dxfId="132" priority="111" stopIfTrue="1">
      <formula>ISBLANK(A18)</formula>
    </cfRule>
  </conditionalFormatting>
  <conditionalFormatting sqref="B18">
    <cfRule type="expression" dxfId="131" priority="112" stopIfTrue="1">
      <formula>ISBLANK(B18)</formula>
    </cfRule>
  </conditionalFormatting>
  <conditionalFormatting sqref="F18">
    <cfRule type="cellIs" dxfId="130" priority="113" stopIfTrue="1" operator="greaterThan">
      <formula>G18-$I$18</formula>
    </cfRule>
  </conditionalFormatting>
  <conditionalFormatting sqref="G18">
    <cfRule type="cellIs" dxfId="129" priority="114" stopIfTrue="1" operator="lessThan">
      <formula>F18+$I$18</formula>
    </cfRule>
  </conditionalFormatting>
  <conditionalFormatting sqref="H18">
    <cfRule type="cellIs" dxfId="128" priority="115" stopIfTrue="1" operator="equal">
      <formula>"Pode ser visitado"</formula>
    </cfRule>
  </conditionalFormatting>
  <conditionalFormatting sqref="H18">
    <cfRule type="cellIs" dxfId="127" priority="116" stopIfTrue="1" operator="equal">
      <formula>"Não visite"</formula>
    </cfRule>
  </conditionalFormatting>
  <conditionalFormatting sqref="I18">
    <cfRule type="cellIs" dxfId="126" priority="117" stopIfTrue="1" operator="greaterThan">
      <formula>G18-F18 + 0.0001</formula>
    </cfRule>
  </conditionalFormatting>
  <conditionalFormatting sqref="A19">
    <cfRule type="expression" dxfId="125" priority="118" stopIfTrue="1">
      <formula>ISBLANK(A19)</formula>
    </cfRule>
  </conditionalFormatting>
  <conditionalFormatting sqref="B19">
    <cfRule type="expression" dxfId="124" priority="119" stopIfTrue="1">
      <formula>ISBLANK(B19)</formula>
    </cfRule>
  </conditionalFormatting>
  <conditionalFormatting sqref="F19">
    <cfRule type="cellIs" dxfId="123" priority="120" stopIfTrue="1" operator="greaterThan">
      <formula>G19-$I$19</formula>
    </cfRule>
  </conditionalFormatting>
  <conditionalFormatting sqref="G19">
    <cfRule type="cellIs" dxfId="122" priority="121" stopIfTrue="1" operator="lessThan">
      <formula>F19+$I$19</formula>
    </cfRule>
  </conditionalFormatting>
  <conditionalFormatting sqref="H19">
    <cfRule type="cellIs" dxfId="121" priority="122" stopIfTrue="1" operator="equal">
      <formula>"Pode ser visitado"</formula>
    </cfRule>
  </conditionalFormatting>
  <conditionalFormatting sqref="H19">
    <cfRule type="cellIs" dxfId="120" priority="123" stopIfTrue="1" operator="equal">
      <formula>"Não visite"</formula>
    </cfRule>
  </conditionalFormatting>
  <conditionalFormatting sqref="I19">
    <cfRule type="cellIs" dxfId="119" priority="124" stopIfTrue="1" operator="greaterThan">
      <formula>G19-F19 + 0.0001</formula>
    </cfRule>
  </conditionalFormatting>
  <conditionalFormatting sqref="A20">
    <cfRule type="expression" dxfId="118" priority="125" stopIfTrue="1">
      <formula>ISBLANK(A20)</formula>
    </cfRule>
  </conditionalFormatting>
  <conditionalFormatting sqref="B20">
    <cfRule type="expression" dxfId="117" priority="126" stopIfTrue="1">
      <formula>ISBLANK(B20)</formula>
    </cfRule>
  </conditionalFormatting>
  <conditionalFormatting sqref="F20">
    <cfRule type="cellIs" dxfId="116" priority="127" stopIfTrue="1" operator="greaterThan">
      <formula>G20-$I$20</formula>
    </cfRule>
  </conditionalFormatting>
  <conditionalFormatting sqref="G20">
    <cfRule type="cellIs" dxfId="115" priority="128" stopIfTrue="1" operator="lessThan">
      <formula>F20+$I$20</formula>
    </cfRule>
  </conditionalFormatting>
  <conditionalFormatting sqref="H20">
    <cfRule type="cellIs" dxfId="114" priority="129" stopIfTrue="1" operator="equal">
      <formula>"Pode ser visitado"</formula>
    </cfRule>
  </conditionalFormatting>
  <conditionalFormatting sqref="H20">
    <cfRule type="cellIs" dxfId="113" priority="130" stopIfTrue="1" operator="equal">
      <formula>"Não visite"</formula>
    </cfRule>
  </conditionalFormatting>
  <conditionalFormatting sqref="I20">
    <cfRule type="cellIs" dxfId="112" priority="131" stopIfTrue="1" operator="greaterThan">
      <formula>G20-F20 + 0.0001</formula>
    </cfRule>
  </conditionalFormatting>
  <conditionalFormatting sqref="A21">
    <cfRule type="expression" dxfId="111" priority="132" stopIfTrue="1">
      <formula>ISBLANK(A21)</formula>
    </cfRule>
  </conditionalFormatting>
  <conditionalFormatting sqref="B21">
    <cfRule type="expression" dxfId="110" priority="133" stopIfTrue="1">
      <formula>ISBLANK(B21)</formula>
    </cfRule>
  </conditionalFormatting>
  <conditionalFormatting sqref="F21">
    <cfRule type="cellIs" dxfId="109" priority="134" stopIfTrue="1" operator="greaterThan">
      <formula>G21-$I$21</formula>
    </cfRule>
  </conditionalFormatting>
  <conditionalFormatting sqref="G21">
    <cfRule type="cellIs" dxfId="108" priority="135" stopIfTrue="1" operator="lessThan">
      <formula>F21+$I$21</formula>
    </cfRule>
  </conditionalFormatting>
  <conditionalFormatting sqref="H21">
    <cfRule type="cellIs" dxfId="107" priority="136" stopIfTrue="1" operator="equal">
      <formula>"Pode ser visitado"</formula>
    </cfRule>
  </conditionalFormatting>
  <conditionalFormatting sqref="H21">
    <cfRule type="cellIs" dxfId="106" priority="137" stopIfTrue="1" operator="equal">
      <formula>"Não visite"</formula>
    </cfRule>
  </conditionalFormatting>
  <conditionalFormatting sqref="I21">
    <cfRule type="cellIs" dxfId="105" priority="138" stopIfTrue="1" operator="greaterThan">
      <formula>G21-F21 + 0.0001</formula>
    </cfRule>
  </conditionalFormatting>
  <conditionalFormatting sqref="A22">
    <cfRule type="expression" dxfId="104" priority="139" stopIfTrue="1">
      <formula>ISBLANK(A22)</formula>
    </cfRule>
  </conditionalFormatting>
  <conditionalFormatting sqref="B22">
    <cfRule type="expression" dxfId="103" priority="140" stopIfTrue="1">
      <formula>ISBLANK(B22)</formula>
    </cfRule>
  </conditionalFormatting>
  <conditionalFormatting sqref="F22">
    <cfRule type="cellIs" dxfId="102" priority="141" stopIfTrue="1" operator="greaterThan">
      <formula>G22-$I$22</formula>
    </cfRule>
  </conditionalFormatting>
  <conditionalFormatting sqref="G22">
    <cfRule type="cellIs" dxfId="101" priority="142" stopIfTrue="1" operator="lessThan">
      <formula>F22+$I$22</formula>
    </cfRule>
  </conditionalFormatting>
  <conditionalFormatting sqref="H22">
    <cfRule type="cellIs" dxfId="100" priority="143" stopIfTrue="1" operator="equal">
      <formula>"Pode ser visitado"</formula>
    </cfRule>
  </conditionalFormatting>
  <conditionalFormatting sqref="H22">
    <cfRule type="cellIs" dxfId="99" priority="144" stopIfTrue="1" operator="equal">
      <formula>"Não visite"</formula>
    </cfRule>
  </conditionalFormatting>
  <conditionalFormatting sqref="I22">
    <cfRule type="cellIs" dxfId="98" priority="145" stopIfTrue="1" operator="greaterThan">
      <formula>G22-F22 + 0.0001</formula>
    </cfRule>
  </conditionalFormatting>
  <conditionalFormatting sqref="A23">
    <cfRule type="expression" dxfId="97" priority="146" stopIfTrue="1">
      <formula>ISBLANK(A23)</formula>
    </cfRule>
  </conditionalFormatting>
  <conditionalFormatting sqref="B23">
    <cfRule type="expression" dxfId="96" priority="147" stopIfTrue="1">
      <formula>ISBLANK(B23)</formula>
    </cfRule>
  </conditionalFormatting>
  <conditionalFormatting sqref="F23">
    <cfRule type="cellIs" dxfId="95" priority="148" stopIfTrue="1" operator="greaterThan">
      <formula>G23-$I$23</formula>
    </cfRule>
  </conditionalFormatting>
  <conditionalFormatting sqref="G23">
    <cfRule type="cellIs" dxfId="94" priority="149" stopIfTrue="1" operator="lessThan">
      <formula>F23+$I$23</formula>
    </cfRule>
  </conditionalFormatting>
  <conditionalFormatting sqref="H23">
    <cfRule type="cellIs" dxfId="93" priority="150" stopIfTrue="1" operator="equal">
      <formula>"Pode ser visitado"</formula>
    </cfRule>
  </conditionalFormatting>
  <conditionalFormatting sqref="H23">
    <cfRule type="cellIs" dxfId="92" priority="151" stopIfTrue="1" operator="equal">
      <formula>"Não visite"</formula>
    </cfRule>
  </conditionalFormatting>
  <conditionalFormatting sqref="I23">
    <cfRule type="cellIs" dxfId="91" priority="152" stopIfTrue="1" operator="greaterThan">
      <formula>G23-F23 + 0.0001</formula>
    </cfRule>
  </conditionalFormatting>
  <conditionalFormatting sqref="A24">
    <cfRule type="expression" dxfId="90" priority="153" stopIfTrue="1">
      <formula>ISBLANK(A24)</formula>
    </cfRule>
  </conditionalFormatting>
  <conditionalFormatting sqref="B24">
    <cfRule type="expression" dxfId="89" priority="154" stopIfTrue="1">
      <formula>ISBLANK(B24)</formula>
    </cfRule>
  </conditionalFormatting>
  <conditionalFormatting sqref="F24">
    <cfRule type="cellIs" dxfId="88" priority="155" stopIfTrue="1" operator="greaterThan">
      <formula>G24-$I$24</formula>
    </cfRule>
  </conditionalFormatting>
  <conditionalFormatting sqref="G24">
    <cfRule type="cellIs" dxfId="87" priority="156" stopIfTrue="1" operator="lessThan">
      <formula>F24+$I$24</formula>
    </cfRule>
  </conditionalFormatting>
  <conditionalFormatting sqref="H24">
    <cfRule type="cellIs" dxfId="86" priority="157" stopIfTrue="1" operator="equal">
      <formula>"Pode ser visitado"</formula>
    </cfRule>
  </conditionalFormatting>
  <conditionalFormatting sqref="H24">
    <cfRule type="cellIs" dxfId="85" priority="158" stopIfTrue="1" operator="equal">
      <formula>"Não visite"</formula>
    </cfRule>
  </conditionalFormatting>
  <conditionalFormatting sqref="I24">
    <cfRule type="cellIs" dxfId="84" priority="159" stopIfTrue="1" operator="greaterThan">
      <formula>G24-F24 + 0.0001</formula>
    </cfRule>
  </conditionalFormatting>
  <conditionalFormatting sqref="J3:J24">
    <cfRule type="cellIs" dxfId="83" priority="160" stopIfTrue="1" operator="lessThan">
      <formula>0</formula>
    </cfRule>
  </conditionalFormatting>
  <conditionalFormatting sqref="B2:B24">
    <cfRule type="duplicateValues" dxfId="82" priority="161"/>
  </conditionalFormatting>
  <dataValidations count="2">
    <dataValidation type="decimal" operator="greaterThan" allowBlank="1" showInputMessage="1" showErrorMessage="1" error="Insira um valor não negativo" sqref="K2:K24" xr:uid="{8055828A-B06B-4C04-B23D-EFD5FC5B42F3}">
      <formula1>-0.0001</formula1>
    </dataValidation>
    <dataValidation type="list" allowBlank="1" showInputMessage="1" showErrorMessage="1" sqref="H3:H24" xr:uid="{5DC2D8CA-C4DC-4FB1-94EC-23FD252DA4D7}">
      <formula1>"Deve ser visitado,Pode ser visitado,Não visite"</formula1>
    </dataValidation>
  </dataValidations>
  <pageMargins left="0.511811024" right="0.511811024" top="0.78740157499999996" bottom="0.78740157499999996" header="0.31496062000000002" footer="0.31496062000000002"/>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99698-9A32-411B-B6C8-1A2CF02CF5AF}">
  <sheetPr codeName="Planilha2"/>
  <dimension ref="A1:F530"/>
  <sheetViews>
    <sheetView topLeftCell="A16" workbookViewId="0"/>
  </sheetViews>
  <sheetFormatPr defaultRowHeight="15" x14ac:dyDescent="0.25"/>
  <cols>
    <col min="1" max="2" width="8.85546875" bestFit="1" customWidth="1"/>
    <col min="3" max="3" width="9" bestFit="1" customWidth="1"/>
    <col min="4" max="4" width="8.140625" bestFit="1" customWidth="1"/>
    <col min="5" max="5" width="8.7109375" bestFit="1" customWidth="1"/>
    <col min="6" max="6" width="23.7109375" customWidth="1"/>
  </cols>
  <sheetData>
    <row r="1" spans="1:6" x14ac:dyDescent="0.25">
      <c r="A1" s="18" t="s">
        <v>969</v>
      </c>
      <c r="B1" s="18" t="s">
        <v>1644</v>
      </c>
      <c r="C1" s="18" t="s">
        <v>1122</v>
      </c>
      <c r="D1" s="18" t="s">
        <v>1133</v>
      </c>
      <c r="E1" s="18" t="s">
        <v>893</v>
      </c>
      <c r="F1" s="18" t="s">
        <v>4025</v>
      </c>
    </row>
    <row r="2" spans="1:6" x14ac:dyDescent="0.25">
      <c r="A2" s="20" t="s">
        <v>4028</v>
      </c>
      <c r="B2" s="20" t="s">
        <v>4028</v>
      </c>
      <c r="C2" s="36">
        <v>0</v>
      </c>
      <c r="D2" s="37">
        <v>0</v>
      </c>
    </row>
    <row r="3" spans="1:6" x14ac:dyDescent="0.25">
      <c r="A3" s="23" t="s">
        <v>4028</v>
      </c>
      <c r="B3" s="23" t="s">
        <v>4004</v>
      </c>
      <c r="C3" s="38">
        <v>0.90700000000000003</v>
      </c>
      <c r="D3" s="24">
        <f xml:space="preserve"> C3 / (24 * 'VRP Solver Console'!C11)</f>
        <v>6.2986111111111109E-4</v>
      </c>
    </row>
    <row r="4" spans="1:6" x14ac:dyDescent="0.25">
      <c r="A4" s="23" t="s">
        <v>4028</v>
      </c>
      <c r="B4" s="23" t="s">
        <v>4005</v>
      </c>
      <c r="C4" s="39">
        <v>0.88900000000000001</v>
      </c>
      <c r="D4" s="25">
        <f xml:space="preserve"> C4 / (24 * 'VRP Solver Console'!C11)</f>
        <v>6.1736111111111117E-4</v>
      </c>
    </row>
    <row r="5" spans="1:6" x14ac:dyDescent="0.25">
      <c r="A5" s="23" t="s">
        <v>4028</v>
      </c>
      <c r="B5" s="23" t="s">
        <v>4006</v>
      </c>
      <c r="C5" s="38">
        <v>2.4620000000000002</v>
      </c>
      <c r="D5" s="24">
        <f xml:space="preserve"> C5 / (24 * 'VRP Solver Console'!C11)</f>
        <v>1.7097222222222223E-3</v>
      </c>
    </row>
    <row r="6" spans="1:6" x14ac:dyDescent="0.25">
      <c r="A6" s="23" t="s">
        <v>4028</v>
      </c>
      <c r="B6" s="23" t="s">
        <v>4007</v>
      </c>
      <c r="C6" s="39">
        <v>2.0339999999999998</v>
      </c>
      <c r="D6" s="25">
        <f xml:space="preserve"> C6 / (24 * 'VRP Solver Console'!C11)</f>
        <v>1.4124999999999999E-3</v>
      </c>
    </row>
    <row r="7" spans="1:6" x14ac:dyDescent="0.25">
      <c r="A7" s="23" t="s">
        <v>4028</v>
      </c>
      <c r="B7" s="23" t="s">
        <v>4008</v>
      </c>
      <c r="C7" s="38">
        <v>0.438</v>
      </c>
      <c r="D7" s="24">
        <f xml:space="preserve"> C7 / (24 * 'VRP Solver Console'!C11)</f>
        <v>3.0416666666666667E-4</v>
      </c>
    </row>
    <row r="8" spans="1:6" x14ac:dyDescent="0.25">
      <c r="A8" s="23" t="s">
        <v>4028</v>
      </c>
      <c r="B8" s="23" t="s">
        <v>4009</v>
      </c>
      <c r="C8" s="39">
        <v>0.90700000000000003</v>
      </c>
      <c r="D8" s="25">
        <f xml:space="preserve"> C8 / (24 * 'VRP Solver Console'!C11)</f>
        <v>6.2986111111111109E-4</v>
      </c>
    </row>
    <row r="9" spans="1:6" x14ac:dyDescent="0.25">
      <c r="A9" s="23" t="s">
        <v>4028</v>
      </c>
      <c r="B9" s="23" t="s">
        <v>4010</v>
      </c>
      <c r="C9" s="38">
        <v>0.96799999999999997</v>
      </c>
      <c r="D9" s="24">
        <f xml:space="preserve"> C9 / (24 * 'VRP Solver Console'!C11)</f>
        <v>6.7222222222222217E-4</v>
      </c>
    </row>
    <row r="10" spans="1:6" x14ac:dyDescent="0.25">
      <c r="A10" s="23" t="s">
        <v>4028</v>
      </c>
      <c r="B10" s="23" t="s">
        <v>4011</v>
      </c>
      <c r="C10" s="39">
        <v>2.2890000000000001</v>
      </c>
      <c r="D10" s="25">
        <f xml:space="preserve"> C10 / (24 * 'VRP Solver Console'!C11)</f>
        <v>1.5895833333333335E-3</v>
      </c>
    </row>
    <row r="11" spans="1:6" x14ac:dyDescent="0.25">
      <c r="A11" s="23" t="s">
        <v>4028</v>
      </c>
      <c r="B11" s="23" t="s">
        <v>4012</v>
      </c>
      <c r="C11" s="38">
        <v>3.198</v>
      </c>
      <c r="D11" s="24">
        <f xml:space="preserve"> C11 / (24 * 'VRP Solver Console'!C11)</f>
        <v>2.2208333333333333E-3</v>
      </c>
    </row>
    <row r="12" spans="1:6" x14ac:dyDescent="0.25">
      <c r="A12" s="23" t="s">
        <v>4028</v>
      </c>
      <c r="B12" s="23" t="s">
        <v>4013</v>
      </c>
      <c r="C12" s="39">
        <v>1.1519999999999999</v>
      </c>
      <c r="D12" s="25">
        <f xml:space="preserve"> C12 / (24 * 'VRP Solver Console'!C11)</f>
        <v>7.9999999999999993E-4</v>
      </c>
    </row>
    <row r="13" spans="1:6" x14ac:dyDescent="0.25">
      <c r="A13" s="23" t="s">
        <v>4028</v>
      </c>
      <c r="B13" s="23" t="s">
        <v>4014</v>
      </c>
      <c r="C13" s="38">
        <v>0.98699999999999999</v>
      </c>
      <c r="D13" s="24">
        <f xml:space="preserve"> C13 / (24 * 'VRP Solver Console'!C11)</f>
        <v>6.8541666666666664E-4</v>
      </c>
    </row>
    <row r="14" spans="1:6" x14ac:dyDescent="0.25">
      <c r="A14" s="23" t="s">
        <v>4028</v>
      </c>
      <c r="B14" s="23" t="s">
        <v>4015</v>
      </c>
      <c r="C14" s="39">
        <v>42.603999999999999</v>
      </c>
      <c r="D14" s="25">
        <f xml:space="preserve"> C14 / (24 * 'VRP Solver Console'!C11)</f>
        <v>2.9586111111111112E-2</v>
      </c>
    </row>
    <row r="15" spans="1:6" x14ac:dyDescent="0.25">
      <c r="A15" s="23" t="s">
        <v>4028</v>
      </c>
      <c r="B15" s="23" t="s">
        <v>4016</v>
      </c>
      <c r="C15" s="38">
        <v>42.603999999999999</v>
      </c>
      <c r="D15" s="24">
        <f xml:space="preserve"> C15 / (24 * 'VRP Solver Console'!C11)</f>
        <v>2.9586111111111112E-2</v>
      </c>
    </row>
    <row r="16" spans="1:6" x14ac:dyDescent="0.25">
      <c r="A16" s="23" t="s">
        <v>4028</v>
      </c>
      <c r="B16" s="23" t="s">
        <v>4017</v>
      </c>
      <c r="C16" s="39">
        <v>42.603999999999999</v>
      </c>
      <c r="D16" s="25">
        <f xml:space="preserve"> C16 / (24 * 'VRP Solver Console'!C11)</f>
        <v>2.9586111111111112E-2</v>
      </c>
    </row>
    <row r="17" spans="1:4" x14ac:dyDescent="0.25">
      <c r="A17" s="23" t="s">
        <v>4028</v>
      </c>
      <c r="B17" s="23" t="s">
        <v>4018</v>
      </c>
      <c r="C17" s="38">
        <v>42.603999999999999</v>
      </c>
      <c r="D17" s="24">
        <f xml:space="preserve"> C17 / (24 * 'VRP Solver Console'!C11)</f>
        <v>2.9586111111111112E-2</v>
      </c>
    </row>
    <row r="18" spans="1:4" x14ac:dyDescent="0.25">
      <c r="A18" s="23" t="s">
        <v>4028</v>
      </c>
      <c r="B18" s="23" t="s">
        <v>4019</v>
      </c>
      <c r="C18" s="39">
        <v>3.7309999999999999</v>
      </c>
      <c r="D18" s="25">
        <f xml:space="preserve"> C18 / (24 * 'VRP Solver Console'!C11)</f>
        <v>2.5909722222222219E-3</v>
      </c>
    </row>
    <row r="19" spans="1:4" x14ac:dyDescent="0.25">
      <c r="A19" s="23" t="s">
        <v>4028</v>
      </c>
      <c r="B19" s="23" t="s">
        <v>4020</v>
      </c>
      <c r="C19" s="38">
        <v>1.401</v>
      </c>
      <c r="D19" s="24">
        <f xml:space="preserve"> C19 / (24 * 'VRP Solver Console'!C11)</f>
        <v>9.7291666666666663E-4</v>
      </c>
    </row>
    <row r="20" spans="1:4" x14ac:dyDescent="0.25">
      <c r="A20" s="23" t="s">
        <v>4028</v>
      </c>
      <c r="B20" s="23" t="s">
        <v>4021</v>
      </c>
      <c r="C20" s="39">
        <v>2.419</v>
      </c>
      <c r="D20" s="25">
        <f xml:space="preserve"> C20 / (24 * 'VRP Solver Console'!C11)</f>
        <v>1.6798611111111111E-3</v>
      </c>
    </row>
    <row r="21" spans="1:4" x14ac:dyDescent="0.25">
      <c r="A21" s="23" t="s">
        <v>4028</v>
      </c>
      <c r="B21" s="23" t="s">
        <v>4022</v>
      </c>
      <c r="C21" s="38">
        <v>2.2229999999999999</v>
      </c>
      <c r="D21" s="24">
        <f xml:space="preserve"> C21 / (24 * 'VRP Solver Console'!C11)</f>
        <v>1.54375E-3</v>
      </c>
    </row>
    <row r="22" spans="1:4" x14ac:dyDescent="0.25">
      <c r="A22" s="23" t="s">
        <v>4028</v>
      </c>
      <c r="B22" s="23" t="s">
        <v>4023</v>
      </c>
      <c r="C22" s="39">
        <v>3.24</v>
      </c>
      <c r="D22" s="25">
        <f xml:space="preserve"> C22 / (24 * 'VRP Solver Console'!C11)</f>
        <v>2.2500000000000003E-3</v>
      </c>
    </row>
    <row r="23" spans="1:4" x14ac:dyDescent="0.25">
      <c r="A23" s="23" t="s">
        <v>4028</v>
      </c>
      <c r="B23" s="23" t="s">
        <v>4024</v>
      </c>
      <c r="C23" s="38">
        <v>40.531999999999996</v>
      </c>
      <c r="D23" s="24">
        <f xml:space="preserve"> C23 / (24 * 'VRP Solver Console'!C11)</f>
        <v>2.8147222222222219E-2</v>
      </c>
    </row>
    <row r="24" spans="1:4" x14ac:dyDescent="0.25">
      <c r="A24" s="23" t="s">
        <v>4028</v>
      </c>
      <c r="B24" s="23" t="s">
        <v>4003</v>
      </c>
      <c r="C24" s="39">
        <v>1.9990000000000001</v>
      </c>
      <c r="D24" s="25">
        <f xml:space="preserve"> C24 / (24 * 'VRP Solver Console'!C11)</f>
        <v>1.3881944444444445E-3</v>
      </c>
    </row>
    <row r="25" spans="1:4" x14ac:dyDescent="0.25">
      <c r="A25" s="23" t="s">
        <v>4004</v>
      </c>
      <c r="B25" s="23" t="s">
        <v>4028</v>
      </c>
      <c r="C25" s="38">
        <v>0.90800000000000003</v>
      </c>
      <c r="D25" s="24">
        <f xml:space="preserve"> C25 / (24 * 'VRP Solver Console'!C11)</f>
        <v>6.3055555555555553E-4</v>
      </c>
    </row>
    <row r="26" spans="1:4" x14ac:dyDescent="0.25">
      <c r="A26" s="23" t="s">
        <v>4004</v>
      </c>
      <c r="B26" s="23" t="s">
        <v>4004</v>
      </c>
      <c r="C26" s="39">
        <v>0</v>
      </c>
      <c r="D26" s="25">
        <v>0</v>
      </c>
    </row>
    <row r="27" spans="1:4" x14ac:dyDescent="0.25">
      <c r="A27" s="23" t="s">
        <v>4004</v>
      </c>
      <c r="B27" s="23" t="s">
        <v>4005</v>
      </c>
      <c r="C27" s="38">
        <v>0.84</v>
      </c>
      <c r="D27" s="24">
        <f xml:space="preserve"> C27 / (24 * 'VRP Solver Console'!C11)</f>
        <v>5.8333333333333327E-4</v>
      </c>
    </row>
    <row r="28" spans="1:4" x14ac:dyDescent="0.25">
      <c r="A28" s="23" t="s">
        <v>4004</v>
      </c>
      <c r="B28" s="23" t="s">
        <v>4006</v>
      </c>
      <c r="C28" s="39">
        <v>1.675</v>
      </c>
      <c r="D28" s="25">
        <f xml:space="preserve"> C28 / (24 * 'VRP Solver Console'!C11)</f>
        <v>1.1631944444444446E-3</v>
      </c>
    </row>
    <row r="29" spans="1:4" x14ac:dyDescent="0.25">
      <c r="A29" s="23" t="s">
        <v>4004</v>
      </c>
      <c r="B29" s="23" t="s">
        <v>4007</v>
      </c>
      <c r="C29" s="38">
        <v>1.9850000000000001</v>
      </c>
      <c r="D29" s="24">
        <f xml:space="preserve"> C29 / (24 * 'VRP Solver Console'!C11)</f>
        <v>1.3784722222222223E-3</v>
      </c>
    </row>
    <row r="30" spans="1:4" x14ac:dyDescent="0.25">
      <c r="A30" s="23" t="s">
        <v>4004</v>
      </c>
      <c r="B30" s="23" t="s">
        <v>4008</v>
      </c>
      <c r="C30" s="39">
        <v>0.54400000000000004</v>
      </c>
      <c r="D30" s="25">
        <f xml:space="preserve"> C30 / (24 * 'VRP Solver Console'!C11)</f>
        <v>3.7777777777777782E-4</v>
      </c>
    </row>
    <row r="31" spans="1:4" x14ac:dyDescent="0.25">
      <c r="A31" s="23" t="s">
        <v>4004</v>
      </c>
      <c r="B31" s="23" t="s">
        <v>4009</v>
      </c>
      <c r="C31" s="38">
        <v>0</v>
      </c>
      <c r="D31" s="24">
        <f xml:space="preserve"> C31 / (24 * 'VRP Solver Console'!C11)</f>
        <v>0</v>
      </c>
    </row>
    <row r="32" spans="1:4" x14ac:dyDescent="0.25">
      <c r="A32" s="23" t="s">
        <v>4004</v>
      </c>
      <c r="B32" s="23" t="s">
        <v>4010</v>
      </c>
      <c r="C32" s="39">
        <v>0.76200000000000001</v>
      </c>
      <c r="D32" s="25">
        <f xml:space="preserve"> C32 / (24 * 'VRP Solver Console'!C11)</f>
        <v>5.2916666666666672E-4</v>
      </c>
    </row>
    <row r="33" spans="1:4" x14ac:dyDescent="0.25">
      <c r="A33" s="23" t="s">
        <v>4004</v>
      </c>
      <c r="B33" s="23" t="s">
        <v>4011</v>
      </c>
      <c r="C33" s="38">
        <v>1.556</v>
      </c>
      <c r="D33" s="24">
        <f xml:space="preserve"> C33 / (24 * 'VRP Solver Console'!C11)</f>
        <v>1.0805555555555555E-3</v>
      </c>
    </row>
    <row r="34" spans="1:4" x14ac:dyDescent="0.25">
      <c r="A34" s="23" t="s">
        <v>4004</v>
      </c>
      <c r="B34" s="23" t="s">
        <v>4012</v>
      </c>
      <c r="C34" s="39">
        <v>3.149</v>
      </c>
      <c r="D34" s="25">
        <f xml:space="preserve"> C34 / (24 * 'VRP Solver Console'!C11)</f>
        <v>2.1868055555555556E-3</v>
      </c>
    </row>
    <row r="35" spans="1:4" x14ac:dyDescent="0.25">
      <c r="A35" s="23" t="s">
        <v>4004</v>
      </c>
      <c r="B35" s="23" t="s">
        <v>4013</v>
      </c>
      <c r="C35" s="38">
        <v>2.1150000000000002</v>
      </c>
      <c r="D35" s="24">
        <f xml:space="preserve"> C35 / (24 * 'VRP Solver Console'!C11)</f>
        <v>1.4687500000000002E-3</v>
      </c>
    </row>
    <row r="36" spans="1:4" x14ac:dyDescent="0.25">
      <c r="A36" s="23" t="s">
        <v>4004</v>
      </c>
      <c r="B36" s="23" t="s">
        <v>4014</v>
      </c>
      <c r="C36" s="39">
        <v>2.0750000000000002</v>
      </c>
      <c r="D36" s="25">
        <f xml:space="preserve"> C36 / (24 * 'VRP Solver Console'!C11)</f>
        <v>1.4409722222222224E-3</v>
      </c>
    </row>
    <row r="37" spans="1:4" x14ac:dyDescent="0.25">
      <c r="A37" s="23" t="s">
        <v>4004</v>
      </c>
      <c r="B37" s="23" t="s">
        <v>4015</v>
      </c>
      <c r="C37" s="38">
        <v>43.189</v>
      </c>
      <c r="D37" s="24">
        <f xml:space="preserve"> C37 / (24 * 'VRP Solver Console'!C11)</f>
        <v>2.9992361111111112E-2</v>
      </c>
    </row>
    <row r="38" spans="1:4" x14ac:dyDescent="0.25">
      <c r="A38" s="23" t="s">
        <v>4004</v>
      </c>
      <c r="B38" s="23" t="s">
        <v>4016</v>
      </c>
      <c r="C38" s="39">
        <v>43.189</v>
      </c>
      <c r="D38" s="25">
        <f xml:space="preserve"> C38 / (24 * 'VRP Solver Console'!C11)</f>
        <v>2.9992361111111112E-2</v>
      </c>
    </row>
    <row r="39" spans="1:4" x14ac:dyDescent="0.25">
      <c r="A39" s="23" t="s">
        <v>4004</v>
      </c>
      <c r="B39" s="23" t="s">
        <v>4017</v>
      </c>
      <c r="C39" s="38">
        <v>43.189</v>
      </c>
      <c r="D39" s="24">
        <f xml:space="preserve"> C39 / (24 * 'VRP Solver Console'!C11)</f>
        <v>2.9992361111111112E-2</v>
      </c>
    </row>
    <row r="40" spans="1:4" x14ac:dyDescent="0.25">
      <c r="A40" s="23" t="s">
        <v>4004</v>
      </c>
      <c r="B40" s="23" t="s">
        <v>4018</v>
      </c>
      <c r="C40" s="39">
        <v>43.189</v>
      </c>
      <c r="D40" s="25">
        <f xml:space="preserve"> C40 / (24 * 'VRP Solver Console'!C11)</f>
        <v>2.9992361111111112E-2</v>
      </c>
    </row>
    <row r="41" spans="1:4" x14ac:dyDescent="0.25">
      <c r="A41" s="23" t="s">
        <v>4004</v>
      </c>
      <c r="B41" s="23" t="s">
        <v>4019</v>
      </c>
      <c r="C41" s="38">
        <v>4.3159999999999998</v>
      </c>
      <c r="D41" s="24">
        <f xml:space="preserve"> C41 / (24 * 'VRP Solver Console'!C11)</f>
        <v>2.9972222222222223E-3</v>
      </c>
    </row>
    <row r="42" spans="1:4" x14ac:dyDescent="0.25">
      <c r="A42" s="23" t="s">
        <v>4004</v>
      </c>
      <c r="B42" s="23" t="s">
        <v>4020</v>
      </c>
      <c r="C42" s="39">
        <v>0.93400000000000005</v>
      </c>
      <c r="D42" s="25">
        <f xml:space="preserve"> C42 / (24 * 'VRP Solver Console'!C11)</f>
        <v>6.486111111111112E-4</v>
      </c>
    </row>
    <row r="43" spans="1:4" x14ac:dyDescent="0.25">
      <c r="A43" s="23" t="s">
        <v>4004</v>
      </c>
      <c r="B43" s="23" t="s">
        <v>4021</v>
      </c>
      <c r="C43" s="38">
        <v>2.37</v>
      </c>
      <c r="D43" s="24">
        <f xml:space="preserve"> C43 / (24 * 'VRP Solver Console'!C11)</f>
        <v>1.6458333333333333E-3</v>
      </c>
    </row>
    <row r="44" spans="1:4" x14ac:dyDescent="0.25">
      <c r="A44" s="23" t="s">
        <v>4004</v>
      </c>
      <c r="B44" s="23" t="s">
        <v>4022</v>
      </c>
      <c r="C44" s="39">
        <v>1.2030000000000001</v>
      </c>
      <c r="D44" s="25">
        <f xml:space="preserve"> C44 / (24 * 'VRP Solver Console'!C11)</f>
        <v>8.3541666666666671E-4</v>
      </c>
    </row>
    <row r="45" spans="1:4" x14ac:dyDescent="0.25">
      <c r="A45" s="23" t="s">
        <v>4004</v>
      </c>
      <c r="B45" s="23" t="s">
        <v>4023</v>
      </c>
      <c r="C45" s="38">
        <v>3.8250000000000002</v>
      </c>
      <c r="D45" s="24">
        <f xml:space="preserve"> C45 / (24 * 'VRP Solver Console'!C11)</f>
        <v>2.6562500000000002E-3</v>
      </c>
    </row>
    <row r="46" spans="1:4" x14ac:dyDescent="0.25">
      <c r="A46" s="23" t="s">
        <v>4004</v>
      </c>
      <c r="B46" s="23" t="s">
        <v>4024</v>
      </c>
      <c r="C46" s="39">
        <v>41.116999999999997</v>
      </c>
      <c r="D46" s="25">
        <f xml:space="preserve"> C46 / (24 * 'VRP Solver Console'!C11)</f>
        <v>2.855347222222222E-2</v>
      </c>
    </row>
    <row r="47" spans="1:4" x14ac:dyDescent="0.25">
      <c r="A47" s="23" t="s">
        <v>4004</v>
      </c>
      <c r="B47" s="23" t="s">
        <v>4003</v>
      </c>
      <c r="C47" s="38">
        <v>1.95</v>
      </c>
      <c r="D47" s="24">
        <f xml:space="preserve"> C47 / (24 * 'VRP Solver Console'!C11)</f>
        <v>1.3541666666666667E-3</v>
      </c>
    </row>
    <row r="48" spans="1:4" x14ac:dyDescent="0.25">
      <c r="A48" s="23" t="s">
        <v>4005</v>
      </c>
      <c r="B48" s="23" t="s">
        <v>4028</v>
      </c>
      <c r="C48" s="39">
        <v>0.95899999999999996</v>
      </c>
      <c r="D48" s="25">
        <f xml:space="preserve"> C48 / (24 * 'VRP Solver Console'!C11)</f>
        <v>6.659722222222222E-4</v>
      </c>
    </row>
    <row r="49" spans="1:4" x14ac:dyDescent="0.25">
      <c r="A49" s="23" t="s">
        <v>4005</v>
      </c>
      <c r="B49" s="23" t="s">
        <v>4004</v>
      </c>
      <c r="C49" s="38">
        <v>1.042</v>
      </c>
      <c r="D49" s="24">
        <f xml:space="preserve"> C49 / (24 * 'VRP Solver Console'!C11)</f>
        <v>7.2361111111111118E-4</v>
      </c>
    </row>
    <row r="50" spans="1:4" x14ac:dyDescent="0.25">
      <c r="A50" s="23" t="s">
        <v>4005</v>
      </c>
      <c r="B50" s="23" t="s">
        <v>4005</v>
      </c>
      <c r="C50" s="39">
        <v>0</v>
      </c>
      <c r="D50" s="25">
        <v>0</v>
      </c>
    </row>
    <row r="51" spans="1:4" x14ac:dyDescent="0.25">
      <c r="A51" s="23" t="s">
        <v>4005</v>
      </c>
      <c r="B51" s="23" t="s">
        <v>4006</v>
      </c>
      <c r="C51" s="38">
        <v>2.4</v>
      </c>
      <c r="D51" s="24">
        <f xml:space="preserve"> C51 / (24 * 'VRP Solver Console'!C11)</f>
        <v>1.6666666666666666E-3</v>
      </c>
    </row>
    <row r="52" spans="1:4" x14ac:dyDescent="0.25">
      <c r="A52" s="23" t="s">
        <v>4005</v>
      </c>
      <c r="B52" s="23" t="s">
        <v>4007</v>
      </c>
      <c r="C52" s="39">
        <v>1.1439999999999999</v>
      </c>
      <c r="D52" s="25">
        <f xml:space="preserve"> C52 / (24 * 'VRP Solver Console'!C11)</f>
        <v>7.9444444444444441E-4</v>
      </c>
    </row>
    <row r="53" spans="1:4" x14ac:dyDescent="0.25">
      <c r="A53" s="23" t="s">
        <v>4005</v>
      </c>
      <c r="B53" s="23" t="s">
        <v>4008</v>
      </c>
      <c r="C53" s="38">
        <v>0.52</v>
      </c>
      <c r="D53" s="24">
        <f xml:space="preserve"> C53 / (24 * 'VRP Solver Console'!C11)</f>
        <v>3.6111111111111115E-4</v>
      </c>
    </row>
    <row r="54" spans="1:4" x14ac:dyDescent="0.25">
      <c r="A54" s="23" t="s">
        <v>4005</v>
      </c>
      <c r="B54" s="23" t="s">
        <v>4009</v>
      </c>
      <c r="C54" s="39">
        <v>1.042</v>
      </c>
      <c r="D54" s="25">
        <f xml:space="preserve"> C54 / (24 * 'VRP Solver Console'!C11)</f>
        <v>7.2361111111111118E-4</v>
      </c>
    </row>
    <row r="55" spans="1:4" x14ac:dyDescent="0.25">
      <c r="A55" s="23" t="s">
        <v>4005</v>
      </c>
      <c r="B55" s="23" t="s">
        <v>4010</v>
      </c>
      <c r="C55" s="38">
        <v>1.744</v>
      </c>
      <c r="D55" s="24">
        <f xml:space="preserve"> C55 / (24 * 'VRP Solver Console'!C11)</f>
        <v>1.2111111111111112E-3</v>
      </c>
    </row>
    <row r="56" spans="1:4" x14ac:dyDescent="0.25">
      <c r="A56" s="23" t="s">
        <v>4005</v>
      </c>
      <c r="B56" s="23" t="s">
        <v>4011</v>
      </c>
      <c r="C56" s="39">
        <v>2.298</v>
      </c>
      <c r="D56" s="25">
        <f xml:space="preserve"> C56 / (24 * 'VRP Solver Console'!C11)</f>
        <v>1.5958333333333334E-3</v>
      </c>
    </row>
    <row r="57" spans="1:4" x14ac:dyDescent="0.25">
      <c r="A57" s="23" t="s">
        <v>4005</v>
      </c>
      <c r="B57" s="23" t="s">
        <v>4012</v>
      </c>
      <c r="C57" s="38">
        <v>4.0780000000000003</v>
      </c>
      <c r="D57" s="24">
        <f xml:space="preserve"> C57 / (24 * 'VRP Solver Console'!C11)</f>
        <v>2.8319444444444447E-3</v>
      </c>
    </row>
    <row r="58" spans="1:4" x14ac:dyDescent="0.25">
      <c r="A58" s="23" t="s">
        <v>4005</v>
      </c>
      <c r="B58" s="23" t="s">
        <v>4013</v>
      </c>
      <c r="C58" s="39">
        <v>1.274</v>
      </c>
      <c r="D58" s="25">
        <f xml:space="preserve"> C58 / (24 * 'VRP Solver Console'!C11)</f>
        <v>8.8472222222222229E-4</v>
      </c>
    </row>
    <row r="59" spans="1:4" x14ac:dyDescent="0.25">
      <c r="A59" s="23" t="s">
        <v>4005</v>
      </c>
      <c r="B59" s="23" t="s">
        <v>4014</v>
      </c>
      <c r="C59" s="38">
        <v>2.6120000000000001</v>
      </c>
      <c r="D59" s="24">
        <f xml:space="preserve"> C59 / (24 * 'VRP Solver Console'!C11)</f>
        <v>1.813888888888889E-3</v>
      </c>
    </row>
    <row r="60" spans="1:4" x14ac:dyDescent="0.25">
      <c r="A60" s="23" t="s">
        <v>4005</v>
      </c>
      <c r="B60" s="23" t="s">
        <v>4015</v>
      </c>
      <c r="C60" s="39">
        <v>42.231000000000002</v>
      </c>
      <c r="D60" s="25">
        <f xml:space="preserve"> C60 / (24 * 'VRP Solver Console'!C11)</f>
        <v>2.9327083333333333E-2</v>
      </c>
    </row>
    <row r="61" spans="1:4" x14ac:dyDescent="0.25">
      <c r="A61" s="23" t="s">
        <v>4005</v>
      </c>
      <c r="B61" s="23" t="s">
        <v>4016</v>
      </c>
      <c r="C61" s="38">
        <v>42.231000000000002</v>
      </c>
      <c r="D61" s="24">
        <f xml:space="preserve"> C61 / (24 * 'VRP Solver Console'!C11)</f>
        <v>2.9327083333333333E-2</v>
      </c>
    </row>
    <row r="62" spans="1:4" x14ac:dyDescent="0.25">
      <c r="A62" s="23" t="s">
        <v>4005</v>
      </c>
      <c r="B62" s="23" t="s">
        <v>4017</v>
      </c>
      <c r="C62" s="39">
        <v>42.231000000000002</v>
      </c>
      <c r="D62" s="25">
        <f xml:space="preserve"> C62 / (24 * 'VRP Solver Console'!C11)</f>
        <v>2.9327083333333333E-2</v>
      </c>
    </row>
    <row r="63" spans="1:4" x14ac:dyDescent="0.25">
      <c r="A63" s="23" t="s">
        <v>4005</v>
      </c>
      <c r="B63" s="23" t="s">
        <v>4018</v>
      </c>
      <c r="C63" s="38">
        <v>42.231000000000002</v>
      </c>
      <c r="D63" s="24">
        <f xml:space="preserve"> C63 / (24 * 'VRP Solver Console'!C11)</f>
        <v>2.9327083333333333E-2</v>
      </c>
    </row>
    <row r="64" spans="1:4" x14ac:dyDescent="0.25">
      <c r="A64" s="23" t="s">
        <v>4005</v>
      </c>
      <c r="B64" s="23" t="s">
        <v>4019</v>
      </c>
      <c r="C64" s="39">
        <v>3.3580000000000001</v>
      </c>
      <c r="D64" s="25">
        <f xml:space="preserve"> C64 / (24 * 'VRP Solver Console'!C11)</f>
        <v>2.3319444444444446E-3</v>
      </c>
    </row>
    <row r="65" spans="1:4" x14ac:dyDescent="0.25">
      <c r="A65" s="23" t="s">
        <v>4005</v>
      </c>
      <c r="B65" s="23" t="s">
        <v>4020</v>
      </c>
      <c r="C65" s="38">
        <v>1.7729999999999999</v>
      </c>
      <c r="D65" s="24">
        <f xml:space="preserve"> C65 / (24 * 'VRP Solver Console'!C11)</f>
        <v>1.2312499999999999E-3</v>
      </c>
    </row>
    <row r="66" spans="1:4" x14ac:dyDescent="0.25">
      <c r="A66" s="23" t="s">
        <v>4005</v>
      </c>
      <c r="B66" s="23" t="s">
        <v>4021</v>
      </c>
      <c r="C66" s="39">
        <v>3.2989999999999999</v>
      </c>
      <c r="D66" s="25">
        <f xml:space="preserve"> C66 / (24 * 'VRP Solver Console'!C11)</f>
        <v>2.290972222222222E-3</v>
      </c>
    </row>
    <row r="67" spans="1:4" x14ac:dyDescent="0.25">
      <c r="A67" s="23" t="s">
        <v>4005</v>
      </c>
      <c r="B67" s="23" t="s">
        <v>4022</v>
      </c>
      <c r="C67" s="38">
        <v>1.9279999999999999</v>
      </c>
      <c r="D67" s="24">
        <f xml:space="preserve"> C67 / (24 * 'VRP Solver Console'!C11)</f>
        <v>1.3388888888888888E-3</v>
      </c>
    </row>
    <row r="68" spans="1:4" x14ac:dyDescent="0.25">
      <c r="A68" s="23" t="s">
        <v>4005</v>
      </c>
      <c r="B68" s="23" t="s">
        <v>4023</v>
      </c>
      <c r="C68" s="39">
        <v>2.9430000000000001</v>
      </c>
      <c r="D68" s="25">
        <f xml:space="preserve"> C68 / (24 * 'VRP Solver Console'!C11)</f>
        <v>2.04375E-3</v>
      </c>
    </row>
    <row r="69" spans="1:4" x14ac:dyDescent="0.25">
      <c r="A69" s="23" t="s">
        <v>4005</v>
      </c>
      <c r="B69" s="23" t="s">
        <v>4024</v>
      </c>
      <c r="C69" s="38">
        <v>40.158999999999999</v>
      </c>
      <c r="D69" s="24">
        <f xml:space="preserve"> C69 / (24 * 'VRP Solver Console'!C11)</f>
        <v>2.7888194444444445E-2</v>
      </c>
    </row>
    <row r="70" spans="1:4" x14ac:dyDescent="0.25">
      <c r="A70" s="23" t="s">
        <v>4005</v>
      </c>
      <c r="B70" s="23" t="s">
        <v>4003</v>
      </c>
      <c r="C70" s="39">
        <v>2.879</v>
      </c>
      <c r="D70" s="25">
        <f xml:space="preserve"> C70 / (24 * 'VRP Solver Console'!C11)</f>
        <v>1.9993055555555554E-3</v>
      </c>
    </row>
    <row r="71" spans="1:4" x14ac:dyDescent="0.25">
      <c r="A71" s="23" t="s">
        <v>4006</v>
      </c>
      <c r="B71" s="23" t="s">
        <v>4028</v>
      </c>
      <c r="C71" s="38">
        <v>2.0779999999999998</v>
      </c>
      <c r="D71" s="24">
        <f xml:space="preserve"> C71 / (24 * 'VRP Solver Console'!C11)</f>
        <v>1.4430555555555555E-3</v>
      </c>
    </row>
    <row r="72" spans="1:4" x14ac:dyDescent="0.25">
      <c r="A72" s="23" t="s">
        <v>4006</v>
      </c>
      <c r="B72" s="23" t="s">
        <v>4004</v>
      </c>
      <c r="C72" s="39">
        <v>1.6679999999999999</v>
      </c>
      <c r="D72" s="25">
        <f xml:space="preserve"> C72 / (24 * 'VRP Solver Console'!C11)</f>
        <v>1.1583333333333333E-3</v>
      </c>
    </row>
    <row r="73" spans="1:4" x14ac:dyDescent="0.25">
      <c r="A73" s="23" t="s">
        <v>4006</v>
      </c>
      <c r="B73" s="23" t="s">
        <v>4005</v>
      </c>
      <c r="C73" s="38">
        <v>2.2669999999999999</v>
      </c>
      <c r="D73" s="24">
        <f xml:space="preserve"> C73 / (24 * 'VRP Solver Console'!C11)</f>
        <v>1.5743055555555556E-3</v>
      </c>
    </row>
    <row r="74" spans="1:4" x14ac:dyDescent="0.25">
      <c r="A74" s="23" t="s">
        <v>4006</v>
      </c>
      <c r="B74" s="23" t="s">
        <v>4006</v>
      </c>
      <c r="C74" s="39">
        <v>0</v>
      </c>
      <c r="D74" s="25">
        <v>0</v>
      </c>
    </row>
    <row r="75" spans="1:4" x14ac:dyDescent="0.25">
      <c r="A75" s="23" t="s">
        <v>4006</v>
      </c>
      <c r="B75" s="23" t="s">
        <v>4007</v>
      </c>
      <c r="C75" s="38">
        <v>2.149</v>
      </c>
      <c r="D75" s="24">
        <f xml:space="preserve"> C75 / (24 * 'VRP Solver Console'!C11)</f>
        <v>1.4923611111111112E-3</v>
      </c>
    </row>
    <row r="76" spans="1:4" x14ac:dyDescent="0.25">
      <c r="A76" s="23" t="s">
        <v>4006</v>
      </c>
      <c r="B76" s="23" t="s">
        <v>4008</v>
      </c>
      <c r="C76" s="39">
        <v>2.2130000000000001</v>
      </c>
      <c r="D76" s="25">
        <f xml:space="preserve"> C76 / (24 * 'VRP Solver Console'!C11)</f>
        <v>1.5368055555555556E-3</v>
      </c>
    </row>
    <row r="77" spans="1:4" x14ac:dyDescent="0.25">
      <c r="A77" s="23" t="s">
        <v>4006</v>
      </c>
      <c r="B77" s="23" t="s">
        <v>4009</v>
      </c>
      <c r="C77" s="38">
        <v>1.6679999999999999</v>
      </c>
      <c r="D77" s="24">
        <f xml:space="preserve"> C77 / (24 * 'VRP Solver Console'!C11)</f>
        <v>1.1583333333333333E-3</v>
      </c>
    </row>
    <row r="78" spans="1:4" x14ac:dyDescent="0.25">
      <c r="A78" s="23" t="s">
        <v>4006</v>
      </c>
      <c r="B78" s="23" t="s">
        <v>4010</v>
      </c>
      <c r="C78" s="39">
        <v>1.23</v>
      </c>
      <c r="D78" s="25">
        <f xml:space="preserve"> C78 / (24 * 'VRP Solver Console'!C11)</f>
        <v>8.541666666666667E-4</v>
      </c>
    </row>
    <row r="79" spans="1:4" x14ac:dyDescent="0.25">
      <c r="A79" s="23" t="s">
        <v>4006</v>
      </c>
      <c r="B79" s="23" t="s">
        <v>4011</v>
      </c>
      <c r="C79" s="38">
        <v>0.60599999999999998</v>
      </c>
      <c r="D79" s="24">
        <f xml:space="preserve"> C79 / (24 * 'VRP Solver Console'!C11)</f>
        <v>4.2083333333333333E-4</v>
      </c>
    </row>
    <row r="80" spans="1:4" x14ac:dyDescent="0.25">
      <c r="A80" s="23" t="s">
        <v>4006</v>
      </c>
      <c r="B80" s="23" t="s">
        <v>4012</v>
      </c>
      <c r="C80" s="39">
        <v>2.3490000000000002</v>
      </c>
      <c r="D80" s="25">
        <f xml:space="preserve"> C80 / (24 * 'VRP Solver Console'!C11)</f>
        <v>1.6312500000000001E-3</v>
      </c>
    </row>
    <row r="81" spans="1:4" x14ac:dyDescent="0.25">
      <c r="A81" s="23" t="s">
        <v>4006</v>
      </c>
      <c r="B81" s="23" t="s">
        <v>4013</v>
      </c>
      <c r="C81" s="38">
        <v>3.5419999999999998</v>
      </c>
      <c r="D81" s="24">
        <f xml:space="preserve"> C81 / (24 * 'VRP Solver Console'!C11)</f>
        <v>2.4597222222222221E-3</v>
      </c>
    </row>
    <row r="82" spans="1:4" x14ac:dyDescent="0.25">
      <c r="A82" s="23" t="s">
        <v>4006</v>
      </c>
      <c r="B82" s="23" t="s">
        <v>4014</v>
      </c>
      <c r="C82" s="39">
        <v>3.4049999999999998</v>
      </c>
      <c r="D82" s="25">
        <f xml:space="preserve"> C82 / (24 * 'VRP Solver Console'!C11)</f>
        <v>2.3645833333333331E-3</v>
      </c>
    </row>
    <row r="83" spans="1:4" x14ac:dyDescent="0.25">
      <c r="A83" s="23" t="s">
        <v>4006</v>
      </c>
      <c r="B83" s="23" t="s">
        <v>4015</v>
      </c>
      <c r="C83" s="38">
        <v>44.518999999999998</v>
      </c>
      <c r="D83" s="24">
        <f xml:space="preserve"> C83 / (24 * 'VRP Solver Console'!C11)</f>
        <v>3.091597222222222E-2</v>
      </c>
    </row>
    <row r="84" spans="1:4" x14ac:dyDescent="0.25">
      <c r="A84" s="23" t="s">
        <v>4006</v>
      </c>
      <c r="B84" s="23" t="s">
        <v>4016</v>
      </c>
      <c r="C84" s="39">
        <v>44.518999999999998</v>
      </c>
      <c r="D84" s="25">
        <f xml:space="preserve"> C84 / (24 * 'VRP Solver Console'!C11)</f>
        <v>3.091597222222222E-2</v>
      </c>
    </row>
    <row r="85" spans="1:4" x14ac:dyDescent="0.25">
      <c r="A85" s="23" t="s">
        <v>4006</v>
      </c>
      <c r="B85" s="23" t="s">
        <v>4017</v>
      </c>
      <c r="C85" s="38">
        <v>44.518999999999998</v>
      </c>
      <c r="D85" s="24">
        <f xml:space="preserve"> C85 / (24 * 'VRP Solver Console'!C11)</f>
        <v>3.091597222222222E-2</v>
      </c>
    </row>
    <row r="86" spans="1:4" x14ac:dyDescent="0.25">
      <c r="A86" s="23" t="s">
        <v>4006</v>
      </c>
      <c r="B86" s="23" t="s">
        <v>4018</v>
      </c>
      <c r="C86" s="39">
        <v>44.518999999999998</v>
      </c>
      <c r="D86" s="25">
        <f xml:space="preserve"> C86 / (24 * 'VRP Solver Console'!C11)</f>
        <v>3.091597222222222E-2</v>
      </c>
    </row>
    <row r="87" spans="1:4" x14ac:dyDescent="0.25">
      <c r="A87" s="23" t="s">
        <v>4006</v>
      </c>
      <c r="B87" s="23" t="s">
        <v>4019</v>
      </c>
      <c r="C87" s="38">
        <v>5.6459999999999999</v>
      </c>
      <c r="D87" s="24">
        <f xml:space="preserve"> C87 / (24 * 'VRP Solver Console'!C11)</f>
        <v>3.9208333333333335E-3</v>
      </c>
    </row>
    <row r="88" spans="1:4" x14ac:dyDescent="0.25">
      <c r="A88" s="23" t="s">
        <v>4006</v>
      </c>
      <c r="B88" s="23" t="s">
        <v>4020</v>
      </c>
      <c r="C88" s="39">
        <v>0.86299999999999999</v>
      </c>
      <c r="D88" s="25">
        <f xml:space="preserve"> C88 / (24 * 'VRP Solver Console'!C11)</f>
        <v>5.9930555555555551E-4</v>
      </c>
    </row>
    <row r="89" spans="1:4" x14ac:dyDescent="0.25">
      <c r="A89" s="23" t="s">
        <v>4006</v>
      </c>
      <c r="B89" s="23" t="s">
        <v>4021</v>
      </c>
      <c r="C89" s="38">
        <v>1.57</v>
      </c>
      <c r="D89" s="24">
        <f xml:space="preserve"> C89 / (24 * 'VRP Solver Console'!C11)</f>
        <v>1.0902777777777779E-3</v>
      </c>
    </row>
    <row r="90" spans="1:4" x14ac:dyDescent="0.25">
      <c r="A90" s="23" t="s">
        <v>4006</v>
      </c>
      <c r="B90" s="23" t="s">
        <v>4022</v>
      </c>
      <c r="C90" s="39">
        <v>0.317</v>
      </c>
      <c r="D90" s="25">
        <f xml:space="preserve"> C90 / (24 * 'VRP Solver Console'!C11)</f>
        <v>2.2013888888888889E-4</v>
      </c>
    </row>
    <row r="91" spans="1:4" x14ac:dyDescent="0.25">
      <c r="A91" s="23" t="s">
        <v>4006</v>
      </c>
      <c r="B91" s="23" t="s">
        <v>4023</v>
      </c>
      <c r="C91" s="38">
        <v>5.1550000000000002</v>
      </c>
      <c r="D91" s="24">
        <f xml:space="preserve"> C91 / (24 * 'VRP Solver Console'!C11)</f>
        <v>3.5798611111111114E-3</v>
      </c>
    </row>
    <row r="92" spans="1:4" x14ac:dyDescent="0.25">
      <c r="A92" s="23" t="s">
        <v>4006</v>
      </c>
      <c r="B92" s="23" t="s">
        <v>4024</v>
      </c>
      <c r="C92" s="39">
        <v>42.447000000000003</v>
      </c>
      <c r="D92" s="25">
        <f xml:space="preserve"> C92 / (24 * 'VRP Solver Console'!C11)</f>
        <v>2.9477083333333334E-2</v>
      </c>
    </row>
    <row r="93" spans="1:4" x14ac:dyDescent="0.25">
      <c r="A93" s="23" t="s">
        <v>4006</v>
      </c>
      <c r="B93" s="23" t="s">
        <v>4003</v>
      </c>
      <c r="C93" s="38">
        <v>1.1499999999999999</v>
      </c>
      <c r="D93" s="24">
        <f xml:space="preserve"> C93 / (24 * 'VRP Solver Console'!C11)</f>
        <v>7.9861111111111105E-4</v>
      </c>
    </row>
    <row r="94" spans="1:4" x14ac:dyDescent="0.25">
      <c r="A94" s="23" t="s">
        <v>4007</v>
      </c>
      <c r="B94" s="23" t="s">
        <v>4028</v>
      </c>
      <c r="C94" s="39">
        <v>2.008</v>
      </c>
      <c r="D94" s="25">
        <f xml:space="preserve"> C94 / (24 * 'VRP Solver Console'!C11)</f>
        <v>1.3944444444444445E-3</v>
      </c>
    </row>
    <row r="95" spans="1:4" x14ac:dyDescent="0.25">
      <c r="A95" s="23" t="s">
        <v>4007</v>
      </c>
      <c r="B95" s="23" t="s">
        <v>4004</v>
      </c>
      <c r="C95" s="38">
        <v>1.6759999999999999</v>
      </c>
      <c r="D95" s="24">
        <f xml:space="preserve"> C95 / (24 * 'VRP Solver Console'!C11)</f>
        <v>1.1638888888888888E-3</v>
      </c>
    </row>
    <row r="96" spans="1:4" x14ac:dyDescent="0.25">
      <c r="A96" s="23" t="s">
        <v>4007</v>
      </c>
      <c r="B96" s="23" t="s">
        <v>4005</v>
      </c>
      <c r="C96" s="39">
        <v>1.6339999999999999</v>
      </c>
      <c r="D96" s="25">
        <f xml:space="preserve"> C96 / (24 * 'VRP Solver Console'!C11)</f>
        <v>1.1347222222222221E-3</v>
      </c>
    </row>
    <row r="97" spans="1:4" x14ac:dyDescent="0.25">
      <c r="A97" s="23" t="s">
        <v>4007</v>
      </c>
      <c r="B97" s="23" t="s">
        <v>4006</v>
      </c>
      <c r="C97" s="38">
        <v>2.1120000000000001</v>
      </c>
      <c r="D97" s="24">
        <f xml:space="preserve"> C97 / (24 * 'VRP Solver Console'!C11)</f>
        <v>1.4666666666666667E-3</v>
      </c>
    </row>
    <row r="98" spans="1:4" x14ac:dyDescent="0.25">
      <c r="A98" s="23" t="s">
        <v>4007</v>
      </c>
      <c r="B98" s="23" t="s">
        <v>4007</v>
      </c>
      <c r="C98" s="39">
        <v>0</v>
      </c>
      <c r="D98" s="25">
        <v>0</v>
      </c>
    </row>
    <row r="99" spans="1:4" x14ac:dyDescent="0.25">
      <c r="A99" s="23" t="s">
        <v>4007</v>
      </c>
      <c r="B99" s="23" t="s">
        <v>4008</v>
      </c>
      <c r="C99" s="38">
        <v>1.569</v>
      </c>
      <c r="D99" s="24">
        <f xml:space="preserve"> C99 / (24 * 'VRP Solver Console'!C11)</f>
        <v>1.0895833333333332E-3</v>
      </c>
    </row>
    <row r="100" spans="1:4" x14ac:dyDescent="0.25">
      <c r="A100" s="23" t="s">
        <v>4007</v>
      </c>
      <c r="B100" s="23" t="s">
        <v>4009</v>
      </c>
      <c r="C100" s="39">
        <v>1.6759999999999999</v>
      </c>
      <c r="D100" s="25">
        <f xml:space="preserve"> C100 / (24 * 'VRP Solver Console'!C11)</f>
        <v>1.1638888888888888E-3</v>
      </c>
    </row>
    <row r="101" spans="1:4" x14ac:dyDescent="0.25">
      <c r="A101" s="23" t="s">
        <v>4007</v>
      </c>
      <c r="B101" s="23" t="s">
        <v>4010</v>
      </c>
      <c r="C101" s="38">
        <v>2.2349999999999999</v>
      </c>
      <c r="D101" s="24">
        <f xml:space="preserve"> C101 / (24 * 'VRP Solver Console'!C11)</f>
        <v>1.5520833333333333E-3</v>
      </c>
    </row>
    <row r="102" spans="1:4" x14ac:dyDescent="0.25">
      <c r="A102" s="23" t="s">
        <v>4007</v>
      </c>
      <c r="B102" s="23" t="s">
        <v>4011</v>
      </c>
      <c r="C102" s="39">
        <v>2.91</v>
      </c>
      <c r="D102" s="25">
        <f xml:space="preserve"> C102 / (24 * 'VRP Solver Console'!C11)</f>
        <v>2.0208333333333332E-3</v>
      </c>
    </row>
    <row r="103" spans="1:4" x14ac:dyDescent="0.25">
      <c r="A103" s="23" t="s">
        <v>4007</v>
      </c>
      <c r="B103" s="23" t="s">
        <v>4012</v>
      </c>
      <c r="C103" s="38">
        <v>4.4260000000000002</v>
      </c>
      <c r="D103" s="24">
        <f xml:space="preserve"> C103 / (24 * 'VRP Solver Console'!C11)</f>
        <v>3.0736111111111112E-3</v>
      </c>
    </row>
    <row r="104" spans="1:4" x14ac:dyDescent="0.25">
      <c r="A104" s="23" t="s">
        <v>4007</v>
      </c>
      <c r="B104" s="23" t="s">
        <v>4013</v>
      </c>
      <c r="C104" s="39">
        <v>2.323</v>
      </c>
      <c r="D104" s="25">
        <f xml:space="preserve"> C104 / (24 * 'VRP Solver Console'!C11)</f>
        <v>1.6131944444444444E-3</v>
      </c>
    </row>
    <row r="105" spans="1:4" x14ac:dyDescent="0.25">
      <c r="A105" s="23" t="s">
        <v>4007</v>
      </c>
      <c r="B105" s="23" t="s">
        <v>4014</v>
      </c>
      <c r="C105" s="38">
        <v>3.661</v>
      </c>
      <c r="D105" s="24">
        <f xml:space="preserve"> C105 / (24 * 'VRP Solver Console'!C11)</f>
        <v>2.5423611111111111E-3</v>
      </c>
    </row>
    <row r="106" spans="1:4" x14ac:dyDescent="0.25">
      <c r="A106" s="23" t="s">
        <v>4007</v>
      </c>
      <c r="B106" s="23" t="s">
        <v>4015</v>
      </c>
      <c r="C106" s="39">
        <v>43.28</v>
      </c>
      <c r="D106" s="25">
        <f xml:space="preserve"> C106 / (24 * 'VRP Solver Console'!C11)</f>
        <v>3.0055555555555558E-2</v>
      </c>
    </row>
    <row r="107" spans="1:4" x14ac:dyDescent="0.25">
      <c r="A107" s="23" t="s">
        <v>4007</v>
      </c>
      <c r="B107" s="23" t="s">
        <v>4016</v>
      </c>
      <c r="C107" s="38">
        <v>43.28</v>
      </c>
      <c r="D107" s="24">
        <f xml:space="preserve"> C107 / (24 * 'VRP Solver Console'!C11)</f>
        <v>3.0055555555555558E-2</v>
      </c>
    </row>
    <row r="108" spans="1:4" x14ac:dyDescent="0.25">
      <c r="A108" s="23" t="s">
        <v>4007</v>
      </c>
      <c r="B108" s="23" t="s">
        <v>4017</v>
      </c>
      <c r="C108" s="39">
        <v>43.28</v>
      </c>
      <c r="D108" s="25">
        <f xml:space="preserve"> C108 / (24 * 'VRP Solver Console'!C11)</f>
        <v>3.0055555555555558E-2</v>
      </c>
    </row>
    <row r="109" spans="1:4" x14ac:dyDescent="0.25">
      <c r="A109" s="23" t="s">
        <v>4007</v>
      </c>
      <c r="B109" s="23" t="s">
        <v>4018</v>
      </c>
      <c r="C109" s="38">
        <v>43.28</v>
      </c>
      <c r="D109" s="24">
        <f xml:space="preserve"> C109 / (24 * 'VRP Solver Console'!C11)</f>
        <v>3.0055555555555558E-2</v>
      </c>
    </row>
    <row r="110" spans="1:4" x14ac:dyDescent="0.25">
      <c r="A110" s="23" t="s">
        <v>4007</v>
      </c>
      <c r="B110" s="23" t="s">
        <v>4019</v>
      </c>
      <c r="C110" s="39">
        <v>4.407</v>
      </c>
      <c r="D110" s="25">
        <f xml:space="preserve"> C110 / (24 * 'VRP Solver Console'!C11)</f>
        <v>3.0604166666666666E-3</v>
      </c>
    </row>
    <row r="111" spans="1:4" x14ac:dyDescent="0.25">
      <c r="A111" s="23" t="s">
        <v>4007</v>
      </c>
      <c r="B111" s="23" t="s">
        <v>4020</v>
      </c>
      <c r="C111" s="38">
        <v>2.3849999999999998</v>
      </c>
      <c r="D111" s="24">
        <f xml:space="preserve"> C111 / (24 * 'VRP Solver Console'!C11)</f>
        <v>1.65625E-3</v>
      </c>
    </row>
    <row r="112" spans="1:4" x14ac:dyDescent="0.25">
      <c r="A112" s="23" t="s">
        <v>4007</v>
      </c>
      <c r="B112" s="23" t="s">
        <v>4021</v>
      </c>
      <c r="C112" s="39">
        <v>3.6469999999999998</v>
      </c>
      <c r="D112" s="25">
        <f xml:space="preserve"> C112 / (24 * 'VRP Solver Console'!C11)</f>
        <v>2.532638888888889E-3</v>
      </c>
    </row>
    <row r="113" spans="1:4" x14ac:dyDescent="0.25">
      <c r="A113" s="23" t="s">
        <v>4007</v>
      </c>
      <c r="B113" s="23" t="s">
        <v>4022</v>
      </c>
      <c r="C113" s="38">
        <v>2.129</v>
      </c>
      <c r="D113" s="24">
        <f xml:space="preserve"> C113 / (24 * 'VRP Solver Console'!C11)</f>
        <v>1.4784722222222222E-3</v>
      </c>
    </row>
    <row r="114" spans="1:4" x14ac:dyDescent="0.25">
      <c r="A114" s="23" t="s">
        <v>4007</v>
      </c>
      <c r="B114" s="23" t="s">
        <v>4023</v>
      </c>
      <c r="C114" s="39">
        <v>3.992</v>
      </c>
      <c r="D114" s="25">
        <f xml:space="preserve"> C114 / (24 * 'VRP Solver Console'!C11)</f>
        <v>2.7722222222222224E-3</v>
      </c>
    </row>
    <row r="115" spans="1:4" x14ac:dyDescent="0.25">
      <c r="A115" s="23" t="s">
        <v>4007</v>
      </c>
      <c r="B115" s="23" t="s">
        <v>4024</v>
      </c>
      <c r="C115" s="38">
        <v>41.207999999999998</v>
      </c>
      <c r="D115" s="24">
        <f xml:space="preserve"> C115 / (24 * 'VRP Solver Console'!C11)</f>
        <v>2.8616666666666665E-2</v>
      </c>
    </row>
    <row r="116" spans="1:4" x14ac:dyDescent="0.25">
      <c r="A116" s="23" t="s">
        <v>4007</v>
      </c>
      <c r="B116" s="23" t="s">
        <v>4003</v>
      </c>
      <c r="C116" s="39">
        <v>3.2269999999999999</v>
      </c>
      <c r="D116" s="25">
        <f xml:space="preserve"> C116 / (24 * 'VRP Solver Console'!C11)</f>
        <v>2.2409722222222223E-3</v>
      </c>
    </row>
    <row r="117" spans="1:4" x14ac:dyDescent="0.25">
      <c r="A117" s="23" t="s">
        <v>4008</v>
      </c>
      <c r="B117" s="23" t="s">
        <v>4028</v>
      </c>
      <c r="C117" s="38">
        <v>0.438</v>
      </c>
      <c r="D117" s="24">
        <f xml:space="preserve"> C117 / (24 * 'VRP Solver Console'!C11)</f>
        <v>3.0416666666666667E-4</v>
      </c>
    </row>
    <row r="118" spans="1:4" x14ac:dyDescent="0.25">
      <c r="A118" s="23" t="s">
        <v>4008</v>
      </c>
      <c r="B118" s="23" t="s">
        <v>4004</v>
      </c>
      <c r="C118" s="39">
        <v>0.54400000000000004</v>
      </c>
      <c r="D118" s="25">
        <f xml:space="preserve"> C118 / (24 * 'VRP Solver Console'!C11)</f>
        <v>3.7777777777777782E-4</v>
      </c>
    </row>
    <row r="119" spans="1:4" x14ac:dyDescent="0.25">
      <c r="A119" s="23" t="s">
        <v>4008</v>
      </c>
      <c r="B119" s="23" t="s">
        <v>4005</v>
      </c>
      <c r="C119" s="38">
        <v>0.52500000000000002</v>
      </c>
      <c r="D119" s="24">
        <f xml:space="preserve"> C119 / (24 * 'VRP Solver Console'!C11)</f>
        <v>3.6458333333333335E-4</v>
      </c>
    </row>
    <row r="120" spans="1:4" x14ac:dyDescent="0.25">
      <c r="A120" s="23" t="s">
        <v>4008</v>
      </c>
      <c r="B120" s="23" t="s">
        <v>4006</v>
      </c>
      <c r="C120" s="39">
        <v>2.2200000000000002</v>
      </c>
      <c r="D120" s="25">
        <f xml:space="preserve"> C120 / (24 * 'VRP Solver Console'!C11)</f>
        <v>1.5416666666666669E-3</v>
      </c>
    </row>
    <row r="121" spans="1:4" x14ac:dyDescent="0.25">
      <c r="A121" s="23" t="s">
        <v>4008</v>
      </c>
      <c r="B121" s="23" t="s">
        <v>4007</v>
      </c>
      <c r="C121" s="38">
        <v>1.67</v>
      </c>
      <c r="D121" s="24">
        <f xml:space="preserve"> C121 / (24 * 'VRP Solver Console'!C11)</f>
        <v>1.1597222222222221E-3</v>
      </c>
    </row>
    <row r="122" spans="1:4" x14ac:dyDescent="0.25">
      <c r="A122" s="23" t="s">
        <v>4008</v>
      </c>
      <c r="B122" s="23" t="s">
        <v>4008</v>
      </c>
      <c r="C122" s="39">
        <v>0</v>
      </c>
      <c r="D122" s="25">
        <v>0</v>
      </c>
    </row>
    <row r="123" spans="1:4" x14ac:dyDescent="0.25">
      <c r="A123" s="23" t="s">
        <v>4008</v>
      </c>
      <c r="B123" s="23" t="s">
        <v>4009</v>
      </c>
      <c r="C123" s="38">
        <v>0.54400000000000004</v>
      </c>
      <c r="D123" s="24">
        <f xml:space="preserve"> C123 / (24 * 'VRP Solver Console'!C11)</f>
        <v>3.7777777777777782E-4</v>
      </c>
    </row>
    <row r="124" spans="1:4" x14ac:dyDescent="0.25">
      <c r="A124" s="23" t="s">
        <v>4008</v>
      </c>
      <c r="B124" s="23" t="s">
        <v>4010</v>
      </c>
      <c r="C124" s="39">
        <v>1.246</v>
      </c>
      <c r="D124" s="25">
        <f xml:space="preserve"> C124 / (24 * 'VRP Solver Console'!C11)</f>
        <v>8.6527777777777775E-4</v>
      </c>
    </row>
    <row r="125" spans="1:4" x14ac:dyDescent="0.25">
      <c r="A125" s="23" t="s">
        <v>4008</v>
      </c>
      <c r="B125" s="23" t="s">
        <v>4011</v>
      </c>
      <c r="C125" s="38">
        <v>2.73</v>
      </c>
      <c r="D125" s="24">
        <f xml:space="preserve"> C125 / (24 * 'VRP Solver Console'!C11)</f>
        <v>1.8958333333333334E-3</v>
      </c>
    </row>
    <row r="126" spans="1:4" x14ac:dyDescent="0.25">
      <c r="A126" s="23" t="s">
        <v>4008</v>
      </c>
      <c r="B126" s="23" t="s">
        <v>4012</v>
      </c>
      <c r="C126" s="39">
        <v>3.6389999999999998</v>
      </c>
      <c r="D126" s="25">
        <f xml:space="preserve"> C126 / (24 * 'VRP Solver Console'!C11)</f>
        <v>2.527083333333333E-3</v>
      </c>
    </row>
    <row r="127" spans="1:4" x14ac:dyDescent="0.25">
      <c r="A127" s="23" t="s">
        <v>4008</v>
      </c>
      <c r="B127" s="23" t="s">
        <v>4013</v>
      </c>
      <c r="C127" s="38">
        <v>1.222</v>
      </c>
      <c r="D127" s="24">
        <f xml:space="preserve"> C127 / (24 * 'VRP Solver Console'!C11)</f>
        <v>8.4861111111111107E-4</v>
      </c>
    </row>
    <row r="128" spans="1:4" x14ac:dyDescent="0.25">
      <c r="A128" s="23" t="s">
        <v>4008</v>
      </c>
      <c r="B128" s="23" t="s">
        <v>4014</v>
      </c>
      <c r="C128" s="39">
        <v>1.3480000000000001</v>
      </c>
      <c r="D128" s="25">
        <f xml:space="preserve"> C128 / (24 * 'VRP Solver Console'!C11)</f>
        <v>9.3611111111111119E-4</v>
      </c>
    </row>
    <row r="129" spans="1:4" x14ac:dyDescent="0.25">
      <c r="A129" s="23" t="s">
        <v>4008</v>
      </c>
      <c r="B129" s="23" t="s">
        <v>4015</v>
      </c>
      <c r="C129" s="38">
        <v>42.179000000000002</v>
      </c>
      <c r="D129" s="24">
        <f xml:space="preserve"> C129 / (24 * 'VRP Solver Console'!C11)</f>
        <v>2.9290972222222225E-2</v>
      </c>
    </row>
    <row r="130" spans="1:4" x14ac:dyDescent="0.25">
      <c r="A130" s="23" t="s">
        <v>4008</v>
      </c>
      <c r="B130" s="23" t="s">
        <v>4016</v>
      </c>
      <c r="C130" s="39">
        <v>42.179000000000002</v>
      </c>
      <c r="D130" s="25">
        <f xml:space="preserve"> C130 / (24 * 'VRP Solver Console'!C11)</f>
        <v>2.9290972222222225E-2</v>
      </c>
    </row>
    <row r="131" spans="1:4" x14ac:dyDescent="0.25">
      <c r="A131" s="23" t="s">
        <v>4008</v>
      </c>
      <c r="B131" s="23" t="s">
        <v>4017</v>
      </c>
      <c r="C131" s="38">
        <v>42.179000000000002</v>
      </c>
      <c r="D131" s="24">
        <f xml:space="preserve"> C131 / (24 * 'VRP Solver Console'!C11)</f>
        <v>2.9290972222222225E-2</v>
      </c>
    </row>
    <row r="132" spans="1:4" x14ac:dyDescent="0.25">
      <c r="A132" s="23" t="s">
        <v>4008</v>
      </c>
      <c r="B132" s="23" t="s">
        <v>4018</v>
      </c>
      <c r="C132" s="39">
        <v>42.179000000000002</v>
      </c>
      <c r="D132" s="25">
        <f xml:space="preserve"> C132 / (24 * 'VRP Solver Console'!C11)</f>
        <v>2.9290972222222225E-2</v>
      </c>
    </row>
    <row r="133" spans="1:4" x14ac:dyDescent="0.25">
      <c r="A133" s="23" t="s">
        <v>4008</v>
      </c>
      <c r="B133" s="23" t="s">
        <v>4019</v>
      </c>
      <c r="C133" s="38">
        <v>3.306</v>
      </c>
      <c r="D133" s="24">
        <f xml:space="preserve"> C133 / (24 * 'VRP Solver Console'!C11)</f>
        <v>2.2958333333333333E-3</v>
      </c>
    </row>
    <row r="134" spans="1:4" x14ac:dyDescent="0.25">
      <c r="A134" s="23" t="s">
        <v>4008</v>
      </c>
      <c r="B134" s="23" t="s">
        <v>4020</v>
      </c>
      <c r="C134" s="39">
        <v>1.4790000000000001</v>
      </c>
      <c r="D134" s="25">
        <f xml:space="preserve"> C134 / (24 * 'VRP Solver Console'!C11)</f>
        <v>1.0270833333333334E-3</v>
      </c>
    </row>
    <row r="135" spans="1:4" x14ac:dyDescent="0.25">
      <c r="A135" s="23" t="s">
        <v>4008</v>
      </c>
      <c r="B135" s="23" t="s">
        <v>4021</v>
      </c>
      <c r="C135" s="38">
        <v>2.86</v>
      </c>
      <c r="D135" s="24">
        <f xml:space="preserve"> C135 / (24 * 'VRP Solver Console'!C11)</f>
        <v>1.9861111111111112E-3</v>
      </c>
    </row>
    <row r="136" spans="1:4" x14ac:dyDescent="0.25">
      <c r="A136" s="23" t="s">
        <v>4008</v>
      </c>
      <c r="B136" s="23" t="s">
        <v>4022</v>
      </c>
      <c r="C136" s="39">
        <v>1.748</v>
      </c>
      <c r="D136" s="25">
        <f xml:space="preserve"> C136 / (24 * 'VRP Solver Console'!C11)</f>
        <v>1.2138888888888889E-3</v>
      </c>
    </row>
    <row r="137" spans="1:4" x14ac:dyDescent="0.25">
      <c r="A137" s="23" t="s">
        <v>4008</v>
      </c>
      <c r="B137" s="23" t="s">
        <v>4023</v>
      </c>
      <c r="C137" s="38">
        <v>3.681</v>
      </c>
      <c r="D137" s="24">
        <f xml:space="preserve"> C137 / (24 * 'VRP Solver Console'!C11)</f>
        <v>2.5562499999999999E-3</v>
      </c>
    </row>
    <row r="138" spans="1:4" x14ac:dyDescent="0.25">
      <c r="A138" s="23" t="s">
        <v>4008</v>
      </c>
      <c r="B138" s="23" t="s">
        <v>4024</v>
      </c>
      <c r="C138" s="39">
        <v>40.106999999999999</v>
      </c>
      <c r="D138" s="25">
        <f xml:space="preserve"> C138 / (24 * 'VRP Solver Console'!C11)</f>
        <v>2.7852083333333333E-2</v>
      </c>
    </row>
    <row r="139" spans="1:4" x14ac:dyDescent="0.25">
      <c r="A139" s="23" t="s">
        <v>4008</v>
      </c>
      <c r="B139" s="23" t="s">
        <v>4003</v>
      </c>
      <c r="C139" s="38">
        <v>2.44</v>
      </c>
      <c r="D139" s="24">
        <f xml:space="preserve"> C139 / (24 * 'VRP Solver Console'!C11)</f>
        <v>1.6944444444444444E-3</v>
      </c>
    </row>
    <row r="140" spans="1:4" x14ac:dyDescent="0.25">
      <c r="A140" s="23" t="s">
        <v>4009</v>
      </c>
      <c r="B140" s="23" t="s">
        <v>4028</v>
      </c>
      <c r="C140" s="39">
        <v>0.90800000000000003</v>
      </c>
      <c r="D140" s="25">
        <f xml:space="preserve"> C140 / (24 * 'VRP Solver Console'!C11)</f>
        <v>6.3055555555555553E-4</v>
      </c>
    </row>
    <row r="141" spans="1:4" x14ac:dyDescent="0.25">
      <c r="A141" s="23" t="s">
        <v>4009</v>
      </c>
      <c r="B141" s="23" t="s">
        <v>4004</v>
      </c>
      <c r="C141" s="38">
        <v>0</v>
      </c>
      <c r="D141" s="24">
        <f xml:space="preserve"> C141 / (24 * 'VRP Solver Console'!C11)</f>
        <v>0</v>
      </c>
    </row>
    <row r="142" spans="1:4" x14ac:dyDescent="0.25">
      <c r="A142" s="23" t="s">
        <v>4009</v>
      </c>
      <c r="B142" s="23" t="s">
        <v>4005</v>
      </c>
      <c r="C142" s="39">
        <v>0.84</v>
      </c>
      <c r="D142" s="25">
        <f xml:space="preserve"> C142 / (24 * 'VRP Solver Console'!C11)</f>
        <v>5.8333333333333327E-4</v>
      </c>
    </row>
    <row r="143" spans="1:4" x14ac:dyDescent="0.25">
      <c r="A143" s="23" t="s">
        <v>4009</v>
      </c>
      <c r="B143" s="23" t="s">
        <v>4006</v>
      </c>
      <c r="C143" s="38">
        <v>1.675</v>
      </c>
      <c r="D143" s="24">
        <f xml:space="preserve"> C143 / (24 * 'VRP Solver Console'!C11)</f>
        <v>1.1631944444444446E-3</v>
      </c>
    </row>
    <row r="144" spans="1:4" x14ac:dyDescent="0.25">
      <c r="A144" s="23" t="s">
        <v>4009</v>
      </c>
      <c r="B144" s="23" t="s">
        <v>4007</v>
      </c>
      <c r="C144" s="39">
        <v>1.9850000000000001</v>
      </c>
      <c r="D144" s="25">
        <f xml:space="preserve"> C144 / (24 * 'VRP Solver Console'!C11)</f>
        <v>1.3784722222222223E-3</v>
      </c>
    </row>
    <row r="145" spans="1:4" x14ac:dyDescent="0.25">
      <c r="A145" s="23" t="s">
        <v>4009</v>
      </c>
      <c r="B145" s="23" t="s">
        <v>4008</v>
      </c>
      <c r="C145" s="38">
        <v>0.54400000000000004</v>
      </c>
      <c r="D145" s="24">
        <f xml:space="preserve"> C145 / (24 * 'VRP Solver Console'!C11)</f>
        <v>3.7777777777777782E-4</v>
      </c>
    </row>
    <row r="146" spans="1:4" x14ac:dyDescent="0.25">
      <c r="A146" s="23" t="s">
        <v>4009</v>
      </c>
      <c r="B146" s="23" t="s">
        <v>4009</v>
      </c>
      <c r="C146" s="39">
        <v>0</v>
      </c>
      <c r="D146" s="25">
        <v>0</v>
      </c>
    </row>
    <row r="147" spans="1:4" x14ac:dyDescent="0.25">
      <c r="A147" s="23" t="s">
        <v>4009</v>
      </c>
      <c r="B147" s="23" t="s">
        <v>4010</v>
      </c>
      <c r="C147" s="38">
        <v>0.76200000000000001</v>
      </c>
      <c r="D147" s="24">
        <f xml:space="preserve"> C147 / (24 * 'VRP Solver Console'!C11)</f>
        <v>5.2916666666666672E-4</v>
      </c>
    </row>
    <row r="148" spans="1:4" x14ac:dyDescent="0.25">
      <c r="A148" s="23" t="s">
        <v>4009</v>
      </c>
      <c r="B148" s="23" t="s">
        <v>4011</v>
      </c>
      <c r="C148" s="39">
        <v>1.556</v>
      </c>
      <c r="D148" s="25">
        <f xml:space="preserve"> C148 / (24 * 'VRP Solver Console'!C11)</f>
        <v>1.0805555555555555E-3</v>
      </c>
    </row>
    <row r="149" spans="1:4" x14ac:dyDescent="0.25">
      <c r="A149" s="23" t="s">
        <v>4009</v>
      </c>
      <c r="B149" s="23" t="s">
        <v>4012</v>
      </c>
      <c r="C149" s="38">
        <v>3.149</v>
      </c>
      <c r="D149" s="24">
        <f xml:space="preserve"> C149 / (24 * 'VRP Solver Console'!C11)</f>
        <v>2.1868055555555556E-3</v>
      </c>
    </row>
    <row r="150" spans="1:4" x14ac:dyDescent="0.25">
      <c r="A150" s="23" t="s">
        <v>4009</v>
      </c>
      <c r="B150" s="23" t="s">
        <v>4013</v>
      </c>
      <c r="C150" s="39">
        <v>2.1150000000000002</v>
      </c>
      <c r="D150" s="25">
        <f xml:space="preserve"> C150 / (24 * 'VRP Solver Console'!C11)</f>
        <v>1.4687500000000002E-3</v>
      </c>
    </row>
    <row r="151" spans="1:4" x14ac:dyDescent="0.25">
      <c r="A151" s="23" t="s">
        <v>4009</v>
      </c>
      <c r="B151" s="23" t="s">
        <v>4014</v>
      </c>
      <c r="C151" s="38">
        <v>2.0750000000000002</v>
      </c>
      <c r="D151" s="24">
        <f xml:space="preserve"> C151 / (24 * 'VRP Solver Console'!C11)</f>
        <v>1.4409722222222224E-3</v>
      </c>
    </row>
    <row r="152" spans="1:4" x14ac:dyDescent="0.25">
      <c r="A152" s="23" t="s">
        <v>4009</v>
      </c>
      <c r="B152" s="23" t="s">
        <v>4015</v>
      </c>
      <c r="C152" s="39">
        <v>43.189</v>
      </c>
      <c r="D152" s="25">
        <f xml:space="preserve"> C152 / (24 * 'VRP Solver Console'!C11)</f>
        <v>2.9992361111111112E-2</v>
      </c>
    </row>
    <row r="153" spans="1:4" x14ac:dyDescent="0.25">
      <c r="A153" s="23" t="s">
        <v>4009</v>
      </c>
      <c r="B153" s="23" t="s">
        <v>4016</v>
      </c>
      <c r="C153" s="38">
        <v>43.189</v>
      </c>
      <c r="D153" s="24">
        <f xml:space="preserve"> C153 / (24 * 'VRP Solver Console'!C11)</f>
        <v>2.9992361111111112E-2</v>
      </c>
    </row>
    <row r="154" spans="1:4" x14ac:dyDescent="0.25">
      <c r="A154" s="23" t="s">
        <v>4009</v>
      </c>
      <c r="B154" s="23" t="s">
        <v>4017</v>
      </c>
      <c r="C154" s="39">
        <v>43.189</v>
      </c>
      <c r="D154" s="25">
        <f xml:space="preserve"> C154 / (24 * 'VRP Solver Console'!C11)</f>
        <v>2.9992361111111112E-2</v>
      </c>
    </row>
    <row r="155" spans="1:4" x14ac:dyDescent="0.25">
      <c r="A155" s="23" t="s">
        <v>4009</v>
      </c>
      <c r="B155" s="23" t="s">
        <v>4018</v>
      </c>
      <c r="C155" s="38">
        <v>43.189</v>
      </c>
      <c r="D155" s="24">
        <f xml:space="preserve"> C155 / (24 * 'VRP Solver Console'!C11)</f>
        <v>2.9992361111111112E-2</v>
      </c>
    </row>
    <row r="156" spans="1:4" x14ac:dyDescent="0.25">
      <c r="A156" s="23" t="s">
        <v>4009</v>
      </c>
      <c r="B156" s="23" t="s">
        <v>4019</v>
      </c>
      <c r="C156" s="39">
        <v>4.3159999999999998</v>
      </c>
      <c r="D156" s="25">
        <f xml:space="preserve"> C156 / (24 * 'VRP Solver Console'!C11)</f>
        <v>2.9972222222222223E-3</v>
      </c>
    </row>
    <row r="157" spans="1:4" x14ac:dyDescent="0.25">
      <c r="A157" s="23" t="s">
        <v>4009</v>
      </c>
      <c r="B157" s="23" t="s">
        <v>4020</v>
      </c>
      <c r="C157" s="38">
        <v>0.93400000000000005</v>
      </c>
      <c r="D157" s="24">
        <f xml:space="preserve"> C157 / (24 * 'VRP Solver Console'!C11)</f>
        <v>6.486111111111112E-4</v>
      </c>
    </row>
    <row r="158" spans="1:4" x14ac:dyDescent="0.25">
      <c r="A158" s="23" t="s">
        <v>4009</v>
      </c>
      <c r="B158" s="23" t="s">
        <v>4021</v>
      </c>
      <c r="C158" s="39">
        <v>2.37</v>
      </c>
      <c r="D158" s="25">
        <f xml:space="preserve"> C158 / (24 * 'VRP Solver Console'!C11)</f>
        <v>1.6458333333333333E-3</v>
      </c>
    </row>
    <row r="159" spans="1:4" x14ac:dyDescent="0.25">
      <c r="A159" s="23" t="s">
        <v>4009</v>
      </c>
      <c r="B159" s="23" t="s">
        <v>4022</v>
      </c>
      <c r="C159" s="38">
        <v>1.2030000000000001</v>
      </c>
      <c r="D159" s="24">
        <f xml:space="preserve"> C159 / (24 * 'VRP Solver Console'!C11)</f>
        <v>8.3541666666666671E-4</v>
      </c>
    </row>
    <row r="160" spans="1:4" x14ac:dyDescent="0.25">
      <c r="A160" s="23" t="s">
        <v>4009</v>
      </c>
      <c r="B160" s="23" t="s">
        <v>4023</v>
      </c>
      <c r="C160" s="39">
        <v>3.8250000000000002</v>
      </c>
      <c r="D160" s="25">
        <f xml:space="preserve"> C160 / (24 * 'VRP Solver Console'!C11)</f>
        <v>2.6562500000000002E-3</v>
      </c>
    </row>
    <row r="161" spans="1:4" x14ac:dyDescent="0.25">
      <c r="A161" s="23" t="s">
        <v>4009</v>
      </c>
      <c r="B161" s="23" t="s">
        <v>4024</v>
      </c>
      <c r="C161" s="38">
        <v>41.116999999999997</v>
      </c>
      <c r="D161" s="24">
        <f xml:space="preserve"> C161 / (24 * 'VRP Solver Console'!C11)</f>
        <v>2.855347222222222E-2</v>
      </c>
    </row>
    <row r="162" spans="1:4" x14ac:dyDescent="0.25">
      <c r="A162" s="23" t="s">
        <v>4009</v>
      </c>
      <c r="B162" s="23" t="s">
        <v>4003</v>
      </c>
      <c r="C162" s="39">
        <v>1.95</v>
      </c>
      <c r="D162" s="25">
        <f xml:space="preserve"> C162 / (24 * 'VRP Solver Console'!C11)</f>
        <v>1.3541666666666667E-3</v>
      </c>
    </row>
    <row r="163" spans="1:4" x14ac:dyDescent="0.25">
      <c r="A163" s="23" t="s">
        <v>4010</v>
      </c>
      <c r="B163" s="23" t="s">
        <v>4028</v>
      </c>
      <c r="C163" s="38">
        <v>0.96799999999999997</v>
      </c>
      <c r="D163" s="24">
        <f xml:space="preserve"> C163 / (24 * 'VRP Solver Console'!C11)</f>
        <v>6.7222222222222217E-4</v>
      </c>
    </row>
    <row r="164" spans="1:4" x14ac:dyDescent="0.25">
      <c r="A164" s="23" t="s">
        <v>4010</v>
      </c>
      <c r="B164" s="23" t="s">
        <v>4004</v>
      </c>
      <c r="C164" s="39">
        <v>0.7</v>
      </c>
      <c r="D164" s="25">
        <f xml:space="preserve"> C164 / (24 * 'VRP Solver Console'!C11)</f>
        <v>4.861111111111111E-4</v>
      </c>
    </row>
    <row r="165" spans="1:4" x14ac:dyDescent="0.25">
      <c r="A165" s="23" t="s">
        <v>4010</v>
      </c>
      <c r="B165" s="23" t="s">
        <v>4005</v>
      </c>
      <c r="C165" s="38">
        <v>1.5189999999999999</v>
      </c>
      <c r="D165" s="24">
        <f xml:space="preserve"> C165 / (24 * 'VRP Solver Console'!C11)</f>
        <v>1.054861111111111E-3</v>
      </c>
    </row>
    <row r="166" spans="1:4" x14ac:dyDescent="0.25">
      <c r="A166" s="23" t="s">
        <v>4010</v>
      </c>
      <c r="B166" s="23" t="s">
        <v>4006</v>
      </c>
      <c r="C166" s="39">
        <v>1.216</v>
      </c>
      <c r="D166" s="25">
        <f xml:space="preserve"> C166 / (24 * 'VRP Solver Console'!C11)</f>
        <v>8.4444444444444443E-4</v>
      </c>
    </row>
    <row r="167" spans="1:4" x14ac:dyDescent="0.25">
      <c r="A167" s="23" t="s">
        <v>4010</v>
      </c>
      <c r="B167" s="23" t="s">
        <v>4007</v>
      </c>
      <c r="C167" s="38">
        <v>2.6640000000000001</v>
      </c>
      <c r="D167" s="24">
        <f xml:space="preserve"> C167 / (24 * 'VRP Solver Console'!C11)</f>
        <v>1.8500000000000001E-3</v>
      </c>
    </row>
    <row r="168" spans="1:4" x14ac:dyDescent="0.25">
      <c r="A168" s="23" t="s">
        <v>4010</v>
      </c>
      <c r="B168" s="23" t="s">
        <v>4008</v>
      </c>
      <c r="C168" s="39">
        <v>1.246</v>
      </c>
      <c r="D168" s="25">
        <f xml:space="preserve"> C168 / (24 * 'VRP Solver Console'!C11)</f>
        <v>8.6527777777777775E-4</v>
      </c>
    </row>
    <row r="169" spans="1:4" x14ac:dyDescent="0.25">
      <c r="A169" s="23" t="s">
        <v>4010</v>
      </c>
      <c r="B169" s="23" t="s">
        <v>4009</v>
      </c>
      <c r="C169" s="38">
        <v>0.7</v>
      </c>
      <c r="D169" s="24">
        <f xml:space="preserve"> C169 / (24 * 'VRP Solver Console'!C11)</f>
        <v>4.861111111111111E-4</v>
      </c>
    </row>
    <row r="170" spans="1:4" x14ac:dyDescent="0.25">
      <c r="A170" s="23" t="s">
        <v>4010</v>
      </c>
      <c r="B170" s="23" t="s">
        <v>4010</v>
      </c>
      <c r="C170" s="39">
        <v>0</v>
      </c>
      <c r="D170" s="25">
        <v>0</v>
      </c>
    </row>
    <row r="171" spans="1:4" x14ac:dyDescent="0.25">
      <c r="A171" s="23" t="s">
        <v>4010</v>
      </c>
      <c r="B171" s="23" t="s">
        <v>4011</v>
      </c>
      <c r="C171" s="38">
        <v>0.98799999999999999</v>
      </c>
      <c r="D171" s="24">
        <f xml:space="preserve"> C171 / (24 * 'VRP Solver Console'!C11)</f>
        <v>6.8611111111111108E-4</v>
      </c>
    </row>
    <row r="172" spans="1:4" x14ac:dyDescent="0.25">
      <c r="A172" s="23" t="s">
        <v>4010</v>
      </c>
      <c r="B172" s="23" t="s">
        <v>4012</v>
      </c>
      <c r="C172" s="39">
        <v>2.335</v>
      </c>
      <c r="D172" s="25">
        <f xml:space="preserve"> C172 / (24 * 'VRP Solver Console'!C11)</f>
        <v>1.6215277777777777E-3</v>
      </c>
    </row>
    <row r="173" spans="1:4" x14ac:dyDescent="0.25">
      <c r="A173" s="23" t="s">
        <v>4010</v>
      </c>
      <c r="B173" s="23" t="s">
        <v>4013</v>
      </c>
      <c r="C173" s="38">
        <v>2.794</v>
      </c>
      <c r="D173" s="24">
        <f xml:space="preserve"> C173 / (24 * 'VRP Solver Console'!C11)</f>
        <v>1.9402777777777777E-3</v>
      </c>
    </row>
    <row r="174" spans="1:4" x14ac:dyDescent="0.25">
      <c r="A174" s="23" t="s">
        <v>4010</v>
      </c>
      <c r="B174" s="23" t="s">
        <v>4014</v>
      </c>
      <c r="C174" s="39">
        <v>2.774</v>
      </c>
      <c r="D174" s="25">
        <f xml:space="preserve"> C174 / (24 * 'VRP Solver Console'!C11)</f>
        <v>1.9263888888888889E-3</v>
      </c>
    </row>
    <row r="175" spans="1:4" x14ac:dyDescent="0.25">
      <c r="A175" s="23" t="s">
        <v>4010</v>
      </c>
      <c r="B175" s="23" t="s">
        <v>4015</v>
      </c>
      <c r="C175" s="38">
        <v>43.887999999999998</v>
      </c>
      <c r="D175" s="24">
        <f xml:space="preserve"> C175 / (24 * 'VRP Solver Console'!C11)</f>
        <v>3.0477777777777777E-2</v>
      </c>
    </row>
    <row r="176" spans="1:4" x14ac:dyDescent="0.25">
      <c r="A176" s="23" t="s">
        <v>4010</v>
      </c>
      <c r="B176" s="23" t="s">
        <v>4016</v>
      </c>
      <c r="C176" s="39">
        <v>43.887999999999998</v>
      </c>
      <c r="D176" s="25">
        <f xml:space="preserve"> C176 / (24 * 'VRP Solver Console'!C11)</f>
        <v>3.0477777777777777E-2</v>
      </c>
    </row>
    <row r="177" spans="1:4" x14ac:dyDescent="0.25">
      <c r="A177" s="23" t="s">
        <v>4010</v>
      </c>
      <c r="B177" s="23" t="s">
        <v>4017</v>
      </c>
      <c r="C177" s="38">
        <v>43.887999999999998</v>
      </c>
      <c r="D177" s="24">
        <f xml:space="preserve"> C177 / (24 * 'VRP Solver Console'!C11)</f>
        <v>3.0477777777777777E-2</v>
      </c>
    </row>
    <row r="178" spans="1:4" x14ac:dyDescent="0.25">
      <c r="A178" s="23" t="s">
        <v>4010</v>
      </c>
      <c r="B178" s="23" t="s">
        <v>4018</v>
      </c>
      <c r="C178" s="39">
        <v>43.887999999999998</v>
      </c>
      <c r="D178" s="25">
        <f xml:space="preserve"> C178 / (24 * 'VRP Solver Console'!C11)</f>
        <v>3.0477777777777777E-2</v>
      </c>
    </row>
    <row r="179" spans="1:4" x14ac:dyDescent="0.25">
      <c r="A179" s="23" t="s">
        <v>4010</v>
      </c>
      <c r="B179" s="23" t="s">
        <v>4019</v>
      </c>
      <c r="C179" s="38">
        <v>5.0149999999999997</v>
      </c>
      <c r="D179" s="24">
        <f xml:space="preserve"> C179 / (24 * 'VRP Solver Console'!C11)</f>
        <v>3.4826388888888888E-3</v>
      </c>
    </row>
    <row r="180" spans="1:4" x14ac:dyDescent="0.25">
      <c r="A180" s="23" t="s">
        <v>4010</v>
      </c>
      <c r="B180" s="23" t="s">
        <v>4020</v>
      </c>
      <c r="C180" s="39">
        <v>0.36599999999999999</v>
      </c>
      <c r="D180" s="25">
        <f xml:space="preserve"> C180 / (24 * 'VRP Solver Console'!C11)</f>
        <v>2.5416666666666665E-4</v>
      </c>
    </row>
    <row r="181" spans="1:4" x14ac:dyDescent="0.25">
      <c r="A181" s="23" t="s">
        <v>4010</v>
      </c>
      <c r="B181" s="23" t="s">
        <v>4021</v>
      </c>
      <c r="C181" s="38">
        <v>1.556</v>
      </c>
      <c r="D181" s="24">
        <f xml:space="preserve"> C181 / (24 * 'VRP Solver Console'!C11)</f>
        <v>1.0805555555555555E-3</v>
      </c>
    </row>
    <row r="182" spans="1:4" x14ac:dyDescent="0.25">
      <c r="A182" s="23" t="s">
        <v>4010</v>
      </c>
      <c r="B182" s="23" t="s">
        <v>4022</v>
      </c>
      <c r="C182" s="39">
        <v>0.92200000000000004</v>
      </c>
      <c r="D182" s="25">
        <f xml:space="preserve"> C182 / (24 * 'VRP Solver Console'!C11)</f>
        <v>6.4027777777777781E-4</v>
      </c>
    </row>
    <row r="183" spans="1:4" x14ac:dyDescent="0.25">
      <c r="A183" s="23" t="s">
        <v>4010</v>
      </c>
      <c r="B183" s="23" t="s">
        <v>4023</v>
      </c>
      <c r="C183" s="38">
        <v>4.524</v>
      </c>
      <c r="D183" s="24">
        <f xml:space="preserve"> C183 / (24 * 'VRP Solver Console'!C11)</f>
        <v>3.1416666666666667E-3</v>
      </c>
    </row>
    <row r="184" spans="1:4" x14ac:dyDescent="0.25">
      <c r="A184" s="23" t="s">
        <v>4010</v>
      </c>
      <c r="B184" s="23" t="s">
        <v>4024</v>
      </c>
      <c r="C184" s="39">
        <v>41.816000000000003</v>
      </c>
      <c r="D184" s="25">
        <f xml:space="preserve"> C184 / (24 * 'VRP Solver Console'!C11)</f>
        <v>2.9038888888888892E-2</v>
      </c>
    </row>
    <row r="185" spans="1:4" x14ac:dyDescent="0.25">
      <c r="A185" s="23" t="s">
        <v>4010</v>
      </c>
      <c r="B185" s="23" t="s">
        <v>4003</v>
      </c>
      <c r="C185" s="38">
        <v>1.1359999999999999</v>
      </c>
      <c r="D185" s="24">
        <f xml:space="preserve"> C185 / (24 * 'VRP Solver Console'!C11)</f>
        <v>7.8888888888888878E-4</v>
      </c>
    </row>
    <row r="186" spans="1:4" x14ac:dyDescent="0.25">
      <c r="A186" s="23" t="s">
        <v>4011</v>
      </c>
      <c r="B186" s="23" t="s">
        <v>4028</v>
      </c>
      <c r="C186" s="39">
        <v>1.85</v>
      </c>
      <c r="D186" s="25">
        <f xml:space="preserve"> C186 / (24 * 'VRP Solver Console'!C11)</f>
        <v>1.2847222222222223E-3</v>
      </c>
    </row>
    <row r="187" spans="1:4" x14ac:dyDescent="0.25">
      <c r="A187" s="23" t="s">
        <v>4011</v>
      </c>
      <c r="B187" s="23" t="s">
        <v>4004</v>
      </c>
      <c r="C187" s="38">
        <v>1.534</v>
      </c>
      <c r="D187" s="24">
        <f xml:space="preserve"> C187 / (24 * 'VRP Solver Console'!C11)</f>
        <v>1.0652777777777778E-3</v>
      </c>
    </row>
    <row r="188" spans="1:4" x14ac:dyDescent="0.25">
      <c r="A188" s="23" t="s">
        <v>4011</v>
      </c>
      <c r="B188" s="23" t="s">
        <v>4005</v>
      </c>
      <c r="C188" s="39">
        <v>2.133</v>
      </c>
      <c r="D188" s="25">
        <f xml:space="preserve"> C188 / (24 * 'VRP Solver Console'!C11)</f>
        <v>1.4812499999999999E-3</v>
      </c>
    </row>
    <row r="189" spans="1:4" x14ac:dyDescent="0.25">
      <c r="A189" s="23" t="s">
        <v>4011</v>
      </c>
      <c r="B189" s="23" t="s">
        <v>4006</v>
      </c>
      <c r="C189" s="38">
        <v>0.60599999999999998</v>
      </c>
      <c r="D189" s="24">
        <f xml:space="preserve"> C189 / (24 * 'VRP Solver Console'!C11)</f>
        <v>4.2083333333333333E-4</v>
      </c>
    </row>
    <row r="190" spans="1:4" x14ac:dyDescent="0.25">
      <c r="A190" s="23" t="s">
        <v>4011</v>
      </c>
      <c r="B190" s="23" t="s">
        <v>4007</v>
      </c>
      <c r="C190" s="39">
        <v>2.7229999999999999</v>
      </c>
      <c r="D190" s="25">
        <f xml:space="preserve"> C190 / (24 * 'VRP Solver Console'!C11)</f>
        <v>1.8909722222222221E-3</v>
      </c>
    </row>
    <row r="191" spans="1:4" x14ac:dyDescent="0.25">
      <c r="A191" s="23" t="s">
        <v>4011</v>
      </c>
      <c r="B191" s="23" t="s">
        <v>4008</v>
      </c>
      <c r="C191" s="38">
        <v>2.0790000000000002</v>
      </c>
      <c r="D191" s="24">
        <f xml:space="preserve"> C191 / (24 * 'VRP Solver Console'!C11)</f>
        <v>1.4437500000000002E-3</v>
      </c>
    </row>
    <row r="192" spans="1:4" x14ac:dyDescent="0.25">
      <c r="A192" s="23" t="s">
        <v>4011</v>
      </c>
      <c r="B192" s="23" t="s">
        <v>4009</v>
      </c>
      <c r="C192" s="39">
        <v>1.534</v>
      </c>
      <c r="D192" s="25">
        <f xml:space="preserve"> C192 / (24 * 'VRP Solver Console'!C11)</f>
        <v>1.0652777777777778E-3</v>
      </c>
    </row>
    <row r="193" spans="1:4" x14ac:dyDescent="0.25">
      <c r="A193" s="23" t="s">
        <v>4011</v>
      </c>
      <c r="B193" s="23" t="s">
        <v>4010</v>
      </c>
      <c r="C193" s="38">
        <v>1.002</v>
      </c>
      <c r="D193" s="24">
        <f xml:space="preserve"> C193 / (24 * 'VRP Solver Console'!C11)</f>
        <v>6.9583333333333335E-4</v>
      </c>
    </row>
    <row r="194" spans="1:4" x14ac:dyDescent="0.25">
      <c r="A194" s="23" t="s">
        <v>4011</v>
      </c>
      <c r="B194" s="23" t="s">
        <v>4011</v>
      </c>
      <c r="C194" s="39">
        <v>0</v>
      </c>
      <c r="D194" s="25">
        <v>0</v>
      </c>
    </row>
    <row r="195" spans="1:4" x14ac:dyDescent="0.25">
      <c r="A195" s="23" t="s">
        <v>4011</v>
      </c>
      <c r="B195" s="23" t="s">
        <v>4012</v>
      </c>
      <c r="C195" s="38">
        <v>2.121</v>
      </c>
      <c r="D195" s="24">
        <f xml:space="preserve"> C195 / (24 * 'VRP Solver Console'!C11)</f>
        <v>1.4729166666666666E-3</v>
      </c>
    </row>
    <row r="196" spans="1:4" x14ac:dyDescent="0.25">
      <c r="A196" s="23" t="s">
        <v>4011</v>
      </c>
      <c r="B196" s="23" t="s">
        <v>4013</v>
      </c>
      <c r="C196" s="39">
        <v>3.4079999999999999</v>
      </c>
      <c r="D196" s="25">
        <f xml:space="preserve"> C196 / (24 * 'VRP Solver Console'!C11)</f>
        <v>2.3666666666666667E-3</v>
      </c>
    </row>
    <row r="197" spans="1:4" x14ac:dyDescent="0.25">
      <c r="A197" s="23" t="s">
        <v>4011</v>
      </c>
      <c r="B197" s="23" t="s">
        <v>4014</v>
      </c>
      <c r="C197" s="38">
        <v>3.177</v>
      </c>
      <c r="D197" s="24">
        <f xml:space="preserve"> C197 / (24 * 'VRP Solver Console'!C11)</f>
        <v>2.2062499999999999E-3</v>
      </c>
    </row>
    <row r="198" spans="1:4" x14ac:dyDescent="0.25">
      <c r="A198" s="23" t="s">
        <v>4011</v>
      </c>
      <c r="B198" s="23" t="s">
        <v>4015</v>
      </c>
      <c r="C198" s="39">
        <v>44.290999999999997</v>
      </c>
      <c r="D198" s="25">
        <f xml:space="preserve"> C198 / (24 * 'VRP Solver Console'!C11)</f>
        <v>3.0757638888888886E-2</v>
      </c>
    </row>
    <row r="199" spans="1:4" x14ac:dyDescent="0.25">
      <c r="A199" s="23" t="s">
        <v>4011</v>
      </c>
      <c r="B199" s="23" t="s">
        <v>4016</v>
      </c>
      <c r="C199" s="38">
        <v>44.290999999999997</v>
      </c>
      <c r="D199" s="24">
        <f xml:space="preserve"> C199 / (24 * 'VRP Solver Console'!C11)</f>
        <v>3.0757638888888886E-2</v>
      </c>
    </row>
    <row r="200" spans="1:4" x14ac:dyDescent="0.25">
      <c r="A200" s="23" t="s">
        <v>4011</v>
      </c>
      <c r="B200" s="23" t="s">
        <v>4017</v>
      </c>
      <c r="C200" s="39">
        <v>44.290999999999997</v>
      </c>
      <c r="D200" s="25">
        <f xml:space="preserve"> C200 / (24 * 'VRP Solver Console'!C11)</f>
        <v>3.0757638888888886E-2</v>
      </c>
    </row>
    <row r="201" spans="1:4" x14ac:dyDescent="0.25">
      <c r="A201" s="23" t="s">
        <v>4011</v>
      </c>
      <c r="B201" s="23" t="s">
        <v>4018</v>
      </c>
      <c r="C201" s="38">
        <v>44.290999999999997</v>
      </c>
      <c r="D201" s="24">
        <f xml:space="preserve"> C201 / (24 * 'VRP Solver Console'!C11)</f>
        <v>3.0757638888888886E-2</v>
      </c>
    </row>
    <row r="202" spans="1:4" x14ac:dyDescent="0.25">
      <c r="A202" s="23" t="s">
        <v>4011</v>
      </c>
      <c r="B202" s="23" t="s">
        <v>4019</v>
      </c>
      <c r="C202" s="39">
        <v>5.4180000000000001</v>
      </c>
      <c r="D202" s="25">
        <f xml:space="preserve"> C202 / (24 * 'VRP Solver Console'!C11)</f>
        <v>3.7625000000000002E-3</v>
      </c>
    </row>
    <row r="203" spans="1:4" x14ac:dyDescent="0.25">
      <c r="A203" s="23" t="s">
        <v>4011</v>
      </c>
      <c r="B203" s="23" t="s">
        <v>4020</v>
      </c>
      <c r="C203" s="38">
        <v>0.63500000000000001</v>
      </c>
      <c r="D203" s="24">
        <f xml:space="preserve"> C203 / (24 * 'VRP Solver Console'!C11)</f>
        <v>4.4097222222222221E-4</v>
      </c>
    </row>
    <row r="204" spans="1:4" x14ac:dyDescent="0.25">
      <c r="A204" s="23" t="s">
        <v>4011</v>
      </c>
      <c r="B204" s="23" t="s">
        <v>4021</v>
      </c>
      <c r="C204" s="39">
        <v>1.3420000000000001</v>
      </c>
      <c r="D204" s="25">
        <f xml:space="preserve"> C204 / (24 * 'VRP Solver Console'!C11)</f>
        <v>9.3194444444444455E-4</v>
      </c>
    </row>
    <row r="205" spans="1:4" x14ac:dyDescent="0.25">
      <c r="A205" s="23" t="s">
        <v>4011</v>
      </c>
      <c r="B205" s="23" t="s">
        <v>4022</v>
      </c>
      <c r="C205" s="38">
        <v>0.54500000000000004</v>
      </c>
      <c r="D205" s="24">
        <f xml:space="preserve"> C205 / (24 * 'VRP Solver Console'!C11)</f>
        <v>3.7847222222222226E-4</v>
      </c>
    </row>
    <row r="206" spans="1:4" x14ac:dyDescent="0.25">
      <c r="A206" s="23" t="s">
        <v>4011</v>
      </c>
      <c r="B206" s="23" t="s">
        <v>4023</v>
      </c>
      <c r="C206" s="39">
        <v>4.9269999999999996</v>
      </c>
      <c r="D206" s="25">
        <f xml:space="preserve"> C206 / (24 * 'VRP Solver Console'!C11)</f>
        <v>3.4215277777777777E-3</v>
      </c>
    </row>
    <row r="207" spans="1:4" x14ac:dyDescent="0.25">
      <c r="A207" s="23" t="s">
        <v>4011</v>
      </c>
      <c r="B207" s="23" t="s">
        <v>4024</v>
      </c>
      <c r="C207" s="38">
        <v>42.219000000000001</v>
      </c>
      <c r="D207" s="24">
        <f xml:space="preserve"> C207 / (24 * 'VRP Solver Console'!C11)</f>
        <v>2.9318750000000001E-2</v>
      </c>
    </row>
    <row r="208" spans="1:4" x14ac:dyDescent="0.25">
      <c r="A208" s="23" t="s">
        <v>4011</v>
      </c>
      <c r="B208" s="23" t="s">
        <v>4003</v>
      </c>
      <c r="C208" s="39">
        <v>0.92200000000000004</v>
      </c>
      <c r="D208" s="25">
        <f xml:space="preserve"> C208 / (24 * 'VRP Solver Console'!C11)</f>
        <v>6.4027777777777781E-4</v>
      </c>
    </row>
    <row r="209" spans="1:4" x14ac:dyDescent="0.25">
      <c r="A209" s="23" t="s">
        <v>4012</v>
      </c>
      <c r="B209" s="23" t="s">
        <v>4028</v>
      </c>
      <c r="C209" s="38">
        <v>2.339</v>
      </c>
      <c r="D209" s="24">
        <f xml:space="preserve"> C209 / (24 * 'VRP Solver Console'!C11)</f>
        <v>1.6243055555555555E-3</v>
      </c>
    </row>
    <row r="210" spans="1:4" x14ac:dyDescent="0.25">
      <c r="A210" s="23" t="s">
        <v>4012</v>
      </c>
      <c r="B210" s="23" t="s">
        <v>4004</v>
      </c>
      <c r="C210" s="39">
        <v>2.4489999999999998</v>
      </c>
      <c r="D210" s="25">
        <f xml:space="preserve"> C210 / (24 * 'VRP Solver Console'!C11)</f>
        <v>1.7006944444444443E-3</v>
      </c>
    </row>
    <row r="211" spans="1:4" x14ac:dyDescent="0.25">
      <c r="A211" s="23" t="s">
        <v>4012</v>
      </c>
      <c r="B211" s="23" t="s">
        <v>4005</v>
      </c>
      <c r="C211" s="38">
        <v>2.4159999999999999</v>
      </c>
      <c r="D211" s="24">
        <f xml:space="preserve"> C211 / (24 * 'VRP Solver Console'!C11)</f>
        <v>1.6777777777777778E-3</v>
      </c>
    </row>
    <row r="212" spans="1:4" x14ac:dyDescent="0.25">
      <c r="A212" s="23" t="s">
        <v>4012</v>
      </c>
      <c r="B212" s="23" t="s">
        <v>4006</v>
      </c>
      <c r="C212" s="39">
        <v>0.88900000000000001</v>
      </c>
      <c r="D212" s="25">
        <f xml:space="preserve"> C212 / (24 * 'VRP Solver Console'!C11)</f>
        <v>6.1736111111111117E-4</v>
      </c>
    </row>
    <row r="213" spans="1:4" x14ac:dyDescent="0.25">
      <c r="A213" s="23" t="s">
        <v>4012</v>
      </c>
      <c r="B213" s="23" t="s">
        <v>4007</v>
      </c>
      <c r="C213" s="38">
        <v>3.5609999999999999</v>
      </c>
      <c r="D213" s="24">
        <f xml:space="preserve"> C213 / (24 * 'VRP Solver Console'!C11)</f>
        <v>2.4729166666666667E-3</v>
      </c>
    </row>
    <row r="214" spans="1:4" x14ac:dyDescent="0.25">
      <c r="A214" s="23" t="s">
        <v>4012</v>
      </c>
      <c r="B214" s="23" t="s">
        <v>4008</v>
      </c>
      <c r="C214" s="39">
        <v>2.7749999999999999</v>
      </c>
      <c r="D214" s="25">
        <f xml:space="preserve"> C214 / (24 * 'VRP Solver Console'!C11)</f>
        <v>1.9270833333333332E-3</v>
      </c>
    </row>
    <row r="215" spans="1:4" x14ac:dyDescent="0.25">
      <c r="A215" s="23" t="s">
        <v>4012</v>
      </c>
      <c r="B215" s="23" t="s">
        <v>4009</v>
      </c>
      <c r="C215" s="38">
        <v>2.4489999999999998</v>
      </c>
      <c r="D215" s="24">
        <f xml:space="preserve"> C215 / (24 * 'VRP Solver Console'!C11)</f>
        <v>1.7006944444444443E-3</v>
      </c>
    </row>
    <row r="216" spans="1:4" x14ac:dyDescent="0.25">
      <c r="A216" s="23" t="s">
        <v>4012</v>
      </c>
      <c r="B216" s="23" t="s">
        <v>4010</v>
      </c>
      <c r="C216" s="39">
        <v>1.2829999999999999</v>
      </c>
      <c r="D216" s="25">
        <f xml:space="preserve"> C216 / (24 * 'VRP Solver Console'!C11)</f>
        <v>8.9097222222222214E-4</v>
      </c>
    </row>
    <row r="217" spans="1:4" x14ac:dyDescent="0.25">
      <c r="A217" s="23" t="s">
        <v>4012</v>
      </c>
      <c r="B217" s="23" t="s">
        <v>4011</v>
      </c>
      <c r="C217" s="38">
        <v>0.66</v>
      </c>
      <c r="D217" s="24">
        <f xml:space="preserve"> C217 / (24 * 'VRP Solver Console'!C11)</f>
        <v>4.5833333333333338E-4</v>
      </c>
    </row>
    <row r="218" spans="1:4" x14ac:dyDescent="0.25">
      <c r="A218" s="23" t="s">
        <v>4012</v>
      </c>
      <c r="B218" s="23" t="s">
        <v>4012</v>
      </c>
      <c r="C218" s="39">
        <v>0</v>
      </c>
      <c r="D218" s="25">
        <v>0</v>
      </c>
    </row>
    <row r="219" spans="1:4" x14ac:dyDescent="0.25">
      <c r="A219" s="23" t="s">
        <v>4012</v>
      </c>
      <c r="B219" s="23" t="s">
        <v>4013</v>
      </c>
      <c r="C219" s="38">
        <v>4.7389999999999999</v>
      </c>
      <c r="D219" s="24">
        <f xml:space="preserve"> C219 / (24 * 'VRP Solver Console'!C11)</f>
        <v>3.290972222222222E-3</v>
      </c>
    </row>
    <row r="220" spans="1:4" x14ac:dyDescent="0.25">
      <c r="A220" s="23" t="s">
        <v>4012</v>
      </c>
      <c r="B220" s="23" t="s">
        <v>4014</v>
      </c>
      <c r="C220" s="39">
        <v>2.3559999999999999</v>
      </c>
      <c r="D220" s="25">
        <f xml:space="preserve"> C220 / (24 * 'VRP Solver Console'!C11)</f>
        <v>1.636111111111111E-3</v>
      </c>
    </row>
    <row r="221" spans="1:4" x14ac:dyDescent="0.25">
      <c r="A221" s="23" t="s">
        <v>4012</v>
      </c>
      <c r="B221" s="23" t="s">
        <v>4015</v>
      </c>
      <c r="C221" s="38">
        <v>43.47</v>
      </c>
      <c r="D221" s="24">
        <f xml:space="preserve"> C221 / (24 * 'VRP Solver Console'!C11)</f>
        <v>3.0187499999999999E-2</v>
      </c>
    </row>
    <row r="222" spans="1:4" x14ac:dyDescent="0.25">
      <c r="A222" s="23" t="s">
        <v>4012</v>
      </c>
      <c r="B222" s="23" t="s">
        <v>4016</v>
      </c>
      <c r="C222" s="39">
        <v>43.47</v>
      </c>
      <c r="D222" s="25">
        <f xml:space="preserve"> C222 / (24 * 'VRP Solver Console'!C11)</f>
        <v>3.0187499999999999E-2</v>
      </c>
    </row>
    <row r="223" spans="1:4" x14ac:dyDescent="0.25">
      <c r="A223" s="23" t="s">
        <v>4012</v>
      </c>
      <c r="B223" s="23" t="s">
        <v>4017</v>
      </c>
      <c r="C223" s="38">
        <v>43.47</v>
      </c>
      <c r="D223" s="24">
        <f xml:space="preserve"> C223 / (24 * 'VRP Solver Console'!C11)</f>
        <v>3.0187499999999999E-2</v>
      </c>
    </row>
    <row r="224" spans="1:4" x14ac:dyDescent="0.25">
      <c r="A224" s="23" t="s">
        <v>4012</v>
      </c>
      <c r="B224" s="23" t="s">
        <v>4018</v>
      </c>
      <c r="C224" s="39">
        <v>43.47</v>
      </c>
      <c r="D224" s="25">
        <f xml:space="preserve"> C224 / (24 * 'VRP Solver Console'!C11)</f>
        <v>3.0187499999999999E-2</v>
      </c>
    </row>
    <row r="225" spans="1:4" x14ac:dyDescent="0.25">
      <c r="A225" s="23" t="s">
        <v>4012</v>
      </c>
      <c r="B225" s="23" t="s">
        <v>4019</v>
      </c>
      <c r="C225" s="38">
        <v>4.5970000000000004</v>
      </c>
      <c r="D225" s="24">
        <f xml:space="preserve"> C225 / (24 * 'VRP Solver Console'!C11)</f>
        <v>3.1923611111111115E-3</v>
      </c>
    </row>
    <row r="226" spans="1:4" x14ac:dyDescent="0.25">
      <c r="A226" s="23" t="s">
        <v>4012</v>
      </c>
      <c r="B226" s="23" t="s">
        <v>4020</v>
      </c>
      <c r="C226" s="39">
        <v>1.3169999999999999</v>
      </c>
      <c r="D226" s="25">
        <f xml:space="preserve"> C226 / (24 * 'VRP Solver Console'!C11)</f>
        <v>9.1458333333333333E-4</v>
      </c>
    </row>
    <row r="227" spans="1:4" x14ac:dyDescent="0.25">
      <c r="A227" s="23" t="s">
        <v>4012</v>
      </c>
      <c r="B227" s="23" t="s">
        <v>4021</v>
      </c>
      <c r="C227" s="38">
        <v>0.52100000000000002</v>
      </c>
      <c r="D227" s="24">
        <f xml:space="preserve"> C227 / (24 * 'VRP Solver Console'!C11)</f>
        <v>3.6180555555555559E-4</v>
      </c>
    </row>
    <row r="228" spans="1:4" x14ac:dyDescent="0.25">
      <c r="A228" s="23" t="s">
        <v>4012</v>
      </c>
      <c r="B228" s="23" t="s">
        <v>4022</v>
      </c>
      <c r="C228" s="39">
        <v>0.82799999999999996</v>
      </c>
      <c r="D228" s="25">
        <f xml:space="preserve"> C228 / (24 * 'VRP Solver Console'!C11)</f>
        <v>5.7499999999999999E-4</v>
      </c>
    </row>
    <row r="229" spans="1:4" x14ac:dyDescent="0.25">
      <c r="A229" s="23" t="s">
        <v>4012</v>
      </c>
      <c r="B229" s="23" t="s">
        <v>4023</v>
      </c>
      <c r="C229" s="38">
        <v>4.1059999999999999</v>
      </c>
      <c r="D229" s="24">
        <f xml:space="preserve"> C229 / (24 * 'VRP Solver Console'!C11)</f>
        <v>2.851388888888889E-3</v>
      </c>
    </row>
    <row r="230" spans="1:4" x14ac:dyDescent="0.25">
      <c r="A230" s="23" t="s">
        <v>4012</v>
      </c>
      <c r="B230" s="23" t="s">
        <v>4024</v>
      </c>
      <c r="C230" s="39">
        <v>41.398000000000003</v>
      </c>
      <c r="D230" s="25">
        <f xml:space="preserve"> C230 / (24 * 'VRP Solver Console'!C11)</f>
        <v>2.8748611111111114E-2</v>
      </c>
    </row>
    <row r="231" spans="1:4" x14ac:dyDescent="0.25">
      <c r="A231" s="23" t="s">
        <v>4012</v>
      </c>
      <c r="B231" s="23" t="s">
        <v>4003</v>
      </c>
      <c r="C231" s="38">
        <v>0.25600000000000001</v>
      </c>
      <c r="D231" s="24">
        <f xml:space="preserve"> C231 / (24 * 'VRP Solver Console'!C11)</f>
        <v>1.7777777777777779E-4</v>
      </c>
    </row>
    <row r="232" spans="1:4" x14ac:dyDescent="0.25">
      <c r="A232" s="23" t="s">
        <v>4013</v>
      </c>
      <c r="B232" s="23" t="s">
        <v>4028</v>
      </c>
      <c r="C232" s="39">
        <v>2.6219999999999999</v>
      </c>
      <c r="D232" s="25">
        <f xml:space="preserve"> C232 / (24 * 'VRP Solver Console'!C11)</f>
        <v>1.8208333333333332E-3</v>
      </c>
    </row>
    <row r="233" spans="1:4" x14ac:dyDescent="0.25">
      <c r="A233" s="23" t="s">
        <v>4013</v>
      </c>
      <c r="B233" s="23" t="s">
        <v>4004</v>
      </c>
      <c r="C233" s="38">
        <v>3.2090000000000001</v>
      </c>
      <c r="D233" s="24">
        <f xml:space="preserve"> C233 / (24 * 'VRP Solver Console'!C11)</f>
        <v>2.2284722222222224E-3</v>
      </c>
    </row>
    <row r="234" spans="1:4" x14ac:dyDescent="0.25">
      <c r="A234" s="23" t="s">
        <v>4013</v>
      </c>
      <c r="B234" s="23" t="s">
        <v>4005</v>
      </c>
      <c r="C234" s="39">
        <v>3.4580000000000002</v>
      </c>
      <c r="D234" s="25">
        <f xml:space="preserve"> C234 / (24 * 'VRP Solver Console'!C11)</f>
        <v>2.4013888888888891E-3</v>
      </c>
    </row>
    <row r="235" spans="1:4" x14ac:dyDescent="0.25">
      <c r="A235" s="23" t="s">
        <v>4013</v>
      </c>
      <c r="B235" s="23" t="s">
        <v>4006</v>
      </c>
      <c r="C235" s="38">
        <v>4.24</v>
      </c>
      <c r="D235" s="24">
        <f xml:space="preserve"> C235 / (24 * 'VRP Solver Console'!C11)</f>
        <v>2.9444444444444444E-3</v>
      </c>
    </row>
    <row r="236" spans="1:4" x14ac:dyDescent="0.25">
      <c r="A236" s="23" t="s">
        <v>4013</v>
      </c>
      <c r="B236" s="23" t="s">
        <v>4007</v>
      </c>
      <c r="C236" s="39">
        <v>3.6320000000000001</v>
      </c>
      <c r="D236" s="25">
        <f xml:space="preserve"> C236 / (24 * 'VRP Solver Console'!C11)</f>
        <v>2.5222222222222221E-3</v>
      </c>
    </row>
    <row r="237" spans="1:4" x14ac:dyDescent="0.25">
      <c r="A237" s="23" t="s">
        <v>4013</v>
      </c>
      <c r="B237" s="23" t="s">
        <v>4008</v>
      </c>
      <c r="C237" s="38">
        <v>2.7410000000000001</v>
      </c>
      <c r="D237" s="24">
        <f xml:space="preserve"> C237 / (24 * 'VRP Solver Console'!C11)</f>
        <v>1.9034722222222222E-3</v>
      </c>
    </row>
    <row r="238" spans="1:4" x14ac:dyDescent="0.25">
      <c r="A238" s="23" t="s">
        <v>4013</v>
      </c>
      <c r="B238" s="23" t="s">
        <v>4009</v>
      </c>
      <c r="C238" s="39">
        <v>3.2090000000000001</v>
      </c>
      <c r="D238" s="25">
        <f xml:space="preserve"> C238 / (24 * 'VRP Solver Console'!C11)</f>
        <v>2.2284722222222224E-3</v>
      </c>
    </row>
    <row r="239" spans="1:4" x14ac:dyDescent="0.25">
      <c r="A239" s="23" t="s">
        <v>4013</v>
      </c>
      <c r="B239" s="23" t="s">
        <v>4010</v>
      </c>
      <c r="C239" s="38">
        <v>3.2690000000000001</v>
      </c>
      <c r="D239" s="24">
        <f xml:space="preserve"> C239 / (24 * 'VRP Solver Console'!C11)</f>
        <v>2.2701388888888888E-3</v>
      </c>
    </row>
    <row r="240" spans="1:4" x14ac:dyDescent="0.25">
      <c r="A240" s="23" t="s">
        <v>4013</v>
      </c>
      <c r="B240" s="23" t="s">
        <v>4011</v>
      </c>
      <c r="C240" s="39">
        <v>4.0670000000000002</v>
      </c>
      <c r="D240" s="25">
        <f xml:space="preserve"> C240 / (24 * 'VRP Solver Console'!C11)</f>
        <v>2.8243055555555556E-3</v>
      </c>
    </row>
    <row r="241" spans="1:4" x14ac:dyDescent="0.25">
      <c r="A241" s="23" t="s">
        <v>4013</v>
      </c>
      <c r="B241" s="23" t="s">
        <v>4012</v>
      </c>
      <c r="C241" s="38">
        <v>4.976</v>
      </c>
      <c r="D241" s="24">
        <f xml:space="preserve"> C241 / (24 * 'VRP Solver Console'!C11)</f>
        <v>3.4555555555555555E-3</v>
      </c>
    </row>
    <row r="242" spans="1:4" x14ac:dyDescent="0.25">
      <c r="A242" s="23" t="s">
        <v>4013</v>
      </c>
      <c r="B242" s="23" t="s">
        <v>4013</v>
      </c>
      <c r="C242" s="39">
        <v>0</v>
      </c>
      <c r="D242" s="25">
        <v>0</v>
      </c>
    </row>
    <row r="243" spans="1:4" x14ac:dyDescent="0.25">
      <c r="A243" s="23" t="s">
        <v>4013</v>
      </c>
      <c r="B243" s="23" t="s">
        <v>4014</v>
      </c>
      <c r="C243" s="38">
        <v>1.337</v>
      </c>
      <c r="D243" s="24">
        <f xml:space="preserve"> C243 / (24 * 'VRP Solver Console'!C11)</f>
        <v>9.2847222222222224E-4</v>
      </c>
    </row>
    <row r="244" spans="1:4" x14ac:dyDescent="0.25">
      <c r="A244" s="23" t="s">
        <v>4013</v>
      </c>
      <c r="B244" s="23" t="s">
        <v>4015</v>
      </c>
      <c r="C244" s="39">
        <v>40.956000000000003</v>
      </c>
      <c r="D244" s="25">
        <f xml:space="preserve"> C244 / (24 * 'VRP Solver Console'!C11)</f>
        <v>2.8441666666666667E-2</v>
      </c>
    </row>
    <row r="245" spans="1:4" x14ac:dyDescent="0.25">
      <c r="A245" s="23" t="s">
        <v>4013</v>
      </c>
      <c r="B245" s="23" t="s">
        <v>4016</v>
      </c>
      <c r="C245" s="38">
        <v>40.956000000000003</v>
      </c>
      <c r="D245" s="24">
        <f xml:space="preserve"> C245 / (24 * 'VRP Solver Console'!C11)</f>
        <v>2.8441666666666667E-2</v>
      </c>
    </row>
    <row r="246" spans="1:4" x14ac:dyDescent="0.25">
      <c r="A246" s="23" t="s">
        <v>4013</v>
      </c>
      <c r="B246" s="23" t="s">
        <v>4017</v>
      </c>
      <c r="C246" s="39">
        <v>40.956000000000003</v>
      </c>
      <c r="D246" s="25">
        <f xml:space="preserve"> C246 / (24 * 'VRP Solver Console'!C11)</f>
        <v>2.8441666666666667E-2</v>
      </c>
    </row>
    <row r="247" spans="1:4" x14ac:dyDescent="0.25">
      <c r="A247" s="23" t="s">
        <v>4013</v>
      </c>
      <c r="B247" s="23" t="s">
        <v>4018</v>
      </c>
      <c r="C247" s="38">
        <v>40.956000000000003</v>
      </c>
      <c r="D247" s="24">
        <f xml:space="preserve"> C247 / (24 * 'VRP Solver Console'!C11)</f>
        <v>2.8441666666666667E-2</v>
      </c>
    </row>
    <row r="248" spans="1:4" x14ac:dyDescent="0.25">
      <c r="A248" s="23" t="s">
        <v>4013</v>
      </c>
      <c r="B248" s="23" t="s">
        <v>4019</v>
      </c>
      <c r="C248" s="39">
        <v>2.0830000000000002</v>
      </c>
      <c r="D248" s="25">
        <f xml:space="preserve"> C248 / (24 * 'VRP Solver Console'!C11)</f>
        <v>1.4465277777777779E-3</v>
      </c>
    </row>
    <row r="249" spans="1:4" x14ac:dyDescent="0.25">
      <c r="A249" s="23" t="s">
        <v>4013</v>
      </c>
      <c r="B249" s="23" t="s">
        <v>4020</v>
      </c>
      <c r="C249" s="38">
        <v>3.8559999999999999</v>
      </c>
      <c r="D249" s="24">
        <f xml:space="preserve"> C249 / (24 * 'VRP Solver Console'!C11)</f>
        <v>2.6777777777777776E-3</v>
      </c>
    </row>
    <row r="250" spans="1:4" x14ac:dyDescent="0.25">
      <c r="A250" s="23" t="s">
        <v>4013</v>
      </c>
      <c r="B250" s="23" t="s">
        <v>4021</v>
      </c>
      <c r="C250" s="39">
        <v>4.1970000000000001</v>
      </c>
      <c r="D250" s="25">
        <f xml:space="preserve"> C250 / (24 * 'VRP Solver Console'!C11)</f>
        <v>2.9145833333333333E-3</v>
      </c>
    </row>
    <row r="251" spans="1:4" x14ac:dyDescent="0.25">
      <c r="A251" s="23" t="s">
        <v>4013</v>
      </c>
      <c r="B251" s="23" t="s">
        <v>4022</v>
      </c>
      <c r="C251" s="38">
        <v>4.0010000000000003</v>
      </c>
      <c r="D251" s="24">
        <f xml:space="preserve"> C251 / (24 * 'VRP Solver Console'!C11)</f>
        <v>2.7784722222222225E-3</v>
      </c>
    </row>
    <row r="252" spans="1:4" x14ac:dyDescent="0.25">
      <c r="A252" s="23" t="s">
        <v>4013</v>
      </c>
      <c r="B252" s="23" t="s">
        <v>4023</v>
      </c>
      <c r="C252" s="39">
        <v>1.6679999999999999</v>
      </c>
      <c r="D252" s="25">
        <f xml:space="preserve"> C252 / (24 * 'VRP Solver Console'!C11)</f>
        <v>1.1583333333333333E-3</v>
      </c>
    </row>
    <row r="253" spans="1:4" x14ac:dyDescent="0.25">
      <c r="A253" s="23" t="s">
        <v>4013</v>
      </c>
      <c r="B253" s="23" t="s">
        <v>4024</v>
      </c>
      <c r="C253" s="38">
        <v>38.884</v>
      </c>
      <c r="D253" s="24">
        <f xml:space="preserve"> C253 / (24 * 'VRP Solver Console'!C11)</f>
        <v>2.7002777777777778E-2</v>
      </c>
    </row>
    <row r="254" spans="1:4" x14ac:dyDescent="0.25">
      <c r="A254" s="23" t="s">
        <v>4013</v>
      </c>
      <c r="B254" s="23" t="s">
        <v>4003</v>
      </c>
      <c r="C254" s="39">
        <v>3.7770000000000001</v>
      </c>
      <c r="D254" s="25">
        <f xml:space="preserve"> C254 / (24 * 'VRP Solver Console'!C11)</f>
        <v>2.6229166666666666E-3</v>
      </c>
    </row>
    <row r="255" spans="1:4" x14ac:dyDescent="0.25">
      <c r="A255" s="23" t="s">
        <v>4014</v>
      </c>
      <c r="B255" s="23" t="s">
        <v>4028</v>
      </c>
      <c r="C255" s="38">
        <v>1.306</v>
      </c>
      <c r="D255" s="24">
        <f xml:space="preserve"> C255 / (24 * 'VRP Solver Console'!C11)</f>
        <v>9.0694444444444449E-4</v>
      </c>
    </row>
    <row r="256" spans="1:4" x14ac:dyDescent="0.25">
      <c r="A256" s="23" t="s">
        <v>4014</v>
      </c>
      <c r="B256" s="23" t="s">
        <v>4004</v>
      </c>
      <c r="C256" s="39">
        <v>1.8740000000000001</v>
      </c>
      <c r="D256" s="25">
        <f xml:space="preserve"> C256 / (24 * 'VRP Solver Console'!C11)</f>
        <v>1.301388888888889E-3</v>
      </c>
    </row>
    <row r="257" spans="1:4" x14ac:dyDescent="0.25">
      <c r="A257" s="23" t="s">
        <v>4014</v>
      </c>
      <c r="B257" s="23" t="s">
        <v>4005</v>
      </c>
      <c r="C257" s="38">
        <v>2.1419999999999999</v>
      </c>
      <c r="D257" s="24">
        <f xml:space="preserve"> C257 / (24 * 'VRP Solver Console'!C11)</f>
        <v>1.4874999999999999E-3</v>
      </c>
    </row>
    <row r="258" spans="1:4" x14ac:dyDescent="0.25">
      <c r="A258" s="23" t="s">
        <v>4014</v>
      </c>
      <c r="B258" s="23" t="s">
        <v>4006</v>
      </c>
      <c r="C258" s="39">
        <v>2.9049999999999998</v>
      </c>
      <c r="D258" s="25">
        <f xml:space="preserve"> C258 / (24 * 'VRP Solver Console'!C11)</f>
        <v>2.0173611111111108E-3</v>
      </c>
    </row>
    <row r="259" spans="1:4" x14ac:dyDescent="0.25">
      <c r="A259" s="23" t="s">
        <v>4014</v>
      </c>
      <c r="B259" s="23" t="s">
        <v>4007</v>
      </c>
      <c r="C259" s="38">
        <v>3.8090000000000002</v>
      </c>
      <c r="D259" s="24">
        <f xml:space="preserve"> C259 / (24 * 'VRP Solver Console'!C11)</f>
        <v>2.6451388888888891E-3</v>
      </c>
    </row>
    <row r="260" spans="1:4" x14ac:dyDescent="0.25">
      <c r="A260" s="23" t="s">
        <v>4014</v>
      </c>
      <c r="B260" s="23" t="s">
        <v>4008</v>
      </c>
      <c r="C260" s="39">
        <v>1.7470000000000001</v>
      </c>
      <c r="D260" s="25">
        <f xml:space="preserve"> C260 / (24 * 'VRP Solver Console'!C11)</f>
        <v>1.2131944444444445E-3</v>
      </c>
    </row>
    <row r="261" spans="1:4" x14ac:dyDescent="0.25">
      <c r="A261" s="23" t="s">
        <v>4014</v>
      </c>
      <c r="B261" s="23" t="s">
        <v>4009</v>
      </c>
      <c r="C261" s="38">
        <v>1.8740000000000001</v>
      </c>
      <c r="D261" s="24">
        <f xml:space="preserve"> C261 / (24 * 'VRP Solver Console'!C11)</f>
        <v>1.301388888888889E-3</v>
      </c>
    </row>
    <row r="262" spans="1:4" x14ac:dyDescent="0.25">
      <c r="A262" s="23" t="s">
        <v>4014</v>
      </c>
      <c r="B262" s="23" t="s">
        <v>4010</v>
      </c>
      <c r="C262" s="39">
        <v>1.9339999999999999</v>
      </c>
      <c r="D262" s="25">
        <f xml:space="preserve"> C262 / (24 * 'VRP Solver Console'!C11)</f>
        <v>1.3430555555555555E-3</v>
      </c>
    </row>
    <row r="263" spans="1:4" x14ac:dyDescent="0.25">
      <c r="A263" s="23" t="s">
        <v>4014</v>
      </c>
      <c r="B263" s="23" t="s">
        <v>4011</v>
      </c>
      <c r="C263" s="38">
        <v>2.7320000000000002</v>
      </c>
      <c r="D263" s="24">
        <f xml:space="preserve"> C263 / (24 * 'VRP Solver Console'!C11)</f>
        <v>1.8972222222222225E-3</v>
      </c>
    </row>
    <row r="264" spans="1:4" x14ac:dyDescent="0.25">
      <c r="A264" s="23" t="s">
        <v>4014</v>
      </c>
      <c r="B264" s="23" t="s">
        <v>4012</v>
      </c>
      <c r="C264" s="39">
        <v>3.641</v>
      </c>
      <c r="D264" s="25">
        <f xml:space="preserve"> C264 / (24 * 'VRP Solver Console'!C11)</f>
        <v>2.5284722222222223E-3</v>
      </c>
    </row>
    <row r="265" spans="1:4" x14ac:dyDescent="0.25">
      <c r="A265" s="23" t="s">
        <v>4014</v>
      </c>
      <c r="B265" s="23" t="s">
        <v>4013</v>
      </c>
      <c r="C265" s="38">
        <v>2.4020000000000001</v>
      </c>
      <c r="D265" s="24">
        <f xml:space="preserve"> C265 / (24 * 'VRP Solver Console'!C11)</f>
        <v>1.6680555555555557E-3</v>
      </c>
    </row>
    <row r="266" spans="1:4" x14ac:dyDescent="0.25">
      <c r="A266" s="23" t="s">
        <v>4014</v>
      </c>
      <c r="B266" s="23" t="s">
        <v>4014</v>
      </c>
      <c r="C266" s="39">
        <v>0</v>
      </c>
      <c r="D266" s="25">
        <v>0</v>
      </c>
    </row>
    <row r="267" spans="1:4" x14ac:dyDescent="0.25">
      <c r="A267" s="23" t="s">
        <v>4014</v>
      </c>
      <c r="B267" s="23" t="s">
        <v>4015</v>
      </c>
      <c r="C267" s="38">
        <v>41.133000000000003</v>
      </c>
      <c r="D267" s="24">
        <f xml:space="preserve"> C267 / (24 * 'VRP Solver Console'!C11)</f>
        <v>2.8564583333333334E-2</v>
      </c>
    </row>
    <row r="268" spans="1:4" x14ac:dyDescent="0.25">
      <c r="A268" s="23" t="s">
        <v>4014</v>
      </c>
      <c r="B268" s="23" t="s">
        <v>4016</v>
      </c>
      <c r="C268" s="39">
        <v>41.133000000000003</v>
      </c>
      <c r="D268" s="25">
        <f xml:space="preserve"> C268 / (24 * 'VRP Solver Console'!C11)</f>
        <v>2.8564583333333334E-2</v>
      </c>
    </row>
    <row r="269" spans="1:4" x14ac:dyDescent="0.25">
      <c r="A269" s="23" t="s">
        <v>4014</v>
      </c>
      <c r="B269" s="23" t="s">
        <v>4017</v>
      </c>
      <c r="C269" s="38">
        <v>41.133000000000003</v>
      </c>
      <c r="D269" s="24">
        <f xml:space="preserve"> C269 / (24 * 'VRP Solver Console'!C11)</f>
        <v>2.8564583333333334E-2</v>
      </c>
    </row>
    <row r="270" spans="1:4" x14ac:dyDescent="0.25">
      <c r="A270" s="23" t="s">
        <v>4014</v>
      </c>
      <c r="B270" s="23" t="s">
        <v>4018</v>
      </c>
      <c r="C270" s="39">
        <v>41.133000000000003</v>
      </c>
      <c r="D270" s="25">
        <f xml:space="preserve"> C270 / (24 * 'VRP Solver Console'!C11)</f>
        <v>2.8564583333333334E-2</v>
      </c>
    </row>
    <row r="271" spans="1:4" x14ac:dyDescent="0.25">
      <c r="A271" s="23" t="s">
        <v>4014</v>
      </c>
      <c r="B271" s="23" t="s">
        <v>4019</v>
      </c>
      <c r="C271" s="38">
        <v>2.2599999999999998</v>
      </c>
      <c r="D271" s="24">
        <f xml:space="preserve"> C271 / (24 * 'VRP Solver Console'!C11)</f>
        <v>1.5694444444444443E-3</v>
      </c>
    </row>
    <row r="272" spans="1:4" x14ac:dyDescent="0.25">
      <c r="A272" s="23" t="s">
        <v>4014</v>
      </c>
      <c r="B272" s="23" t="s">
        <v>4020</v>
      </c>
      <c r="C272" s="39">
        <v>2.5209999999999999</v>
      </c>
      <c r="D272" s="25">
        <f xml:space="preserve"> C272 / (24 * 'VRP Solver Console'!C11)</f>
        <v>1.7506944444444445E-3</v>
      </c>
    </row>
    <row r="273" spans="1:4" x14ac:dyDescent="0.25">
      <c r="A273" s="23" t="s">
        <v>4014</v>
      </c>
      <c r="B273" s="23" t="s">
        <v>4021</v>
      </c>
      <c r="C273" s="38">
        <v>2.8620000000000001</v>
      </c>
      <c r="D273" s="24">
        <f xml:space="preserve"> C273 / (24 * 'VRP Solver Console'!C11)</f>
        <v>1.9875000000000001E-3</v>
      </c>
    </row>
    <row r="274" spans="1:4" x14ac:dyDescent="0.25">
      <c r="A274" s="23" t="s">
        <v>4014</v>
      </c>
      <c r="B274" s="23" t="s">
        <v>4022</v>
      </c>
      <c r="C274" s="39">
        <v>2.6659999999999999</v>
      </c>
      <c r="D274" s="25">
        <f xml:space="preserve"> C274 / (24 * 'VRP Solver Console'!C11)</f>
        <v>1.8513888888888887E-3</v>
      </c>
    </row>
    <row r="275" spans="1:4" x14ac:dyDescent="0.25">
      <c r="A275" s="23" t="s">
        <v>4014</v>
      </c>
      <c r="B275" s="23" t="s">
        <v>4023</v>
      </c>
      <c r="C275" s="38">
        <v>1.845</v>
      </c>
      <c r="D275" s="24">
        <f xml:space="preserve"> C275 / (24 * 'VRP Solver Console'!C11)</f>
        <v>1.2812500000000001E-3</v>
      </c>
    </row>
    <row r="276" spans="1:4" x14ac:dyDescent="0.25">
      <c r="A276" s="23" t="s">
        <v>4014</v>
      </c>
      <c r="B276" s="23" t="s">
        <v>4024</v>
      </c>
      <c r="C276" s="39">
        <v>39.061</v>
      </c>
      <c r="D276" s="25">
        <f xml:space="preserve"> C276 / (24 * 'VRP Solver Console'!C11)</f>
        <v>2.7125694444444445E-2</v>
      </c>
    </row>
    <row r="277" spans="1:4" x14ac:dyDescent="0.25">
      <c r="A277" s="23" t="s">
        <v>4014</v>
      </c>
      <c r="B277" s="23" t="s">
        <v>4003</v>
      </c>
      <c r="C277" s="38">
        <v>2.4420000000000002</v>
      </c>
      <c r="D277" s="24">
        <f xml:space="preserve"> C277 / (24 * 'VRP Solver Console'!C11)</f>
        <v>1.6958333333333335E-3</v>
      </c>
    </row>
    <row r="278" spans="1:4" x14ac:dyDescent="0.25">
      <c r="A278" s="23" t="s">
        <v>4015</v>
      </c>
      <c r="B278" s="23" t="s">
        <v>4028</v>
      </c>
      <c r="C278" s="39">
        <v>42.319000000000003</v>
      </c>
      <c r="D278" s="25">
        <f xml:space="preserve"> C278 / (24 * 'VRP Solver Console'!C11)</f>
        <v>2.9388194444444446E-2</v>
      </c>
    </row>
    <row r="279" spans="1:4" x14ac:dyDescent="0.25">
      <c r="A279" s="23" t="s">
        <v>4015</v>
      </c>
      <c r="B279" s="23" t="s">
        <v>4004</v>
      </c>
      <c r="C279" s="38">
        <v>42.905999999999999</v>
      </c>
      <c r="D279" s="24">
        <f xml:space="preserve"> C279 / (24 * 'VRP Solver Console'!C11)</f>
        <v>2.9795833333333334E-2</v>
      </c>
    </row>
    <row r="280" spans="1:4" x14ac:dyDescent="0.25">
      <c r="A280" s="23" t="s">
        <v>4015</v>
      </c>
      <c r="B280" s="23" t="s">
        <v>4005</v>
      </c>
      <c r="C280" s="39">
        <v>42.683</v>
      </c>
      <c r="D280" s="25">
        <f xml:space="preserve"> C280 / (24 * 'VRP Solver Console'!C11)</f>
        <v>2.9640972222222221E-2</v>
      </c>
    </row>
    <row r="281" spans="1:4" x14ac:dyDescent="0.25">
      <c r="A281" s="23" t="s">
        <v>4015</v>
      </c>
      <c r="B281" s="23" t="s">
        <v>4006</v>
      </c>
      <c r="C281" s="38">
        <v>43.936999999999998</v>
      </c>
      <c r="D281" s="24">
        <f xml:space="preserve"> C281 / (24 * 'VRP Solver Console'!C11)</f>
        <v>3.0511805555555552E-2</v>
      </c>
    </row>
    <row r="282" spans="1:4" x14ac:dyDescent="0.25">
      <c r="A282" s="23" t="s">
        <v>4015</v>
      </c>
      <c r="B282" s="23" t="s">
        <v>4007</v>
      </c>
      <c r="C282" s="39">
        <v>43.143999999999998</v>
      </c>
      <c r="D282" s="25">
        <f xml:space="preserve"> C282 / (24 * 'VRP Solver Console'!C11)</f>
        <v>2.9961111111111109E-2</v>
      </c>
    </row>
    <row r="283" spans="1:4" x14ac:dyDescent="0.25">
      <c r="A283" s="23" t="s">
        <v>4015</v>
      </c>
      <c r="B283" s="23" t="s">
        <v>4008</v>
      </c>
      <c r="C283" s="38">
        <v>42.438000000000002</v>
      </c>
      <c r="D283" s="24">
        <f xml:space="preserve"> C283 / (24 * 'VRP Solver Console'!C11)</f>
        <v>2.9470833333333335E-2</v>
      </c>
    </row>
    <row r="284" spans="1:4" x14ac:dyDescent="0.25">
      <c r="A284" s="23" t="s">
        <v>4015</v>
      </c>
      <c r="B284" s="23" t="s">
        <v>4009</v>
      </c>
      <c r="C284" s="39">
        <v>42.905999999999999</v>
      </c>
      <c r="D284" s="25">
        <f xml:space="preserve"> C284 / (24 * 'VRP Solver Console'!C11)</f>
        <v>2.9795833333333334E-2</v>
      </c>
    </row>
    <row r="285" spans="1:4" x14ac:dyDescent="0.25">
      <c r="A285" s="23" t="s">
        <v>4015</v>
      </c>
      <c r="B285" s="23" t="s">
        <v>4010</v>
      </c>
      <c r="C285" s="38">
        <v>42.966000000000001</v>
      </c>
      <c r="D285" s="24">
        <f xml:space="preserve"> C285 / (24 * 'VRP Solver Console'!C11)</f>
        <v>2.9837499999999999E-2</v>
      </c>
    </row>
    <row r="286" spans="1:4" x14ac:dyDescent="0.25">
      <c r="A286" s="23" t="s">
        <v>4015</v>
      </c>
      <c r="B286" s="23" t="s">
        <v>4011</v>
      </c>
      <c r="C286" s="39">
        <v>43.764000000000003</v>
      </c>
      <c r="D286" s="25">
        <f xml:space="preserve"> C286 / (24 * 'VRP Solver Console'!C11)</f>
        <v>3.0391666666666668E-2</v>
      </c>
    </row>
    <row r="287" spans="1:4" x14ac:dyDescent="0.25">
      <c r="A287" s="23" t="s">
        <v>4015</v>
      </c>
      <c r="B287" s="23" t="s">
        <v>4012</v>
      </c>
      <c r="C287" s="38">
        <v>44.673000000000002</v>
      </c>
      <c r="D287" s="24">
        <f xml:space="preserve"> C287 / (24 * 'VRP Solver Console'!C11)</f>
        <v>3.1022916666666667E-2</v>
      </c>
    </row>
    <row r="288" spans="1:4" x14ac:dyDescent="0.25">
      <c r="A288" s="23" t="s">
        <v>4015</v>
      </c>
      <c r="B288" s="23" t="s">
        <v>4013</v>
      </c>
      <c r="C288" s="39">
        <v>41.737000000000002</v>
      </c>
      <c r="D288" s="25">
        <f xml:space="preserve"> C288 / (24 * 'VRP Solver Console'!C11)</f>
        <v>2.8984027777777779E-2</v>
      </c>
    </row>
    <row r="289" spans="1:4" x14ac:dyDescent="0.25">
      <c r="A289" s="23" t="s">
        <v>4015</v>
      </c>
      <c r="B289" s="23" t="s">
        <v>4014</v>
      </c>
      <c r="C289" s="38">
        <v>41.033999999999999</v>
      </c>
      <c r="D289" s="24">
        <f xml:space="preserve"> C289 / (24 * 'VRP Solver Console'!C11)</f>
        <v>2.8495833333333331E-2</v>
      </c>
    </row>
    <row r="290" spans="1:4" x14ac:dyDescent="0.25">
      <c r="A290" s="23" t="s">
        <v>4015</v>
      </c>
      <c r="B290" s="23" t="s">
        <v>4015</v>
      </c>
      <c r="C290" s="39">
        <v>0</v>
      </c>
      <c r="D290" s="25">
        <v>0</v>
      </c>
    </row>
    <row r="291" spans="1:4" x14ac:dyDescent="0.25">
      <c r="A291" s="23" t="s">
        <v>4015</v>
      </c>
      <c r="B291" s="23" t="s">
        <v>4016</v>
      </c>
      <c r="C291" s="38">
        <v>0</v>
      </c>
      <c r="D291" s="24">
        <f xml:space="preserve"> C291 / (24 * 'VRP Solver Console'!C11)</f>
        <v>0</v>
      </c>
    </row>
    <row r="292" spans="1:4" x14ac:dyDescent="0.25">
      <c r="A292" s="23" t="s">
        <v>4015</v>
      </c>
      <c r="B292" s="23" t="s">
        <v>4017</v>
      </c>
      <c r="C292" s="39">
        <v>0</v>
      </c>
      <c r="D292" s="25">
        <f xml:space="preserve"> C292 / (24 * 'VRP Solver Console'!C11)</f>
        <v>0</v>
      </c>
    </row>
    <row r="293" spans="1:4" x14ac:dyDescent="0.25">
      <c r="A293" s="23" t="s">
        <v>4015</v>
      </c>
      <c r="B293" s="23" t="s">
        <v>4018</v>
      </c>
      <c r="C293" s="38">
        <v>0</v>
      </c>
      <c r="D293" s="24">
        <f xml:space="preserve"> C293 / (24 * 'VRP Solver Console'!C11)</f>
        <v>0</v>
      </c>
    </row>
    <row r="294" spans="1:4" x14ac:dyDescent="0.25">
      <c r="A294" s="23" t="s">
        <v>4015</v>
      </c>
      <c r="B294" s="23" t="s">
        <v>4019</v>
      </c>
      <c r="C294" s="39">
        <v>39.487000000000002</v>
      </c>
      <c r="D294" s="25">
        <f xml:space="preserve"> C294 / (24 * 'VRP Solver Console'!C11)</f>
        <v>2.7421527777777781E-2</v>
      </c>
    </row>
    <row r="295" spans="1:4" x14ac:dyDescent="0.25">
      <c r="A295" s="23" t="s">
        <v>4015</v>
      </c>
      <c r="B295" s="23" t="s">
        <v>4020</v>
      </c>
      <c r="C295" s="38">
        <v>43.552999999999997</v>
      </c>
      <c r="D295" s="24">
        <f xml:space="preserve"> C295 / (24 * 'VRP Solver Console'!C11)</f>
        <v>3.0245138888888887E-2</v>
      </c>
    </row>
    <row r="296" spans="1:4" x14ac:dyDescent="0.25">
      <c r="A296" s="23" t="s">
        <v>4015</v>
      </c>
      <c r="B296" s="23" t="s">
        <v>4021</v>
      </c>
      <c r="C296" s="39">
        <v>43.893999999999998</v>
      </c>
      <c r="D296" s="25">
        <f xml:space="preserve"> C296 / (24 * 'VRP Solver Console'!C11)</f>
        <v>3.0481944444444443E-2</v>
      </c>
    </row>
    <row r="297" spans="1:4" x14ac:dyDescent="0.25">
      <c r="A297" s="23" t="s">
        <v>4015</v>
      </c>
      <c r="B297" s="23" t="s">
        <v>4022</v>
      </c>
      <c r="C297" s="38">
        <v>43.698</v>
      </c>
      <c r="D297" s="24">
        <f xml:space="preserve"> C297 / (24 * 'VRP Solver Console'!C11)</f>
        <v>3.0345833333333332E-2</v>
      </c>
    </row>
    <row r="298" spans="1:4" x14ac:dyDescent="0.25">
      <c r="A298" s="23" t="s">
        <v>4015</v>
      </c>
      <c r="B298" s="23" t="s">
        <v>4023</v>
      </c>
      <c r="C298" s="39">
        <v>41.365000000000002</v>
      </c>
      <c r="D298" s="25">
        <f xml:space="preserve"> C298 / (24 * 'VRP Solver Console'!C11)</f>
        <v>2.8725694444444446E-2</v>
      </c>
    </row>
    <row r="299" spans="1:4" x14ac:dyDescent="0.25">
      <c r="A299" s="23" t="s">
        <v>4015</v>
      </c>
      <c r="B299" s="23" t="s">
        <v>4024</v>
      </c>
      <c r="C299" s="38">
        <v>1.9790000000000001</v>
      </c>
      <c r="D299" s="24">
        <f xml:space="preserve"> C299 / (24 * 'VRP Solver Console'!C11)</f>
        <v>1.3743055555555557E-3</v>
      </c>
    </row>
    <row r="300" spans="1:4" x14ac:dyDescent="0.25">
      <c r="A300" s="23" t="s">
        <v>4015</v>
      </c>
      <c r="B300" s="23" t="s">
        <v>4003</v>
      </c>
      <c r="C300" s="39">
        <v>43.473999999999997</v>
      </c>
      <c r="D300" s="25">
        <f xml:space="preserve"> C300 / (24 * 'VRP Solver Console'!C11)</f>
        <v>3.0190277777777774E-2</v>
      </c>
    </row>
    <row r="301" spans="1:4" x14ac:dyDescent="0.25">
      <c r="A301" s="23" t="s">
        <v>4016</v>
      </c>
      <c r="B301" s="23" t="s">
        <v>4028</v>
      </c>
      <c r="C301" s="38">
        <v>42.319000000000003</v>
      </c>
      <c r="D301" s="24">
        <f xml:space="preserve"> C301 / (24 * 'VRP Solver Console'!C11)</f>
        <v>2.9388194444444446E-2</v>
      </c>
    </row>
    <row r="302" spans="1:4" x14ac:dyDescent="0.25">
      <c r="A302" s="23" t="s">
        <v>4016</v>
      </c>
      <c r="B302" s="23" t="s">
        <v>4004</v>
      </c>
      <c r="C302" s="39">
        <v>42.905999999999999</v>
      </c>
      <c r="D302" s="25">
        <f xml:space="preserve"> C302 / (24 * 'VRP Solver Console'!C11)</f>
        <v>2.9795833333333334E-2</v>
      </c>
    </row>
    <row r="303" spans="1:4" x14ac:dyDescent="0.25">
      <c r="A303" s="23" t="s">
        <v>4016</v>
      </c>
      <c r="B303" s="23" t="s">
        <v>4005</v>
      </c>
      <c r="C303" s="38">
        <v>42.683</v>
      </c>
      <c r="D303" s="24">
        <f xml:space="preserve"> C303 / (24 * 'VRP Solver Console'!C11)</f>
        <v>2.9640972222222221E-2</v>
      </c>
    </row>
    <row r="304" spans="1:4" x14ac:dyDescent="0.25">
      <c r="A304" s="23" t="s">
        <v>4016</v>
      </c>
      <c r="B304" s="23" t="s">
        <v>4006</v>
      </c>
      <c r="C304" s="39">
        <v>43.936999999999998</v>
      </c>
      <c r="D304" s="25">
        <f xml:space="preserve"> C304 / (24 * 'VRP Solver Console'!C11)</f>
        <v>3.0511805555555552E-2</v>
      </c>
    </row>
    <row r="305" spans="1:4" x14ac:dyDescent="0.25">
      <c r="A305" s="23" t="s">
        <v>4016</v>
      </c>
      <c r="B305" s="23" t="s">
        <v>4007</v>
      </c>
      <c r="C305" s="38">
        <v>43.143999999999998</v>
      </c>
      <c r="D305" s="24">
        <f xml:space="preserve"> C305 / (24 * 'VRP Solver Console'!C11)</f>
        <v>2.9961111111111109E-2</v>
      </c>
    </row>
    <row r="306" spans="1:4" x14ac:dyDescent="0.25">
      <c r="A306" s="23" t="s">
        <v>4016</v>
      </c>
      <c r="B306" s="23" t="s">
        <v>4008</v>
      </c>
      <c r="C306" s="39">
        <v>42.438000000000002</v>
      </c>
      <c r="D306" s="25">
        <f xml:space="preserve"> C306 / (24 * 'VRP Solver Console'!C11)</f>
        <v>2.9470833333333335E-2</v>
      </c>
    </row>
    <row r="307" spans="1:4" x14ac:dyDescent="0.25">
      <c r="A307" s="23" t="s">
        <v>4016</v>
      </c>
      <c r="B307" s="23" t="s">
        <v>4009</v>
      </c>
      <c r="C307" s="38">
        <v>42.905999999999999</v>
      </c>
      <c r="D307" s="24">
        <f xml:space="preserve"> C307 / (24 * 'VRP Solver Console'!C11)</f>
        <v>2.9795833333333334E-2</v>
      </c>
    </row>
    <row r="308" spans="1:4" x14ac:dyDescent="0.25">
      <c r="A308" s="23" t="s">
        <v>4016</v>
      </c>
      <c r="B308" s="23" t="s">
        <v>4010</v>
      </c>
      <c r="C308" s="39">
        <v>42.966000000000001</v>
      </c>
      <c r="D308" s="25">
        <f xml:space="preserve"> C308 / (24 * 'VRP Solver Console'!C11)</f>
        <v>2.9837499999999999E-2</v>
      </c>
    </row>
    <row r="309" spans="1:4" x14ac:dyDescent="0.25">
      <c r="A309" s="23" t="s">
        <v>4016</v>
      </c>
      <c r="B309" s="23" t="s">
        <v>4011</v>
      </c>
      <c r="C309" s="38">
        <v>43.764000000000003</v>
      </c>
      <c r="D309" s="24">
        <f xml:space="preserve"> C309 / (24 * 'VRP Solver Console'!C11)</f>
        <v>3.0391666666666668E-2</v>
      </c>
    </row>
    <row r="310" spans="1:4" x14ac:dyDescent="0.25">
      <c r="A310" s="23" t="s">
        <v>4016</v>
      </c>
      <c r="B310" s="23" t="s">
        <v>4012</v>
      </c>
      <c r="C310" s="39">
        <v>44.673000000000002</v>
      </c>
      <c r="D310" s="25">
        <f xml:space="preserve"> C310 / (24 * 'VRP Solver Console'!C11)</f>
        <v>3.1022916666666667E-2</v>
      </c>
    </row>
    <row r="311" spans="1:4" x14ac:dyDescent="0.25">
      <c r="A311" s="23" t="s">
        <v>4016</v>
      </c>
      <c r="B311" s="23" t="s">
        <v>4013</v>
      </c>
      <c r="C311" s="38">
        <v>41.737000000000002</v>
      </c>
      <c r="D311" s="24">
        <f xml:space="preserve"> C311 / (24 * 'VRP Solver Console'!C11)</f>
        <v>2.8984027777777779E-2</v>
      </c>
    </row>
    <row r="312" spans="1:4" x14ac:dyDescent="0.25">
      <c r="A312" s="23" t="s">
        <v>4016</v>
      </c>
      <c r="B312" s="23" t="s">
        <v>4014</v>
      </c>
      <c r="C312" s="39">
        <v>41.033999999999999</v>
      </c>
      <c r="D312" s="25">
        <f xml:space="preserve"> C312 / (24 * 'VRP Solver Console'!C11)</f>
        <v>2.8495833333333331E-2</v>
      </c>
    </row>
    <row r="313" spans="1:4" x14ac:dyDescent="0.25">
      <c r="A313" s="23" t="s">
        <v>4016</v>
      </c>
      <c r="B313" s="23" t="s">
        <v>4015</v>
      </c>
      <c r="C313" s="38">
        <v>0</v>
      </c>
      <c r="D313" s="24">
        <f xml:space="preserve"> C313 / (24 * 'VRP Solver Console'!C11)</f>
        <v>0</v>
      </c>
    </row>
    <row r="314" spans="1:4" x14ac:dyDescent="0.25">
      <c r="A314" s="23" t="s">
        <v>4016</v>
      </c>
      <c r="B314" s="23" t="s">
        <v>4016</v>
      </c>
      <c r="C314" s="39">
        <v>0</v>
      </c>
      <c r="D314" s="25">
        <v>0</v>
      </c>
    </row>
    <row r="315" spans="1:4" x14ac:dyDescent="0.25">
      <c r="A315" s="23" t="s">
        <v>4016</v>
      </c>
      <c r="B315" s="23" t="s">
        <v>4017</v>
      </c>
      <c r="C315" s="38">
        <v>0</v>
      </c>
      <c r="D315" s="24">
        <f xml:space="preserve"> C315 / (24 * 'VRP Solver Console'!C11)</f>
        <v>0</v>
      </c>
    </row>
    <row r="316" spans="1:4" x14ac:dyDescent="0.25">
      <c r="A316" s="23" t="s">
        <v>4016</v>
      </c>
      <c r="B316" s="23" t="s">
        <v>4018</v>
      </c>
      <c r="C316" s="39">
        <v>0</v>
      </c>
      <c r="D316" s="25">
        <f xml:space="preserve"> C316 / (24 * 'VRP Solver Console'!C11)</f>
        <v>0</v>
      </c>
    </row>
    <row r="317" spans="1:4" x14ac:dyDescent="0.25">
      <c r="A317" s="23" t="s">
        <v>4016</v>
      </c>
      <c r="B317" s="23" t="s">
        <v>4019</v>
      </c>
      <c r="C317" s="38">
        <v>39.487000000000002</v>
      </c>
      <c r="D317" s="24">
        <f xml:space="preserve"> C317 / (24 * 'VRP Solver Console'!C11)</f>
        <v>2.7421527777777781E-2</v>
      </c>
    </row>
    <row r="318" spans="1:4" x14ac:dyDescent="0.25">
      <c r="A318" s="23" t="s">
        <v>4016</v>
      </c>
      <c r="B318" s="23" t="s">
        <v>4020</v>
      </c>
      <c r="C318" s="39">
        <v>43.552999999999997</v>
      </c>
      <c r="D318" s="25">
        <f xml:space="preserve"> C318 / (24 * 'VRP Solver Console'!C11)</f>
        <v>3.0245138888888887E-2</v>
      </c>
    </row>
    <row r="319" spans="1:4" x14ac:dyDescent="0.25">
      <c r="A319" s="23" t="s">
        <v>4016</v>
      </c>
      <c r="B319" s="23" t="s">
        <v>4021</v>
      </c>
      <c r="C319" s="38">
        <v>43.893999999999998</v>
      </c>
      <c r="D319" s="24">
        <f xml:space="preserve"> C319 / (24 * 'VRP Solver Console'!C11)</f>
        <v>3.0481944444444443E-2</v>
      </c>
    </row>
    <row r="320" spans="1:4" x14ac:dyDescent="0.25">
      <c r="A320" s="23" t="s">
        <v>4016</v>
      </c>
      <c r="B320" s="23" t="s">
        <v>4022</v>
      </c>
      <c r="C320" s="39">
        <v>43.698</v>
      </c>
      <c r="D320" s="25">
        <f xml:space="preserve"> C320 / (24 * 'VRP Solver Console'!C11)</f>
        <v>3.0345833333333332E-2</v>
      </c>
    </row>
    <row r="321" spans="1:4" x14ac:dyDescent="0.25">
      <c r="A321" s="23" t="s">
        <v>4016</v>
      </c>
      <c r="B321" s="23" t="s">
        <v>4023</v>
      </c>
      <c r="C321" s="38">
        <v>41.365000000000002</v>
      </c>
      <c r="D321" s="24">
        <f xml:space="preserve"> C321 / (24 * 'VRP Solver Console'!C11)</f>
        <v>2.8725694444444446E-2</v>
      </c>
    </row>
    <row r="322" spans="1:4" x14ac:dyDescent="0.25">
      <c r="A322" s="23" t="s">
        <v>4016</v>
      </c>
      <c r="B322" s="23" t="s">
        <v>4024</v>
      </c>
      <c r="C322" s="39">
        <v>1.9790000000000001</v>
      </c>
      <c r="D322" s="25">
        <f xml:space="preserve"> C322 / (24 * 'VRP Solver Console'!C11)</f>
        <v>1.3743055555555557E-3</v>
      </c>
    </row>
    <row r="323" spans="1:4" x14ac:dyDescent="0.25">
      <c r="A323" s="23" t="s">
        <v>4016</v>
      </c>
      <c r="B323" s="23" t="s">
        <v>4003</v>
      </c>
      <c r="C323" s="38">
        <v>43.473999999999997</v>
      </c>
      <c r="D323" s="24">
        <f xml:space="preserve"> C323 / (24 * 'VRP Solver Console'!C11)</f>
        <v>3.0190277777777774E-2</v>
      </c>
    </row>
    <row r="324" spans="1:4" x14ac:dyDescent="0.25">
      <c r="A324" s="23" t="s">
        <v>4017</v>
      </c>
      <c r="B324" s="23" t="s">
        <v>4028</v>
      </c>
      <c r="C324" s="39">
        <v>42.319000000000003</v>
      </c>
      <c r="D324" s="25">
        <f xml:space="preserve"> C324 / (24 * 'VRP Solver Console'!C11)</f>
        <v>2.9388194444444446E-2</v>
      </c>
    </row>
    <row r="325" spans="1:4" x14ac:dyDescent="0.25">
      <c r="A325" s="23" t="s">
        <v>4017</v>
      </c>
      <c r="B325" s="23" t="s">
        <v>4004</v>
      </c>
      <c r="C325" s="38">
        <v>42.905999999999999</v>
      </c>
      <c r="D325" s="24">
        <f xml:space="preserve"> C325 / (24 * 'VRP Solver Console'!C11)</f>
        <v>2.9795833333333334E-2</v>
      </c>
    </row>
    <row r="326" spans="1:4" x14ac:dyDescent="0.25">
      <c r="A326" s="23" t="s">
        <v>4017</v>
      </c>
      <c r="B326" s="23" t="s">
        <v>4005</v>
      </c>
      <c r="C326" s="39">
        <v>42.683</v>
      </c>
      <c r="D326" s="25">
        <f xml:space="preserve"> C326 / (24 * 'VRP Solver Console'!C11)</f>
        <v>2.9640972222222221E-2</v>
      </c>
    </row>
    <row r="327" spans="1:4" x14ac:dyDescent="0.25">
      <c r="A327" s="23" t="s">
        <v>4017</v>
      </c>
      <c r="B327" s="23" t="s">
        <v>4006</v>
      </c>
      <c r="C327" s="38">
        <v>43.936999999999998</v>
      </c>
      <c r="D327" s="24">
        <f xml:space="preserve"> C327 / (24 * 'VRP Solver Console'!C11)</f>
        <v>3.0511805555555552E-2</v>
      </c>
    </row>
    <row r="328" spans="1:4" x14ac:dyDescent="0.25">
      <c r="A328" s="23" t="s">
        <v>4017</v>
      </c>
      <c r="B328" s="23" t="s">
        <v>4007</v>
      </c>
      <c r="C328" s="39">
        <v>43.143999999999998</v>
      </c>
      <c r="D328" s="25">
        <f xml:space="preserve"> C328 / (24 * 'VRP Solver Console'!C11)</f>
        <v>2.9961111111111109E-2</v>
      </c>
    </row>
    <row r="329" spans="1:4" x14ac:dyDescent="0.25">
      <c r="A329" s="23" t="s">
        <v>4017</v>
      </c>
      <c r="B329" s="23" t="s">
        <v>4008</v>
      </c>
      <c r="C329" s="38">
        <v>42.438000000000002</v>
      </c>
      <c r="D329" s="24">
        <f xml:space="preserve"> C329 / (24 * 'VRP Solver Console'!C11)</f>
        <v>2.9470833333333335E-2</v>
      </c>
    </row>
    <row r="330" spans="1:4" x14ac:dyDescent="0.25">
      <c r="A330" s="23" t="s">
        <v>4017</v>
      </c>
      <c r="B330" s="23" t="s">
        <v>4009</v>
      </c>
      <c r="C330" s="39">
        <v>42.905999999999999</v>
      </c>
      <c r="D330" s="25">
        <f xml:space="preserve"> C330 / (24 * 'VRP Solver Console'!C11)</f>
        <v>2.9795833333333334E-2</v>
      </c>
    </row>
    <row r="331" spans="1:4" x14ac:dyDescent="0.25">
      <c r="A331" s="23" t="s">
        <v>4017</v>
      </c>
      <c r="B331" s="23" t="s">
        <v>4010</v>
      </c>
      <c r="C331" s="38">
        <v>42.966000000000001</v>
      </c>
      <c r="D331" s="24">
        <f xml:space="preserve"> C331 / (24 * 'VRP Solver Console'!C11)</f>
        <v>2.9837499999999999E-2</v>
      </c>
    </row>
    <row r="332" spans="1:4" x14ac:dyDescent="0.25">
      <c r="A332" s="23" t="s">
        <v>4017</v>
      </c>
      <c r="B332" s="23" t="s">
        <v>4011</v>
      </c>
      <c r="C332" s="39">
        <v>43.764000000000003</v>
      </c>
      <c r="D332" s="25">
        <f xml:space="preserve"> C332 / (24 * 'VRP Solver Console'!C11)</f>
        <v>3.0391666666666668E-2</v>
      </c>
    </row>
    <row r="333" spans="1:4" x14ac:dyDescent="0.25">
      <c r="A333" s="23" t="s">
        <v>4017</v>
      </c>
      <c r="B333" s="23" t="s">
        <v>4012</v>
      </c>
      <c r="C333" s="38">
        <v>44.673000000000002</v>
      </c>
      <c r="D333" s="24">
        <f xml:space="preserve"> C333 / (24 * 'VRP Solver Console'!C11)</f>
        <v>3.1022916666666667E-2</v>
      </c>
    </row>
    <row r="334" spans="1:4" x14ac:dyDescent="0.25">
      <c r="A334" s="23" t="s">
        <v>4017</v>
      </c>
      <c r="B334" s="23" t="s">
        <v>4013</v>
      </c>
      <c r="C334" s="39">
        <v>41.737000000000002</v>
      </c>
      <c r="D334" s="25">
        <f xml:space="preserve"> C334 / (24 * 'VRP Solver Console'!C11)</f>
        <v>2.8984027777777779E-2</v>
      </c>
    </row>
    <row r="335" spans="1:4" x14ac:dyDescent="0.25">
      <c r="A335" s="23" t="s">
        <v>4017</v>
      </c>
      <c r="B335" s="23" t="s">
        <v>4014</v>
      </c>
      <c r="C335" s="38">
        <v>41.033999999999999</v>
      </c>
      <c r="D335" s="24">
        <f xml:space="preserve"> C335 / (24 * 'VRP Solver Console'!C11)</f>
        <v>2.8495833333333331E-2</v>
      </c>
    </row>
    <row r="336" spans="1:4" x14ac:dyDescent="0.25">
      <c r="A336" s="23" t="s">
        <v>4017</v>
      </c>
      <c r="B336" s="23" t="s">
        <v>4015</v>
      </c>
      <c r="C336" s="39">
        <v>0</v>
      </c>
      <c r="D336" s="25">
        <f xml:space="preserve"> C336 / (24 * 'VRP Solver Console'!C11)</f>
        <v>0</v>
      </c>
    </row>
    <row r="337" spans="1:4" x14ac:dyDescent="0.25">
      <c r="A337" s="23" t="s">
        <v>4017</v>
      </c>
      <c r="B337" s="23" t="s">
        <v>4016</v>
      </c>
      <c r="C337" s="38">
        <v>0</v>
      </c>
      <c r="D337" s="24">
        <f xml:space="preserve"> C337 / (24 * 'VRP Solver Console'!C11)</f>
        <v>0</v>
      </c>
    </row>
    <row r="338" spans="1:4" x14ac:dyDescent="0.25">
      <c r="A338" s="23" t="s">
        <v>4017</v>
      </c>
      <c r="B338" s="23" t="s">
        <v>4017</v>
      </c>
      <c r="C338" s="39">
        <v>0</v>
      </c>
      <c r="D338" s="25">
        <v>0</v>
      </c>
    </row>
    <row r="339" spans="1:4" x14ac:dyDescent="0.25">
      <c r="A339" s="23" t="s">
        <v>4017</v>
      </c>
      <c r="B339" s="23" t="s">
        <v>4018</v>
      </c>
      <c r="C339" s="38">
        <v>0</v>
      </c>
      <c r="D339" s="24">
        <f xml:space="preserve"> C339 / (24 * 'VRP Solver Console'!C11)</f>
        <v>0</v>
      </c>
    </row>
    <row r="340" spans="1:4" x14ac:dyDescent="0.25">
      <c r="A340" s="23" t="s">
        <v>4017</v>
      </c>
      <c r="B340" s="23" t="s">
        <v>4019</v>
      </c>
      <c r="C340" s="39">
        <v>39.487000000000002</v>
      </c>
      <c r="D340" s="25">
        <f xml:space="preserve"> C340 / (24 * 'VRP Solver Console'!C11)</f>
        <v>2.7421527777777781E-2</v>
      </c>
    </row>
    <row r="341" spans="1:4" x14ac:dyDescent="0.25">
      <c r="A341" s="23" t="s">
        <v>4017</v>
      </c>
      <c r="B341" s="23" t="s">
        <v>4020</v>
      </c>
      <c r="C341" s="38">
        <v>43.552999999999997</v>
      </c>
      <c r="D341" s="24">
        <f xml:space="preserve"> C341 / (24 * 'VRP Solver Console'!C11)</f>
        <v>3.0245138888888887E-2</v>
      </c>
    </row>
    <row r="342" spans="1:4" x14ac:dyDescent="0.25">
      <c r="A342" s="23" t="s">
        <v>4017</v>
      </c>
      <c r="B342" s="23" t="s">
        <v>4021</v>
      </c>
      <c r="C342" s="39">
        <v>43.893999999999998</v>
      </c>
      <c r="D342" s="25">
        <f xml:space="preserve"> C342 / (24 * 'VRP Solver Console'!C11)</f>
        <v>3.0481944444444443E-2</v>
      </c>
    </row>
    <row r="343" spans="1:4" x14ac:dyDescent="0.25">
      <c r="A343" s="23" t="s">
        <v>4017</v>
      </c>
      <c r="B343" s="23" t="s">
        <v>4022</v>
      </c>
      <c r="C343" s="38">
        <v>43.698</v>
      </c>
      <c r="D343" s="24">
        <f xml:space="preserve"> C343 / (24 * 'VRP Solver Console'!C11)</f>
        <v>3.0345833333333332E-2</v>
      </c>
    </row>
    <row r="344" spans="1:4" x14ac:dyDescent="0.25">
      <c r="A344" s="23" t="s">
        <v>4017</v>
      </c>
      <c r="B344" s="23" t="s">
        <v>4023</v>
      </c>
      <c r="C344" s="39">
        <v>41.365000000000002</v>
      </c>
      <c r="D344" s="25">
        <f xml:space="preserve"> C344 / (24 * 'VRP Solver Console'!C11)</f>
        <v>2.8725694444444446E-2</v>
      </c>
    </row>
    <row r="345" spans="1:4" x14ac:dyDescent="0.25">
      <c r="A345" s="23" t="s">
        <v>4017</v>
      </c>
      <c r="B345" s="23" t="s">
        <v>4024</v>
      </c>
      <c r="C345" s="38">
        <v>1.9790000000000001</v>
      </c>
      <c r="D345" s="24">
        <f xml:space="preserve"> C345 / (24 * 'VRP Solver Console'!C11)</f>
        <v>1.3743055555555557E-3</v>
      </c>
    </row>
    <row r="346" spans="1:4" x14ac:dyDescent="0.25">
      <c r="A346" s="23" t="s">
        <v>4017</v>
      </c>
      <c r="B346" s="23" t="s">
        <v>4003</v>
      </c>
      <c r="C346" s="39">
        <v>43.473999999999997</v>
      </c>
      <c r="D346" s="25">
        <f xml:space="preserve"> C346 / (24 * 'VRP Solver Console'!C11)</f>
        <v>3.0190277777777774E-2</v>
      </c>
    </row>
    <row r="347" spans="1:4" x14ac:dyDescent="0.25">
      <c r="A347" s="23" t="s">
        <v>4018</v>
      </c>
      <c r="B347" s="23" t="s">
        <v>4028</v>
      </c>
      <c r="C347" s="38">
        <v>42.319000000000003</v>
      </c>
      <c r="D347" s="24">
        <f xml:space="preserve"> C347 / (24 * 'VRP Solver Console'!C11)</f>
        <v>2.9388194444444446E-2</v>
      </c>
    </row>
    <row r="348" spans="1:4" x14ac:dyDescent="0.25">
      <c r="A348" s="23" t="s">
        <v>4018</v>
      </c>
      <c r="B348" s="23" t="s">
        <v>4004</v>
      </c>
      <c r="C348" s="39">
        <v>42.905999999999999</v>
      </c>
      <c r="D348" s="25">
        <f xml:space="preserve"> C348 / (24 * 'VRP Solver Console'!C11)</f>
        <v>2.9795833333333334E-2</v>
      </c>
    </row>
    <row r="349" spans="1:4" x14ac:dyDescent="0.25">
      <c r="A349" s="23" t="s">
        <v>4018</v>
      </c>
      <c r="B349" s="23" t="s">
        <v>4005</v>
      </c>
      <c r="C349" s="38">
        <v>42.683</v>
      </c>
      <c r="D349" s="24">
        <f xml:space="preserve"> C349 / (24 * 'VRP Solver Console'!C11)</f>
        <v>2.9640972222222221E-2</v>
      </c>
    </row>
    <row r="350" spans="1:4" x14ac:dyDescent="0.25">
      <c r="A350" s="23" t="s">
        <v>4018</v>
      </c>
      <c r="B350" s="23" t="s">
        <v>4006</v>
      </c>
      <c r="C350" s="39">
        <v>43.936999999999998</v>
      </c>
      <c r="D350" s="25">
        <f xml:space="preserve"> C350 / (24 * 'VRP Solver Console'!C11)</f>
        <v>3.0511805555555552E-2</v>
      </c>
    </row>
    <row r="351" spans="1:4" x14ac:dyDescent="0.25">
      <c r="A351" s="23" t="s">
        <v>4018</v>
      </c>
      <c r="B351" s="23" t="s">
        <v>4007</v>
      </c>
      <c r="C351" s="38">
        <v>43.143999999999998</v>
      </c>
      <c r="D351" s="24">
        <f xml:space="preserve"> C351 / (24 * 'VRP Solver Console'!C11)</f>
        <v>2.9961111111111109E-2</v>
      </c>
    </row>
    <row r="352" spans="1:4" x14ac:dyDescent="0.25">
      <c r="A352" s="23" t="s">
        <v>4018</v>
      </c>
      <c r="B352" s="23" t="s">
        <v>4008</v>
      </c>
      <c r="C352" s="39">
        <v>42.438000000000002</v>
      </c>
      <c r="D352" s="25">
        <f xml:space="preserve"> C352 / (24 * 'VRP Solver Console'!C11)</f>
        <v>2.9470833333333335E-2</v>
      </c>
    </row>
    <row r="353" spans="1:4" x14ac:dyDescent="0.25">
      <c r="A353" s="23" t="s">
        <v>4018</v>
      </c>
      <c r="B353" s="23" t="s">
        <v>4009</v>
      </c>
      <c r="C353" s="38">
        <v>42.905999999999999</v>
      </c>
      <c r="D353" s="24">
        <f xml:space="preserve"> C353 / (24 * 'VRP Solver Console'!C11)</f>
        <v>2.9795833333333334E-2</v>
      </c>
    </row>
    <row r="354" spans="1:4" x14ac:dyDescent="0.25">
      <c r="A354" s="23" t="s">
        <v>4018</v>
      </c>
      <c r="B354" s="23" t="s">
        <v>4010</v>
      </c>
      <c r="C354" s="39">
        <v>42.966000000000001</v>
      </c>
      <c r="D354" s="25">
        <f xml:space="preserve"> C354 / (24 * 'VRP Solver Console'!C11)</f>
        <v>2.9837499999999999E-2</v>
      </c>
    </row>
    <row r="355" spans="1:4" x14ac:dyDescent="0.25">
      <c r="A355" s="23" t="s">
        <v>4018</v>
      </c>
      <c r="B355" s="23" t="s">
        <v>4011</v>
      </c>
      <c r="C355" s="38">
        <v>43.764000000000003</v>
      </c>
      <c r="D355" s="24">
        <f xml:space="preserve"> C355 / (24 * 'VRP Solver Console'!C11)</f>
        <v>3.0391666666666668E-2</v>
      </c>
    </row>
    <row r="356" spans="1:4" x14ac:dyDescent="0.25">
      <c r="A356" s="23" t="s">
        <v>4018</v>
      </c>
      <c r="B356" s="23" t="s">
        <v>4012</v>
      </c>
      <c r="C356" s="39">
        <v>44.673000000000002</v>
      </c>
      <c r="D356" s="25">
        <f xml:space="preserve"> C356 / (24 * 'VRP Solver Console'!C11)</f>
        <v>3.1022916666666667E-2</v>
      </c>
    </row>
    <row r="357" spans="1:4" x14ac:dyDescent="0.25">
      <c r="A357" s="23" t="s">
        <v>4018</v>
      </c>
      <c r="B357" s="23" t="s">
        <v>4013</v>
      </c>
      <c r="C357" s="38">
        <v>41.737000000000002</v>
      </c>
      <c r="D357" s="24">
        <f xml:space="preserve"> C357 / (24 * 'VRP Solver Console'!C11)</f>
        <v>2.8984027777777779E-2</v>
      </c>
    </row>
    <row r="358" spans="1:4" x14ac:dyDescent="0.25">
      <c r="A358" s="23" t="s">
        <v>4018</v>
      </c>
      <c r="B358" s="23" t="s">
        <v>4014</v>
      </c>
      <c r="C358" s="39">
        <v>41.033999999999999</v>
      </c>
      <c r="D358" s="25">
        <f xml:space="preserve"> C358 / (24 * 'VRP Solver Console'!C11)</f>
        <v>2.8495833333333331E-2</v>
      </c>
    </row>
    <row r="359" spans="1:4" x14ac:dyDescent="0.25">
      <c r="A359" s="23" t="s">
        <v>4018</v>
      </c>
      <c r="B359" s="23" t="s">
        <v>4015</v>
      </c>
      <c r="C359" s="38">
        <v>0</v>
      </c>
      <c r="D359" s="24">
        <f xml:space="preserve"> C359 / (24 * 'VRP Solver Console'!C11)</f>
        <v>0</v>
      </c>
    </row>
    <row r="360" spans="1:4" x14ac:dyDescent="0.25">
      <c r="A360" s="23" t="s">
        <v>4018</v>
      </c>
      <c r="B360" s="23" t="s">
        <v>4016</v>
      </c>
      <c r="C360" s="39">
        <v>0</v>
      </c>
      <c r="D360" s="25">
        <f xml:space="preserve"> C360 / (24 * 'VRP Solver Console'!C11)</f>
        <v>0</v>
      </c>
    </row>
    <row r="361" spans="1:4" x14ac:dyDescent="0.25">
      <c r="A361" s="23" t="s">
        <v>4018</v>
      </c>
      <c r="B361" s="23" t="s">
        <v>4017</v>
      </c>
      <c r="C361" s="38">
        <v>0</v>
      </c>
      <c r="D361" s="24">
        <f xml:space="preserve"> C361 / (24 * 'VRP Solver Console'!C11)</f>
        <v>0</v>
      </c>
    </row>
    <row r="362" spans="1:4" x14ac:dyDescent="0.25">
      <c r="A362" s="23" t="s">
        <v>4018</v>
      </c>
      <c r="B362" s="23" t="s">
        <v>4018</v>
      </c>
      <c r="C362" s="39">
        <v>0</v>
      </c>
      <c r="D362" s="25">
        <v>0</v>
      </c>
    </row>
    <row r="363" spans="1:4" x14ac:dyDescent="0.25">
      <c r="A363" s="23" t="s">
        <v>4018</v>
      </c>
      <c r="B363" s="23" t="s">
        <v>4019</v>
      </c>
      <c r="C363" s="38">
        <v>39.487000000000002</v>
      </c>
      <c r="D363" s="24">
        <f xml:space="preserve"> C363 / (24 * 'VRP Solver Console'!C11)</f>
        <v>2.7421527777777781E-2</v>
      </c>
    </row>
    <row r="364" spans="1:4" x14ac:dyDescent="0.25">
      <c r="A364" s="23" t="s">
        <v>4018</v>
      </c>
      <c r="B364" s="23" t="s">
        <v>4020</v>
      </c>
      <c r="C364" s="39">
        <v>43.552999999999997</v>
      </c>
      <c r="D364" s="25">
        <f xml:space="preserve"> C364 / (24 * 'VRP Solver Console'!C11)</f>
        <v>3.0245138888888887E-2</v>
      </c>
    </row>
    <row r="365" spans="1:4" x14ac:dyDescent="0.25">
      <c r="A365" s="23" t="s">
        <v>4018</v>
      </c>
      <c r="B365" s="23" t="s">
        <v>4021</v>
      </c>
      <c r="C365" s="38">
        <v>43.893999999999998</v>
      </c>
      <c r="D365" s="24">
        <f xml:space="preserve"> C365 / (24 * 'VRP Solver Console'!C11)</f>
        <v>3.0481944444444443E-2</v>
      </c>
    </row>
    <row r="366" spans="1:4" x14ac:dyDescent="0.25">
      <c r="A366" s="23" t="s">
        <v>4018</v>
      </c>
      <c r="B366" s="23" t="s">
        <v>4022</v>
      </c>
      <c r="C366" s="39">
        <v>43.698</v>
      </c>
      <c r="D366" s="25">
        <f xml:space="preserve"> C366 / (24 * 'VRP Solver Console'!C11)</f>
        <v>3.0345833333333332E-2</v>
      </c>
    </row>
    <row r="367" spans="1:4" x14ac:dyDescent="0.25">
      <c r="A367" s="23" t="s">
        <v>4018</v>
      </c>
      <c r="B367" s="23" t="s">
        <v>4023</v>
      </c>
      <c r="C367" s="38">
        <v>41.365000000000002</v>
      </c>
      <c r="D367" s="24">
        <f xml:space="preserve"> C367 / (24 * 'VRP Solver Console'!C11)</f>
        <v>2.8725694444444446E-2</v>
      </c>
    </row>
    <row r="368" spans="1:4" x14ac:dyDescent="0.25">
      <c r="A368" s="23" t="s">
        <v>4018</v>
      </c>
      <c r="B368" s="23" t="s">
        <v>4024</v>
      </c>
      <c r="C368" s="39">
        <v>1.9790000000000001</v>
      </c>
      <c r="D368" s="25">
        <f xml:space="preserve"> C368 / (24 * 'VRP Solver Console'!C11)</f>
        <v>1.3743055555555557E-3</v>
      </c>
    </row>
    <row r="369" spans="1:4" x14ac:dyDescent="0.25">
      <c r="A369" s="23" t="s">
        <v>4018</v>
      </c>
      <c r="B369" s="23" t="s">
        <v>4003</v>
      </c>
      <c r="C369" s="38">
        <v>43.473999999999997</v>
      </c>
      <c r="D369" s="24">
        <f xml:space="preserve"> C369 / (24 * 'VRP Solver Console'!C11)</f>
        <v>3.0190277777777774E-2</v>
      </c>
    </row>
    <row r="370" spans="1:4" x14ac:dyDescent="0.25">
      <c r="A370" s="23" t="s">
        <v>4019</v>
      </c>
      <c r="B370" s="23" t="s">
        <v>4028</v>
      </c>
      <c r="C370" s="39">
        <v>3.2549999999999999</v>
      </c>
      <c r="D370" s="25">
        <f xml:space="preserve"> C370 / (24 * 'VRP Solver Console'!C11)</f>
        <v>2.2604166666666667E-3</v>
      </c>
    </row>
    <row r="371" spans="1:4" x14ac:dyDescent="0.25">
      <c r="A371" s="23" t="s">
        <v>4019</v>
      </c>
      <c r="B371" s="23" t="s">
        <v>4004</v>
      </c>
      <c r="C371" s="38">
        <v>3.8420000000000001</v>
      </c>
      <c r="D371" s="24">
        <f xml:space="preserve"> C371 / (24 * 'VRP Solver Console'!C11)</f>
        <v>2.6680555555555555E-3</v>
      </c>
    </row>
    <row r="372" spans="1:4" x14ac:dyDescent="0.25">
      <c r="A372" s="23" t="s">
        <v>4019</v>
      </c>
      <c r="B372" s="23" t="s">
        <v>4005</v>
      </c>
      <c r="C372" s="39">
        <v>3.6190000000000002</v>
      </c>
      <c r="D372" s="25">
        <f xml:space="preserve"> C372 / (24 * 'VRP Solver Console'!C11)</f>
        <v>2.5131944444444446E-3</v>
      </c>
    </row>
    <row r="373" spans="1:4" x14ac:dyDescent="0.25">
      <c r="A373" s="23" t="s">
        <v>4019</v>
      </c>
      <c r="B373" s="23" t="s">
        <v>4006</v>
      </c>
      <c r="C373" s="38">
        <v>4.8730000000000002</v>
      </c>
      <c r="D373" s="24">
        <f xml:space="preserve"> C373 / (24 * 'VRP Solver Console'!C11)</f>
        <v>3.3840277777777779E-3</v>
      </c>
    </row>
    <row r="374" spans="1:4" x14ac:dyDescent="0.25">
      <c r="A374" s="23" t="s">
        <v>4019</v>
      </c>
      <c r="B374" s="23" t="s">
        <v>4007</v>
      </c>
      <c r="C374" s="39">
        <v>4.08</v>
      </c>
      <c r="D374" s="25">
        <f xml:space="preserve"> C374 / (24 * 'VRP Solver Console'!C11)</f>
        <v>2.8333333333333335E-3</v>
      </c>
    </row>
    <row r="375" spans="1:4" x14ac:dyDescent="0.25">
      <c r="A375" s="23" t="s">
        <v>4019</v>
      </c>
      <c r="B375" s="23" t="s">
        <v>4008</v>
      </c>
      <c r="C375" s="38">
        <v>3.3740000000000001</v>
      </c>
      <c r="D375" s="24">
        <f xml:space="preserve"> C375 / (24 * 'VRP Solver Console'!C11)</f>
        <v>2.3430555555555557E-3</v>
      </c>
    </row>
    <row r="376" spans="1:4" x14ac:dyDescent="0.25">
      <c r="A376" s="23" t="s">
        <v>4019</v>
      </c>
      <c r="B376" s="23" t="s">
        <v>4009</v>
      </c>
      <c r="C376" s="39">
        <v>3.8420000000000001</v>
      </c>
      <c r="D376" s="25">
        <f xml:space="preserve"> C376 / (24 * 'VRP Solver Console'!C11)</f>
        <v>2.6680555555555555E-3</v>
      </c>
    </row>
    <row r="377" spans="1:4" x14ac:dyDescent="0.25">
      <c r="A377" s="23" t="s">
        <v>4019</v>
      </c>
      <c r="B377" s="23" t="s">
        <v>4010</v>
      </c>
      <c r="C377" s="38">
        <v>3.9020000000000001</v>
      </c>
      <c r="D377" s="24">
        <f xml:space="preserve"> C377 / (24 * 'VRP Solver Console'!C11)</f>
        <v>2.7097222222222223E-3</v>
      </c>
    </row>
    <row r="378" spans="1:4" x14ac:dyDescent="0.25">
      <c r="A378" s="23" t="s">
        <v>4019</v>
      </c>
      <c r="B378" s="23" t="s">
        <v>4011</v>
      </c>
      <c r="C378" s="39">
        <v>4.7</v>
      </c>
      <c r="D378" s="25">
        <f xml:space="preserve"> C378 / (24 * 'VRP Solver Console'!C11)</f>
        <v>3.2638888888888891E-3</v>
      </c>
    </row>
    <row r="379" spans="1:4" x14ac:dyDescent="0.25">
      <c r="A379" s="23" t="s">
        <v>4019</v>
      </c>
      <c r="B379" s="23" t="s">
        <v>4012</v>
      </c>
      <c r="C379" s="38">
        <v>5.609</v>
      </c>
      <c r="D379" s="24">
        <f xml:space="preserve"> C379 / (24 * 'VRP Solver Console'!C11)</f>
        <v>3.895138888888889E-3</v>
      </c>
    </row>
    <row r="380" spans="1:4" x14ac:dyDescent="0.25">
      <c r="A380" s="23" t="s">
        <v>4019</v>
      </c>
      <c r="B380" s="23" t="s">
        <v>4013</v>
      </c>
      <c r="C380" s="39">
        <v>2.673</v>
      </c>
      <c r="D380" s="25">
        <f xml:space="preserve"> C380 / (24 * 'VRP Solver Console'!C11)</f>
        <v>1.85625E-3</v>
      </c>
    </row>
    <row r="381" spans="1:4" x14ac:dyDescent="0.25">
      <c r="A381" s="23" t="s">
        <v>4019</v>
      </c>
      <c r="B381" s="23" t="s">
        <v>4014</v>
      </c>
      <c r="C381" s="38">
        <v>1.97</v>
      </c>
      <c r="D381" s="24">
        <f xml:space="preserve"> C381 / (24 * 'VRP Solver Console'!C11)</f>
        <v>1.3680555555555555E-3</v>
      </c>
    </row>
    <row r="382" spans="1:4" x14ac:dyDescent="0.25">
      <c r="A382" s="23" t="s">
        <v>4019</v>
      </c>
      <c r="B382" s="23" t="s">
        <v>4015</v>
      </c>
      <c r="C382" s="39">
        <v>39.246000000000002</v>
      </c>
      <c r="D382" s="25">
        <f xml:space="preserve"> C382 / (24 * 'VRP Solver Console'!C11)</f>
        <v>2.725416666666667E-2</v>
      </c>
    </row>
    <row r="383" spans="1:4" x14ac:dyDescent="0.25">
      <c r="A383" s="23" t="s">
        <v>4019</v>
      </c>
      <c r="B383" s="23" t="s">
        <v>4016</v>
      </c>
      <c r="C383" s="38">
        <v>39.246000000000002</v>
      </c>
      <c r="D383" s="24">
        <f xml:space="preserve"> C383 / (24 * 'VRP Solver Console'!C11)</f>
        <v>2.725416666666667E-2</v>
      </c>
    </row>
    <row r="384" spans="1:4" x14ac:dyDescent="0.25">
      <c r="A384" s="23" t="s">
        <v>4019</v>
      </c>
      <c r="B384" s="23" t="s">
        <v>4017</v>
      </c>
      <c r="C384" s="39">
        <v>39.246000000000002</v>
      </c>
      <c r="D384" s="25">
        <f xml:space="preserve"> C384 / (24 * 'VRP Solver Console'!C11)</f>
        <v>2.725416666666667E-2</v>
      </c>
    </row>
    <row r="385" spans="1:4" x14ac:dyDescent="0.25">
      <c r="A385" s="23" t="s">
        <v>4019</v>
      </c>
      <c r="B385" s="23" t="s">
        <v>4018</v>
      </c>
      <c r="C385" s="38">
        <v>39.246000000000002</v>
      </c>
      <c r="D385" s="24">
        <f xml:space="preserve"> C385 / (24 * 'VRP Solver Console'!C11)</f>
        <v>2.725416666666667E-2</v>
      </c>
    </row>
    <row r="386" spans="1:4" x14ac:dyDescent="0.25">
      <c r="A386" s="23" t="s">
        <v>4019</v>
      </c>
      <c r="B386" s="23" t="s">
        <v>4019</v>
      </c>
      <c r="C386" s="39">
        <v>0</v>
      </c>
      <c r="D386" s="25">
        <v>0</v>
      </c>
    </row>
    <row r="387" spans="1:4" x14ac:dyDescent="0.25">
      <c r="A387" s="23" t="s">
        <v>4019</v>
      </c>
      <c r="B387" s="23" t="s">
        <v>4020</v>
      </c>
      <c r="C387" s="38">
        <v>4.4889999999999999</v>
      </c>
      <c r="D387" s="24">
        <f xml:space="preserve"> C387 / (24 * 'VRP Solver Console'!C11)</f>
        <v>3.1173611111111111E-3</v>
      </c>
    </row>
    <row r="388" spans="1:4" x14ac:dyDescent="0.25">
      <c r="A388" s="23" t="s">
        <v>4019</v>
      </c>
      <c r="B388" s="23" t="s">
        <v>4021</v>
      </c>
      <c r="C388" s="39">
        <v>4.83</v>
      </c>
      <c r="D388" s="25">
        <f xml:space="preserve"> C388 / (24 * 'VRP Solver Console'!C11)</f>
        <v>3.3541666666666668E-3</v>
      </c>
    </row>
    <row r="389" spans="1:4" x14ac:dyDescent="0.25">
      <c r="A389" s="23" t="s">
        <v>4019</v>
      </c>
      <c r="B389" s="23" t="s">
        <v>4022</v>
      </c>
      <c r="C389" s="38">
        <v>4.6340000000000003</v>
      </c>
      <c r="D389" s="24">
        <f xml:space="preserve"> C389 / (24 * 'VRP Solver Console'!C11)</f>
        <v>3.2180555555555556E-3</v>
      </c>
    </row>
    <row r="390" spans="1:4" x14ac:dyDescent="0.25">
      <c r="A390" s="23" t="s">
        <v>4019</v>
      </c>
      <c r="B390" s="23" t="s">
        <v>4023</v>
      </c>
      <c r="C390" s="39">
        <v>2.3010000000000002</v>
      </c>
      <c r="D390" s="25">
        <f xml:space="preserve"> C390 / (24 * 'VRP Solver Console'!C11)</f>
        <v>1.5979166666666668E-3</v>
      </c>
    </row>
    <row r="391" spans="1:4" x14ac:dyDescent="0.25">
      <c r="A391" s="23" t="s">
        <v>4019</v>
      </c>
      <c r="B391" s="23" t="s">
        <v>4024</v>
      </c>
      <c r="C391" s="38">
        <v>37.173999999999999</v>
      </c>
      <c r="D391" s="24">
        <f xml:space="preserve"> C391 / (24 * 'VRP Solver Console'!C11)</f>
        <v>2.5815277777777777E-2</v>
      </c>
    </row>
    <row r="392" spans="1:4" x14ac:dyDescent="0.25">
      <c r="A392" s="23" t="s">
        <v>4019</v>
      </c>
      <c r="B392" s="23" t="s">
        <v>4003</v>
      </c>
      <c r="C392" s="39">
        <v>4.41</v>
      </c>
      <c r="D392" s="25">
        <f xml:space="preserve"> C392 / (24 * 'VRP Solver Console'!C11)</f>
        <v>3.0625000000000001E-3</v>
      </c>
    </row>
    <row r="393" spans="1:4" x14ac:dyDescent="0.25">
      <c r="A393" s="23" t="s">
        <v>4020</v>
      </c>
      <c r="B393" s="23" t="s">
        <v>4028</v>
      </c>
      <c r="C393" s="38">
        <v>1.3360000000000001</v>
      </c>
      <c r="D393" s="24">
        <f xml:space="preserve"> C393 / (24 * 'VRP Solver Console'!C11)</f>
        <v>9.277777777777778E-4</v>
      </c>
    </row>
    <row r="394" spans="1:4" x14ac:dyDescent="0.25">
      <c r="A394" s="23" t="s">
        <v>4020</v>
      </c>
      <c r="B394" s="23" t="s">
        <v>4004</v>
      </c>
      <c r="C394" s="39">
        <v>0.93400000000000005</v>
      </c>
      <c r="D394" s="25">
        <f xml:space="preserve"> C394 / (24 * 'VRP Solver Console'!C11)</f>
        <v>6.486111111111112E-4</v>
      </c>
    </row>
    <row r="395" spans="1:4" x14ac:dyDescent="0.25">
      <c r="A395" s="23" t="s">
        <v>4020</v>
      </c>
      <c r="B395" s="23" t="s">
        <v>4005</v>
      </c>
      <c r="C395" s="38">
        <v>1.766</v>
      </c>
      <c r="D395" s="24">
        <f xml:space="preserve"> C395 / (24 * 'VRP Solver Console'!C11)</f>
        <v>1.2263888888888888E-3</v>
      </c>
    </row>
    <row r="396" spans="1:4" x14ac:dyDescent="0.25">
      <c r="A396" s="23" t="s">
        <v>4020</v>
      </c>
      <c r="B396" s="23" t="s">
        <v>4006</v>
      </c>
      <c r="C396" s="39">
        <v>0.84899999999999998</v>
      </c>
      <c r="D396" s="25">
        <f xml:space="preserve"> C396 / (24 * 'VRP Solver Console'!C11)</f>
        <v>5.8958333333333334E-4</v>
      </c>
    </row>
    <row r="397" spans="1:4" x14ac:dyDescent="0.25">
      <c r="A397" s="23" t="s">
        <v>4020</v>
      </c>
      <c r="B397" s="23" t="s">
        <v>4007</v>
      </c>
      <c r="C397" s="38">
        <v>2.911</v>
      </c>
      <c r="D397" s="24">
        <f xml:space="preserve"> C397 / (24 * 'VRP Solver Console'!C11)</f>
        <v>2.0215277777777779E-3</v>
      </c>
    </row>
    <row r="398" spans="1:4" x14ac:dyDescent="0.25">
      <c r="A398" s="23" t="s">
        <v>4020</v>
      </c>
      <c r="B398" s="23" t="s">
        <v>4008</v>
      </c>
      <c r="C398" s="39">
        <v>1.4790000000000001</v>
      </c>
      <c r="D398" s="25">
        <f xml:space="preserve"> C398 / (24 * 'VRP Solver Console'!C11)</f>
        <v>1.0270833333333334E-3</v>
      </c>
    </row>
    <row r="399" spans="1:4" x14ac:dyDescent="0.25">
      <c r="A399" s="23" t="s">
        <v>4020</v>
      </c>
      <c r="B399" s="23" t="s">
        <v>4009</v>
      </c>
      <c r="C399" s="38">
        <v>0.93400000000000005</v>
      </c>
      <c r="D399" s="24">
        <f xml:space="preserve"> C399 / (24 * 'VRP Solver Console'!C11)</f>
        <v>6.486111111111112E-4</v>
      </c>
    </row>
    <row r="400" spans="1:4" x14ac:dyDescent="0.25">
      <c r="A400" s="23" t="s">
        <v>4020</v>
      </c>
      <c r="B400" s="23" t="s">
        <v>4010</v>
      </c>
      <c r="C400" s="39">
        <v>0.36599999999999999</v>
      </c>
      <c r="D400" s="25">
        <f xml:space="preserve"> C400 / (24 * 'VRP Solver Console'!C11)</f>
        <v>2.5416666666666665E-4</v>
      </c>
    </row>
    <row r="401" spans="1:4" x14ac:dyDescent="0.25">
      <c r="A401" s="23" t="s">
        <v>4020</v>
      </c>
      <c r="B401" s="23" t="s">
        <v>4011</v>
      </c>
      <c r="C401" s="38">
        <v>0.621</v>
      </c>
      <c r="D401" s="24">
        <f xml:space="preserve"> C401 / (24 * 'VRP Solver Console'!C11)</f>
        <v>4.3124999999999999E-4</v>
      </c>
    </row>
    <row r="402" spans="1:4" x14ac:dyDescent="0.25">
      <c r="A402" s="23" t="s">
        <v>4020</v>
      </c>
      <c r="B402" s="23" t="s">
        <v>4012</v>
      </c>
      <c r="C402" s="39">
        <v>1.968</v>
      </c>
      <c r="D402" s="25">
        <f xml:space="preserve"> C402 / (24 * 'VRP Solver Console'!C11)</f>
        <v>1.3666666666666666E-3</v>
      </c>
    </row>
    <row r="403" spans="1:4" x14ac:dyDescent="0.25">
      <c r="A403" s="23" t="s">
        <v>4020</v>
      </c>
      <c r="B403" s="23" t="s">
        <v>4013</v>
      </c>
      <c r="C403" s="38">
        <v>3.0409999999999999</v>
      </c>
      <c r="D403" s="24">
        <f xml:space="preserve"> C403 / (24 * 'VRP Solver Console'!C11)</f>
        <v>2.1118055555555556E-3</v>
      </c>
    </row>
    <row r="404" spans="1:4" x14ac:dyDescent="0.25">
      <c r="A404" s="23" t="s">
        <v>4020</v>
      </c>
      <c r="B404" s="23" t="s">
        <v>4014</v>
      </c>
      <c r="C404" s="39">
        <v>3.024</v>
      </c>
      <c r="D404" s="25">
        <f xml:space="preserve"> C404 / (24 * 'VRP Solver Console'!C11)</f>
        <v>2.0999999999999999E-3</v>
      </c>
    </row>
    <row r="405" spans="1:4" x14ac:dyDescent="0.25">
      <c r="A405" s="23" t="s">
        <v>4020</v>
      </c>
      <c r="B405" s="23" t="s">
        <v>4015</v>
      </c>
      <c r="C405" s="38">
        <v>44.137999999999998</v>
      </c>
      <c r="D405" s="24">
        <f xml:space="preserve"> C405 / (24 * 'VRP Solver Console'!C11)</f>
        <v>3.0651388888888888E-2</v>
      </c>
    </row>
    <row r="406" spans="1:4" x14ac:dyDescent="0.25">
      <c r="A406" s="23" t="s">
        <v>4020</v>
      </c>
      <c r="B406" s="23" t="s">
        <v>4016</v>
      </c>
      <c r="C406" s="39">
        <v>44.137999999999998</v>
      </c>
      <c r="D406" s="25">
        <f xml:space="preserve"> C406 / (24 * 'VRP Solver Console'!C11)</f>
        <v>3.0651388888888888E-2</v>
      </c>
    </row>
    <row r="407" spans="1:4" x14ac:dyDescent="0.25">
      <c r="A407" s="23" t="s">
        <v>4020</v>
      </c>
      <c r="B407" s="23" t="s">
        <v>4017</v>
      </c>
      <c r="C407" s="38">
        <v>44.137999999999998</v>
      </c>
      <c r="D407" s="24">
        <f xml:space="preserve"> C407 / (24 * 'VRP Solver Console'!C11)</f>
        <v>3.0651388888888888E-2</v>
      </c>
    </row>
    <row r="408" spans="1:4" x14ac:dyDescent="0.25">
      <c r="A408" s="23" t="s">
        <v>4020</v>
      </c>
      <c r="B408" s="23" t="s">
        <v>4018</v>
      </c>
      <c r="C408" s="39">
        <v>44.137999999999998</v>
      </c>
      <c r="D408" s="25">
        <f xml:space="preserve"> C408 / (24 * 'VRP Solver Console'!C11)</f>
        <v>3.0651388888888888E-2</v>
      </c>
    </row>
    <row r="409" spans="1:4" x14ac:dyDescent="0.25">
      <c r="A409" s="23" t="s">
        <v>4020</v>
      </c>
      <c r="B409" s="23" t="s">
        <v>4019</v>
      </c>
      <c r="C409" s="38">
        <v>5.2649999999999997</v>
      </c>
      <c r="D409" s="24">
        <f xml:space="preserve"> C409 / (24 * 'VRP Solver Console'!C11)</f>
        <v>3.6562499999999998E-3</v>
      </c>
    </row>
    <row r="410" spans="1:4" x14ac:dyDescent="0.25">
      <c r="A410" s="23" t="s">
        <v>4020</v>
      </c>
      <c r="B410" s="23" t="s">
        <v>4020</v>
      </c>
      <c r="C410" s="39">
        <v>0</v>
      </c>
      <c r="D410" s="25">
        <v>0</v>
      </c>
    </row>
    <row r="411" spans="1:4" x14ac:dyDescent="0.25">
      <c r="A411" s="23" t="s">
        <v>4020</v>
      </c>
      <c r="B411" s="23" t="s">
        <v>4021</v>
      </c>
      <c r="C411" s="38">
        <v>1.1890000000000001</v>
      </c>
      <c r="D411" s="24">
        <f xml:space="preserve"> C411 / (24 * 'VRP Solver Console'!C11)</f>
        <v>8.2569444444444444E-4</v>
      </c>
    </row>
    <row r="412" spans="1:4" x14ac:dyDescent="0.25">
      <c r="A412" s="23" t="s">
        <v>4020</v>
      </c>
      <c r="B412" s="23" t="s">
        <v>4022</v>
      </c>
      <c r="C412" s="39">
        <v>0.55500000000000005</v>
      </c>
      <c r="D412" s="25">
        <f xml:space="preserve"> C412 / (24 * 'VRP Solver Console'!C11)</f>
        <v>3.8541666666666672E-4</v>
      </c>
    </row>
    <row r="413" spans="1:4" x14ac:dyDescent="0.25">
      <c r="A413" s="23" t="s">
        <v>4020</v>
      </c>
      <c r="B413" s="23" t="s">
        <v>4023</v>
      </c>
      <c r="C413" s="38">
        <v>4.774</v>
      </c>
      <c r="D413" s="24">
        <f xml:space="preserve"> C413 / (24 * 'VRP Solver Console'!C11)</f>
        <v>3.3152777777777777E-3</v>
      </c>
    </row>
    <row r="414" spans="1:4" x14ac:dyDescent="0.25">
      <c r="A414" s="23" t="s">
        <v>4020</v>
      </c>
      <c r="B414" s="23" t="s">
        <v>4024</v>
      </c>
      <c r="C414" s="39">
        <v>42.066000000000003</v>
      </c>
      <c r="D414" s="25">
        <f xml:space="preserve"> C414 / (24 * 'VRP Solver Console'!C11)</f>
        <v>2.9212500000000002E-2</v>
      </c>
    </row>
    <row r="415" spans="1:4" x14ac:dyDescent="0.25">
      <c r="A415" s="23" t="s">
        <v>4020</v>
      </c>
      <c r="B415" s="23" t="s">
        <v>4003</v>
      </c>
      <c r="C415" s="38">
        <v>0.76900000000000002</v>
      </c>
      <c r="D415" s="24">
        <f xml:space="preserve"> C415 / (24 * 'VRP Solver Console'!C11)</f>
        <v>5.340277777777778E-4</v>
      </c>
    </row>
    <row r="416" spans="1:4" x14ac:dyDescent="0.25">
      <c r="A416" s="23" t="s">
        <v>4021</v>
      </c>
      <c r="B416" s="23" t="s">
        <v>4028</v>
      </c>
      <c r="C416" s="39">
        <v>1.8169999999999999</v>
      </c>
      <c r="D416" s="25">
        <f xml:space="preserve"> C416 / (24 * 'VRP Solver Console'!C11)</f>
        <v>1.2618055555555555E-3</v>
      </c>
    </row>
    <row r="417" spans="1:4" x14ac:dyDescent="0.25">
      <c r="A417" s="23" t="s">
        <v>4021</v>
      </c>
      <c r="B417" s="23" t="s">
        <v>4004</v>
      </c>
      <c r="C417" s="38">
        <v>1.927</v>
      </c>
      <c r="D417" s="24">
        <f xml:space="preserve"> C417 / (24 * 'VRP Solver Console'!C11)</f>
        <v>1.3381944444444444E-3</v>
      </c>
    </row>
    <row r="418" spans="1:4" x14ac:dyDescent="0.25">
      <c r="A418" s="23" t="s">
        <v>4021</v>
      </c>
      <c r="B418" s="23" t="s">
        <v>4005</v>
      </c>
      <c r="C418" s="39">
        <v>2.5739999999999998</v>
      </c>
      <c r="D418" s="25">
        <f xml:space="preserve"> C418 / (24 * 'VRP Solver Console'!C11)</f>
        <v>1.7874999999999998E-3</v>
      </c>
    </row>
    <row r="419" spans="1:4" x14ac:dyDescent="0.25">
      <c r="A419" s="23" t="s">
        <v>4021</v>
      </c>
      <c r="B419" s="23" t="s">
        <v>4006</v>
      </c>
      <c r="C419" s="38">
        <v>1.179</v>
      </c>
      <c r="D419" s="24">
        <f xml:space="preserve"> C419 / (24 * 'VRP Solver Console'!C11)</f>
        <v>8.1875000000000003E-4</v>
      </c>
    </row>
    <row r="420" spans="1:4" x14ac:dyDescent="0.25">
      <c r="A420" s="23" t="s">
        <v>4021</v>
      </c>
      <c r="B420" s="23" t="s">
        <v>4007</v>
      </c>
      <c r="C420" s="39">
        <v>3.7189999999999999</v>
      </c>
      <c r="D420" s="25">
        <f xml:space="preserve"> C420 / (24 * 'VRP Solver Console'!C11)</f>
        <v>2.5826388888888887E-3</v>
      </c>
    </row>
    <row r="421" spans="1:4" x14ac:dyDescent="0.25">
      <c r="A421" s="23" t="s">
        <v>4021</v>
      </c>
      <c r="B421" s="23" t="s">
        <v>4008</v>
      </c>
      <c r="C421" s="38">
        <v>2.2530000000000001</v>
      </c>
      <c r="D421" s="24">
        <f xml:space="preserve"> C421 / (24 * 'VRP Solver Console'!C11)</f>
        <v>1.5645833333333334E-3</v>
      </c>
    </row>
    <row r="422" spans="1:4" x14ac:dyDescent="0.25">
      <c r="A422" s="23" t="s">
        <v>4021</v>
      </c>
      <c r="B422" s="23" t="s">
        <v>4009</v>
      </c>
      <c r="C422" s="39">
        <v>1.927</v>
      </c>
      <c r="D422" s="25">
        <f xml:space="preserve"> C422 / (24 * 'VRP Solver Console'!C11)</f>
        <v>1.3381944444444444E-3</v>
      </c>
    </row>
    <row r="423" spans="1:4" x14ac:dyDescent="0.25">
      <c r="A423" s="23" t="s">
        <v>4021</v>
      </c>
      <c r="B423" s="23" t="s">
        <v>4010</v>
      </c>
      <c r="C423" s="38">
        <v>0.76100000000000001</v>
      </c>
      <c r="D423" s="24">
        <f xml:space="preserve"> C423 / (24 * 'VRP Solver Console'!C11)</f>
        <v>5.2847222222222228E-4</v>
      </c>
    </row>
    <row r="424" spans="1:4" x14ac:dyDescent="0.25">
      <c r="A424" s="23" t="s">
        <v>4021</v>
      </c>
      <c r="B424" s="23" t="s">
        <v>4011</v>
      </c>
      <c r="C424" s="39">
        <v>1.006</v>
      </c>
      <c r="D424" s="25">
        <f xml:space="preserve"> C424 / (24 * 'VRP Solver Console'!C11)</f>
        <v>6.9861111111111111E-4</v>
      </c>
    </row>
    <row r="425" spans="1:4" x14ac:dyDescent="0.25">
      <c r="A425" s="23" t="s">
        <v>4021</v>
      </c>
      <c r="B425" s="23" t="s">
        <v>4012</v>
      </c>
      <c r="C425" s="38">
        <v>1.1419999999999999</v>
      </c>
      <c r="D425" s="24">
        <f xml:space="preserve"> C425 / (24 * 'VRP Solver Console'!C11)</f>
        <v>7.9305555555555553E-4</v>
      </c>
    </row>
    <row r="426" spans="1:4" x14ac:dyDescent="0.25">
      <c r="A426" s="23" t="s">
        <v>4021</v>
      </c>
      <c r="B426" s="23" t="s">
        <v>4013</v>
      </c>
      <c r="C426" s="39">
        <v>4.2169999999999996</v>
      </c>
      <c r="D426" s="25">
        <f xml:space="preserve"> C426 / (24 * 'VRP Solver Console'!C11)</f>
        <v>2.9284722222222221E-3</v>
      </c>
    </row>
    <row r="427" spans="1:4" x14ac:dyDescent="0.25">
      <c r="A427" s="23" t="s">
        <v>4021</v>
      </c>
      <c r="B427" s="23" t="s">
        <v>4014</v>
      </c>
      <c r="C427" s="38">
        <v>1.8340000000000001</v>
      </c>
      <c r="D427" s="24">
        <f xml:space="preserve"> C427 / (24 * 'VRP Solver Console'!C11)</f>
        <v>1.2736111111111112E-3</v>
      </c>
    </row>
    <row r="428" spans="1:4" x14ac:dyDescent="0.25">
      <c r="A428" s="23" t="s">
        <v>4021</v>
      </c>
      <c r="B428" s="23" t="s">
        <v>4015</v>
      </c>
      <c r="C428" s="39">
        <v>42.948</v>
      </c>
      <c r="D428" s="25">
        <f xml:space="preserve"> C428 / (24 * 'VRP Solver Console'!C11)</f>
        <v>2.9825000000000001E-2</v>
      </c>
    </row>
    <row r="429" spans="1:4" x14ac:dyDescent="0.25">
      <c r="A429" s="23" t="s">
        <v>4021</v>
      </c>
      <c r="B429" s="23" t="s">
        <v>4016</v>
      </c>
      <c r="C429" s="38">
        <v>42.948</v>
      </c>
      <c r="D429" s="24">
        <f xml:space="preserve"> C429 / (24 * 'VRP Solver Console'!C11)</f>
        <v>2.9825000000000001E-2</v>
      </c>
    </row>
    <row r="430" spans="1:4" x14ac:dyDescent="0.25">
      <c r="A430" s="23" t="s">
        <v>4021</v>
      </c>
      <c r="B430" s="23" t="s">
        <v>4017</v>
      </c>
      <c r="C430" s="39">
        <v>42.948</v>
      </c>
      <c r="D430" s="25">
        <f xml:space="preserve"> C430 / (24 * 'VRP Solver Console'!C11)</f>
        <v>2.9825000000000001E-2</v>
      </c>
    </row>
    <row r="431" spans="1:4" x14ac:dyDescent="0.25">
      <c r="A431" s="23" t="s">
        <v>4021</v>
      </c>
      <c r="B431" s="23" t="s">
        <v>4018</v>
      </c>
      <c r="C431" s="38">
        <v>42.948</v>
      </c>
      <c r="D431" s="24">
        <f xml:space="preserve"> C431 / (24 * 'VRP Solver Console'!C11)</f>
        <v>2.9825000000000001E-2</v>
      </c>
    </row>
    <row r="432" spans="1:4" x14ac:dyDescent="0.25">
      <c r="A432" s="23" t="s">
        <v>4021</v>
      </c>
      <c r="B432" s="23" t="s">
        <v>4019</v>
      </c>
      <c r="C432" s="39">
        <v>4.0750000000000002</v>
      </c>
      <c r="D432" s="25">
        <f xml:space="preserve"> C432 / (24 * 'VRP Solver Console'!C11)</f>
        <v>2.8298611111111111E-3</v>
      </c>
    </row>
    <row r="433" spans="1:4" x14ac:dyDescent="0.25">
      <c r="A433" s="23" t="s">
        <v>4021</v>
      </c>
      <c r="B433" s="23" t="s">
        <v>4020</v>
      </c>
      <c r="C433" s="38">
        <v>0.79500000000000004</v>
      </c>
      <c r="D433" s="24">
        <f xml:space="preserve"> C433 / (24 * 'VRP Solver Console'!C11)</f>
        <v>5.5208333333333335E-4</v>
      </c>
    </row>
    <row r="434" spans="1:4" x14ac:dyDescent="0.25">
      <c r="A434" s="23" t="s">
        <v>4021</v>
      </c>
      <c r="B434" s="23" t="s">
        <v>4021</v>
      </c>
      <c r="C434" s="39">
        <v>0</v>
      </c>
      <c r="D434" s="25">
        <v>0</v>
      </c>
    </row>
    <row r="435" spans="1:4" x14ac:dyDescent="0.25">
      <c r="A435" s="23" t="s">
        <v>4021</v>
      </c>
      <c r="B435" s="23" t="s">
        <v>4022</v>
      </c>
      <c r="C435" s="38">
        <v>0.94</v>
      </c>
      <c r="D435" s="24">
        <f xml:space="preserve"> C435 / (24 * 'VRP Solver Console'!C11)</f>
        <v>6.5277777777777773E-4</v>
      </c>
    </row>
    <row r="436" spans="1:4" x14ac:dyDescent="0.25">
      <c r="A436" s="23" t="s">
        <v>4021</v>
      </c>
      <c r="B436" s="23" t="s">
        <v>4023</v>
      </c>
      <c r="C436" s="39">
        <v>3.5840000000000001</v>
      </c>
      <c r="D436" s="25">
        <f xml:space="preserve"> C436 / (24 * 'VRP Solver Console'!C11)</f>
        <v>2.488888888888889E-3</v>
      </c>
    </row>
    <row r="437" spans="1:4" x14ac:dyDescent="0.25">
      <c r="A437" s="23" t="s">
        <v>4021</v>
      </c>
      <c r="B437" s="23" t="s">
        <v>4024</v>
      </c>
      <c r="C437" s="38">
        <v>40.875999999999998</v>
      </c>
      <c r="D437" s="24">
        <f xml:space="preserve"> C437 / (24 * 'VRP Solver Console'!C11)</f>
        <v>2.8386111111111108E-2</v>
      </c>
    </row>
    <row r="438" spans="1:4" x14ac:dyDescent="0.25">
      <c r="A438" s="23" t="s">
        <v>4021</v>
      </c>
      <c r="B438" s="23" t="s">
        <v>4003</v>
      </c>
      <c r="C438" s="39">
        <v>0.71599999999999997</v>
      </c>
      <c r="D438" s="25">
        <f xml:space="preserve"> C438 / (24 * 'VRP Solver Console'!C11)</f>
        <v>4.9722222222222225E-4</v>
      </c>
    </row>
    <row r="439" spans="1:4" x14ac:dyDescent="0.25">
      <c r="A439" s="23" t="s">
        <v>4022</v>
      </c>
      <c r="B439" s="23" t="s">
        <v>4028</v>
      </c>
      <c r="C439" s="38">
        <v>1.8080000000000001</v>
      </c>
      <c r="D439" s="24">
        <f xml:space="preserve"> C439 / (24 * 'VRP Solver Console'!C11)</f>
        <v>1.2555555555555555E-3</v>
      </c>
    </row>
    <row r="440" spans="1:4" x14ac:dyDescent="0.25">
      <c r="A440" s="23" t="s">
        <v>4022</v>
      </c>
      <c r="B440" s="23" t="s">
        <v>4004</v>
      </c>
      <c r="C440" s="39">
        <v>1.33</v>
      </c>
      <c r="D440" s="25">
        <f xml:space="preserve"> C440 / (24 * 'VRP Solver Console'!C11)</f>
        <v>9.2361111111111116E-4</v>
      </c>
    </row>
    <row r="441" spans="1:4" x14ac:dyDescent="0.25">
      <c r="A441" s="23" t="s">
        <v>4022</v>
      </c>
      <c r="B441" s="23" t="s">
        <v>4005</v>
      </c>
      <c r="C441" s="38">
        <v>1.929</v>
      </c>
      <c r="D441" s="24">
        <f xml:space="preserve"> C441 / (24 * 'VRP Solver Console'!C11)</f>
        <v>1.3395833333333335E-3</v>
      </c>
    </row>
    <row r="442" spans="1:4" x14ac:dyDescent="0.25">
      <c r="A442" s="23" t="s">
        <v>4022</v>
      </c>
      <c r="B442" s="23" t="s">
        <v>4006</v>
      </c>
      <c r="C442" s="39">
        <v>0.317</v>
      </c>
      <c r="D442" s="25">
        <f xml:space="preserve"> C442 / (24 * 'VRP Solver Console'!C11)</f>
        <v>2.2013888888888889E-4</v>
      </c>
    </row>
    <row r="443" spans="1:4" x14ac:dyDescent="0.25">
      <c r="A443" s="23" t="s">
        <v>4022</v>
      </c>
      <c r="B443" s="23" t="s">
        <v>4007</v>
      </c>
      <c r="C443" s="38">
        <v>2.1640000000000001</v>
      </c>
      <c r="D443" s="24">
        <f xml:space="preserve"> C443 / (24 * 'VRP Solver Console'!C11)</f>
        <v>1.5027777777777778E-3</v>
      </c>
    </row>
    <row r="444" spans="1:4" x14ac:dyDescent="0.25">
      <c r="A444" s="23" t="s">
        <v>4022</v>
      </c>
      <c r="B444" s="23" t="s">
        <v>4008</v>
      </c>
      <c r="C444" s="39">
        <v>1.875</v>
      </c>
      <c r="D444" s="25">
        <f xml:space="preserve"> C444 / (24 * 'VRP Solver Console'!C11)</f>
        <v>1.3020833333333333E-3</v>
      </c>
    </row>
    <row r="445" spans="1:4" x14ac:dyDescent="0.25">
      <c r="A445" s="23" t="s">
        <v>4022</v>
      </c>
      <c r="B445" s="23" t="s">
        <v>4009</v>
      </c>
      <c r="C445" s="38">
        <v>1.33</v>
      </c>
      <c r="D445" s="24">
        <f xml:space="preserve"> C445 / (24 * 'VRP Solver Console'!C11)</f>
        <v>9.2361111111111116E-4</v>
      </c>
    </row>
    <row r="446" spans="1:4" x14ac:dyDescent="0.25">
      <c r="A446" s="23" t="s">
        <v>4022</v>
      </c>
      <c r="B446" s="23" t="s">
        <v>4010</v>
      </c>
      <c r="C446" s="39">
        <v>0.96</v>
      </c>
      <c r="D446" s="25">
        <f xml:space="preserve"> C446 / (24 * 'VRP Solver Console'!C11)</f>
        <v>6.6666666666666664E-4</v>
      </c>
    </row>
    <row r="447" spans="1:4" x14ac:dyDescent="0.25">
      <c r="A447" s="23" t="s">
        <v>4022</v>
      </c>
      <c r="B447" s="23" t="s">
        <v>4011</v>
      </c>
      <c r="C447" s="38">
        <v>0.54500000000000004</v>
      </c>
      <c r="D447" s="24">
        <f xml:space="preserve"> C447 / (24 * 'VRP Solver Console'!C11)</f>
        <v>3.7847222222222226E-4</v>
      </c>
    </row>
    <row r="448" spans="1:4" x14ac:dyDescent="0.25">
      <c r="A448" s="23" t="s">
        <v>4022</v>
      </c>
      <c r="B448" s="23" t="s">
        <v>4012</v>
      </c>
      <c r="C448" s="39">
        <v>2.0790000000000002</v>
      </c>
      <c r="D448" s="25">
        <f xml:space="preserve"> C448 / (24 * 'VRP Solver Console'!C11)</f>
        <v>1.4437500000000002E-3</v>
      </c>
    </row>
    <row r="449" spans="1:4" x14ac:dyDescent="0.25">
      <c r="A449" s="23" t="s">
        <v>4022</v>
      </c>
      <c r="B449" s="23" t="s">
        <v>4013</v>
      </c>
      <c r="C449" s="38">
        <v>3.2040000000000002</v>
      </c>
      <c r="D449" s="24">
        <f xml:space="preserve"> C449 / (24 * 'VRP Solver Console'!C11)</f>
        <v>2.225E-3</v>
      </c>
    </row>
    <row r="450" spans="1:4" x14ac:dyDescent="0.25">
      <c r="A450" s="23" t="s">
        <v>4022</v>
      </c>
      <c r="B450" s="23" t="s">
        <v>4014</v>
      </c>
      <c r="C450" s="39">
        <v>3.1349999999999998</v>
      </c>
      <c r="D450" s="25">
        <f xml:space="preserve"> C450 / (24 * 'VRP Solver Console'!C11)</f>
        <v>2.1770833333333334E-3</v>
      </c>
    </row>
    <row r="451" spans="1:4" x14ac:dyDescent="0.25">
      <c r="A451" s="23" t="s">
        <v>4022</v>
      </c>
      <c r="B451" s="23" t="s">
        <v>4015</v>
      </c>
      <c r="C451" s="38">
        <v>44.249000000000002</v>
      </c>
      <c r="D451" s="24">
        <f xml:space="preserve"> C451 / (24 * 'VRP Solver Console'!C11)</f>
        <v>3.0728472222222223E-2</v>
      </c>
    </row>
    <row r="452" spans="1:4" x14ac:dyDescent="0.25">
      <c r="A452" s="23" t="s">
        <v>4022</v>
      </c>
      <c r="B452" s="23" t="s">
        <v>4016</v>
      </c>
      <c r="C452" s="39">
        <v>44.249000000000002</v>
      </c>
      <c r="D452" s="25">
        <f xml:space="preserve"> C452 / (24 * 'VRP Solver Console'!C11)</f>
        <v>3.0728472222222223E-2</v>
      </c>
    </row>
    <row r="453" spans="1:4" x14ac:dyDescent="0.25">
      <c r="A453" s="23" t="s">
        <v>4022</v>
      </c>
      <c r="B453" s="23" t="s">
        <v>4017</v>
      </c>
      <c r="C453" s="38">
        <v>44.249000000000002</v>
      </c>
      <c r="D453" s="24">
        <f xml:space="preserve"> C453 / (24 * 'VRP Solver Console'!C11)</f>
        <v>3.0728472222222223E-2</v>
      </c>
    </row>
    <row r="454" spans="1:4" x14ac:dyDescent="0.25">
      <c r="A454" s="23" t="s">
        <v>4022</v>
      </c>
      <c r="B454" s="23" t="s">
        <v>4018</v>
      </c>
      <c r="C454" s="39">
        <v>44.249000000000002</v>
      </c>
      <c r="D454" s="25">
        <f xml:space="preserve"> C454 / (24 * 'VRP Solver Console'!C11)</f>
        <v>3.0728472222222223E-2</v>
      </c>
    </row>
    <row r="455" spans="1:4" x14ac:dyDescent="0.25">
      <c r="A455" s="23" t="s">
        <v>4022</v>
      </c>
      <c r="B455" s="23" t="s">
        <v>4019</v>
      </c>
      <c r="C455" s="38">
        <v>5.3760000000000003</v>
      </c>
      <c r="D455" s="24">
        <f xml:space="preserve"> C455 / (24 * 'VRP Solver Console'!C11)</f>
        <v>3.7333333333333337E-3</v>
      </c>
    </row>
    <row r="456" spans="1:4" x14ac:dyDescent="0.25">
      <c r="A456" s="23" t="s">
        <v>4022</v>
      </c>
      <c r="B456" s="23" t="s">
        <v>4020</v>
      </c>
      <c r="C456" s="39">
        <v>0.59299999999999997</v>
      </c>
      <c r="D456" s="25">
        <f xml:space="preserve"> C456 / (24 * 'VRP Solver Console'!C11)</f>
        <v>4.1180555555555556E-4</v>
      </c>
    </row>
    <row r="457" spans="1:4" x14ac:dyDescent="0.25">
      <c r="A457" s="23" t="s">
        <v>4022</v>
      </c>
      <c r="B457" s="23" t="s">
        <v>4021</v>
      </c>
      <c r="C457" s="38">
        <v>1.3</v>
      </c>
      <c r="D457" s="24">
        <f xml:space="preserve"> C457 / (24 * 'VRP Solver Console'!C11)</f>
        <v>9.0277777777777784E-4</v>
      </c>
    </row>
    <row r="458" spans="1:4" x14ac:dyDescent="0.25">
      <c r="A458" s="23" t="s">
        <v>4022</v>
      </c>
      <c r="B458" s="23" t="s">
        <v>4022</v>
      </c>
      <c r="C458" s="39">
        <v>0</v>
      </c>
      <c r="D458" s="25">
        <v>0</v>
      </c>
    </row>
    <row r="459" spans="1:4" x14ac:dyDescent="0.25">
      <c r="A459" s="23" t="s">
        <v>4022</v>
      </c>
      <c r="B459" s="23" t="s">
        <v>4023</v>
      </c>
      <c r="C459" s="38">
        <v>4.8849999999999998</v>
      </c>
      <c r="D459" s="24">
        <f xml:space="preserve"> C459 / (24 * 'VRP Solver Console'!C11)</f>
        <v>3.3923611111111108E-3</v>
      </c>
    </row>
    <row r="460" spans="1:4" x14ac:dyDescent="0.25">
      <c r="A460" s="23" t="s">
        <v>4022</v>
      </c>
      <c r="B460" s="23" t="s">
        <v>4024</v>
      </c>
      <c r="C460" s="39">
        <v>42.177</v>
      </c>
      <c r="D460" s="25">
        <f xml:space="preserve"> C460 / (24 * 'VRP Solver Console'!C11)</f>
        <v>2.9289583333333334E-2</v>
      </c>
    </row>
    <row r="461" spans="1:4" x14ac:dyDescent="0.25">
      <c r="A461" s="23" t="s">
        <v>4022</v>
      </c>
      <c r="B461" s="23" t="s">
        <v>4003</v>
      </c>
      <c r="C461" s="38">
        <v>0.88</v>
      </c>
      <c r="D461" s="24">
        <f xml:space="preserve"> C461 / (24 * 'VRP Solver Console'!C11)</f>
        <v>6.111111111111111E-4</v>
      </c>
    </row>
    <row r="462" spans="1:4" x14ac:dyDescent="0.25">
      <c r="A462" s="23" t="s">
        <v>4023</v>
      </c>
      <c r="B462" s="23" t="s">
        <v>4028</v>
      </c>
      <c r="C462" s="39">
        <v>3.1859999999999999</v>
      </c>
      <c r="D462" s="25">
        <f xml:space="preserve"> C462 / (24 * 'VRP Solver Console'!C11)</f>
        <v>2.2125000000000001E-3</v>
      </c>
    </row>
    <row r="463" spans="1:4" x14ac:dyDescent="0.25">
      <c r="A463" s="23" t="s">
        <v>4023</v>
      </c>
      <c r="B463" s="23" t="s">
        <v>4004</v>
      </c>
      <c r="C463" s="38">
        <v>3.7730000000000001</v>
      </c>
      <c r="D463" s="24">
        <f xml:space="preserve"> C463 / (24 * 'VRP Solver Console'!C11)</f>
        <v>2.6201388888888889E-3</v>
      </c>
    </row>
    <row r="464" spans="1:4" x14ac:dyDescent="0.25">
      <c r="A464" s="23" t="s">
        <v>4023</v>
      </c>
      <c r="B464" s="23" t="s">
        <v>4005</v>
      </c>
      <c r="C464" s="39">
        <v>3.55</v>
      </c>
      <c r="D464" s="25">
        <f xml:space="preserve"> C464 / (24 * 'VRP Solver Console'!C11)</f>
        <v>2.4652777777777776E-3</v>
      </c>
    </row>
    <row r="465" spans="1:4" x14ac:dyDescent="0.25">
      <c r="A465" s="23" t="s">
        <v>4023</v>
      </c>
      <c r="B465" s="23" t="s">
        <v>4006</v>
      </c>
      <c r="C465" s="38">
        <v>4.8040000000000003</v>
      </c>
      <c r="D465" s="24">
        <f xml:space="preserve"> C465 / (24 * 'VRP Solver Console'!C11)</f>
        <v>3.3361111111111113E-3</v>
      </c>
    </row>
    <row r="466" spans="1:4" x14ac:dyDescent="0.25">
      <c r="A466" s="23" t="s">
        <v>4023</v>
      </c>
      <c r="B466" s="23" t="s">
        <v>4007</v>
      </c>
      <c r="C466" s="39">
        <v>4.0110000000000001</v>
      </c>
      <c r="D466" s="25">
        <f xml:space="preserve"> C466 / (24 * 'VRP Solver Console'!C11)</f>
        <v>2.7854166666666669E-3</v>
      </c>
    </row>
    <row r="467" spans="1:4" x14ac:dyDescent="0.25">
      <c r="A467" s="23" t="s">
        <v>4023</v>
      </c>
      <c r="B467" s="23" t="s">
        <v>4008</v>
      </c>
      <c r="C467" s="38">
        <v>3.3050000000000002</v>
      </c>
      <c r="D467" s="24">
        <f xml:space="preserve"> C467 / (24 * 'VRP Solver Console'!C11)</f>
        <v>2.2951388888888891E-3</v>
      </c>
    </row>
    <row r="468" spans="1:4" x14ac:dyDescent="0.25">
      <c r="A468" s="23" t="s">
        <v>4023</v>
      </c>
      <c r="B468" s="23" t="s">
        <v>4009</v>
      </c>
      <c r="C468" s="39">
        <v>3.7730000000000001</v>
      </c>
      <c r="D468" s="25">
        <f xml:space="preserve"> C468 / (24 * 'VRP Solver Console'!C11)</f>
        <v>2.6201388888888889E-3</v>
      </c>
    </row>
    <row r="469" spans="1:4" x14ac:dyDescent="0.25">
      <c r="A469" s="23" t="s">
        <v>4023</v>
      </c>
      <c r="B469" s="23" t="s">
        <v>4010</v>
      </c>
      <c r="C469" s="38">
        <v>3.8330000000000002</v>
      </c>
      <c r="D469" s="24">
        <f xml:space="preserve"> C469 / (24 * 'VRP Solver Console'!C11)</f>
        <v>2.6618055555555557E-3</v>
      </c>
    </row>
    <row r="470" spans="1:4" x14ac:dyDescent="0.25">
      <c r="A470" s="23" t="s">
        <v>4023</v>
      </c>
      <c r="B470" s="23" t="s">
        <v>4011</v>
      </c>
      <c r="C470" s="39">
        <v>4.6310000000000002</v>
      </c>
      <c r="D470" s="25">
        <f xml:space="preserve"> C470 / (24 * 'VRP Solver Console'!C11)</f>
        <v>3.2159722222222225E-3</v>
      </c>
    </row>
    <row r="471" spans="1:4" x14ac:dyDescent="0.25">
      <c r="A471" s="23" t="s">
        <v>4023</v>
      </c>
      <c r="B471" s="23" t="s">
        <v>4012</v>
      </c>
      <c r="C471" s="38">
        <v>5.54</v>
      </c>
      <c r="D471" s="24">
        <f xml:space="preserve"> C471 / (24 * 'VRP Solver Console'!C11)</f>
        <v>3.8472222222222224E-3</v>
      </c>
    </row>
    <row r="472" spans="1:4" x14ac:dyDescent="0.25">
      <c r="A472" s="23" t="s">
        <v>4023</v>
      </c>
      <c r="B472" s="23" t="s">
        <v>4013</v>
      </c>
      <c r="C472" s="39">
        <v>2.6040000000000001</v>
      </c>
      <c r="D472" s="25">
        <f xml:space="preserve"> C472 / (24 * 'VRP Solver Console'!C11)</f>
        <v>1.8083333333333335E-3</v>
      </c>
    </row>
    <row r="473" spans="1:4" x14ac:dyDescent="0.25">
      <c r="A473" s="23" t="s">
        <v>4023</v>
      </c>
      <c r="B473" s="23" t="s">
        <v>4014</v>
      </c>
      <c r="C473" s="38">
        <v>1.901</v>
      </c>
      <c r="D473" s="24">
        <f xml:space="preserve"> C473 / (24 * 'VRP Solver Console'!C11)</f>
        <v>1.3201388888888889E-3</v>
      </c>
    </row>
    <row r="474" spans="1:4" x14ac:dyDescent="0.25">
      <c r="A474" s="23" t="s">
        <v>4023</v>
      </c>
      <c r="B474" s="23" t="s">
        <v>4015</v>
      </c>
      <c r="C474" s="39">
        <v>41.335000000000001</v>
      </c>
      <c r="D474" s="25">
        <f xml:space="preserve"> C474 / (24 * 'VRP Solver Console'!C11)</f>
        <v>2.8704861111111112E-2</v>
      </c>
    </row>
    <row r="475" spans="1:4" x14ac:dyDescent="0.25">
      <c r="A475" s="23" t="s">
        <v>4023</v>
      </c>
      <c r="B475" s="23" t="s">
        <v>4016</v>
      </c>
      <c r="C475" s="38">
        <v>41.335000000000001</v>
      </c>
      <c r="D475" s="24">
        <f xml:space="preserve"> C475 / (24 * 'VRP Solver Console'!C11)</f>
        <v>2.8704861111111112E-2</v>
      </c>
    </row>
    <row r="476" spans="1:4" x14ac:dyDescent="0.25">
      <c r="A476" s="23" t="s">
        <v>4023</v>
      </c>
      <c r="B476" s="23" t="s">
        <v>4017</v>
      </c>
      <c r="C476" s="39">
        <v>41.335000000000001</v>
      </c>
      <c r="D476" s="25">
        <f xml:space="preserve"> C476 / (24 * 'VRP Solver Console'!C11)</f>
        <v>2.8704861111111112E-2</v>
      </c>
    </row>
    <row r="477" spans="1:4" x14ac:dyDescent="0.25">
      <c r="A477" s="23" t="s">
        <v>4023</v>
      </c>
      <c r="B477" s="23" t="s">
        <v>4018</v>
      </c>
      <c r="C477" s="38">
        <v>41.335000000000001</v>
      </c>
      <c r="D477" s="24">
        <f xml:space="preserve"> C477 / (24 * 'VRP Solver Console'!C11)</f>
        <v>2.8704861111111112E-2</v>
      </c>
    </row>
    <row r="478" spans="1:4" x14ac:dyDescent="0.25">
      <c r="A478" s="23" t="s">
        <v>4023</v>
      </c>
      <c r="B478" s="23" t="s">
        <v>4019</v>
      </c>
      <c r="C478" s="39">
        <v>2.4620000000000002</v>
      </c>
      <c r="D478" s="25">
        <f xml:space="preserve"> C478 / (24 * 'VRP Solver Console'!C11)</f>
        <v>1.7097222222222223E-3</v>
      </c>
    </row>
    <row r="479" spans="1:4" x14ac:dyDescent="0.25">
      <c r="A479" s="23" t="s">
        <v>4023</v>
      </c>
      <c r="B479" s="23" t="s">
        <v>4020</v>
      </c>
      <c r="C479" s="38">
        <v>4.42</v>
      </c>
      <c r="D479" s="24">
        <f xml:space="preserve"> C479 / (24 * 'VRP Solver Console'!C11)</f>
        <v>3.0694444444444445E-3</v>
      </c>
    </row>
    <row r="480" spans="1:4" x14ac:dyDescent="0.25">
      <c r="A480" s="23" t="s">
        <v>4023</v>
      </c>
      <c r="B480" s="23" t="s">
        <v>4021</v>
      </c>
      <c r="C480" s="39">
        <v>4.7610000000000001</v>
      </c>
      <c r="D480" s="25">
        <f xml:space="preserve"> C480 / (24 * 'VRP Solver Console'!C11)</f>
        <v>3.3062500000000002E-3</v>
      </c>
    </row>
    <row r="481" spans="1:4" x14ac:dyDescent="0.25">
      <c r="A481" s="23" t="s">
        <v>4023</v>
      </c>
      <c r="B481" s="23" t="s">
        <v>4022</v>
      </c>
      <c r="C481" s="38">
        <v>4.5650000000000004</v>
      </c>
      <c r="D481" s="24">
        <f xml:space="preserve"> C481 / (24 * 'VRP Solver Console'!C11)</f>
        <v>3.170138888888889E-3</v>
      </c>
    </row>
    <row r="482" spans="1:4" x14ac:dyDescent="0.25">
      <c r="A482" s="23" t="s">
        <v>4023</v>
      </c>
      <c r="B482" s="23" t="s">
        <v>4023</v>
      </c>
      <c r="C482" s="39">
        <v>0</v>
      </c>
      <c r="D482" s="25">
        <v>0</v>
      </c>
    </row>
    <row r="483" spans="1:4" x14ac:dyDescent="0.25">
      <c r="A483" s="23" t="s">
        <v>4023</v>
      </c>
      <c r="B483" s="23" t="s">
        <v>4024</v>
      </c>
      <c r="C483" s="38">
        <v>39.262999999999998</v>
      </c>
      <c r="D483" s="24">
        <f xml:space="preserve"> C483 / (24 * 'VRP Solver Console'!C11)</f>
        <v>2.7265972222222219E-2</v>
      </c>
    </row>
    <row r="484" spans="1:4" x14ac:dyDescent="0.25">
      <c r="A484" s="23" t="s">
        <v>4023</v>
      </c>
      <c r="B484" s="23" t="s">
        <v>4003</v>
      </c>
      <c r="C484" s="39">
        <v>4.3410000000000002</v>
      </c>
      <c r="D484" s="25">
        <f xml:space="preserve"> C484 / (24 * 'VRP Solver Console'!C11)</f>
        <v>3.0145833333333335E-3</v>
      </c>
    </row>
    <row r="485" spans="1:4" x14ac:dyDescent="0.25">
      <c r="A485" s="23" t="s">
        <v>4024</v>
      </c>
      <c r="B485" s="23" t="s">
        <v>4028</v>
      </c>
      <c r="C485" s="38">
        <v>40.338999999999999</v>
      </c>
      <c r="D485" s="24">
        <f xml:space="preserve"> C485 / (24 * 'VRP Solver Console'!C11)</f>
        <v>2.8013194444444445E-2</v>
      </c>
    </row>
    <row r="486" spans="1:4" x14ac:dyDescent="0.25">
      <c r="A486" s="23" t="s">
        <v>4024</v>
      </c>
      <c r="B486" s="23" t="s">
        <v>4004</v>
      </c>
      <c r="C486" s="39">
        <v>40.926000000000002</v>
      </c>
      <c r="D486" s="25">
        <f xml:space="preserve"> C486 / (24 * 'VRP Solver Console'!C11)</f>
        <v>2.8420833333333336E-2</v>
      </c>
    </row>
    <row r="487" spans="1:4" x14ac:dyDescent="0.25">
      <c r="A487" s="23" t="s">
        <v>4024</v>
      </c>
      <c r="B487" s="23" t="s">
        <v>4005</v>
      </c>
      <c r="C487" s="38">
        <v>40.703000000000003</v>
      </c>
      <c r="D487" s="24">
        <f xml:space="preserve"> C487 / (24 * 'VRP Solver Console'!C11)</f>
        <v>2.8265972222222224E-2</v>
      </c>
    </row>
    <row r="488" spans="1:4" x14ac:dyDescent="0.25">
      <c r="A488" s="23" t="s">
        <v>4024</v>
      </c>
      <c r="B488" s="23" t="s">
        <v>4006</v>
      </c>
      <c r="C488" s="39">
        <v>41.957000000000001</v>
      </c>
      <c r="D488" s="25">
        <f xml:space="preserve"> C488 / (24 * 'VRP Solver Console'!C11)</f>
        <v>2.9136805555555555E-2</v>
      </c>
    </row>
    <row r="489" spans="1:4" x14ac:dyDescent="0.25">
      <c r="A489" s="23" t="s">
        <v>4024</v>
      </c>
      <c r="B489" s="23" t="s">
        <v>4007</v>
      </c>
      <c r="C489" s="38">
        <v>41.164000000000001</v>
      </c>
      <c r="D489" s="24">
        <f xml:space="preserve"> C489 / (24 * 'VRP Solver Console'!C11)</f>
        <v>2.8586111111111111E-2</v>
      </c>
    </row>
    <row r="490" spans="1:4" x14ac:dyDescent="0.25">
      <c r="A490" s="23" t="s">
        <v>4024</v>
      </c>
      <c r="B490" s="23" t="s">
        <v>4008</v>
      </c>
      <c r="C490" s="39">
        <v>40.457999999999998</v>
      </c>
      <c r="D490" s="25">
        <f xml:space="preserve"> C490 / (24 * 'VRP Solver Console'!C11)</f>
        <v>2.8095833333333334E-2</v>
      </c>
    </row>
    <row r="491" spans="1:4" x14ac:dyDescent="0.25">
      <c r="A491" s="23" t="s">
        <v>4024</v>
      </c>
      <c r="B491" s="23" t="s">
        <v>4009</v>
      </c>
      <c r="C491" s="38">
        <v>40.926000000000002</v>
      </c>
      <c r="D491" s="24">
        <f xml:space="preserve"> C491 / (24 * 'VRP Solver Console'!C11)</f>
        <v>2.8420833333333336E-2</v>
      </c>
    </row>
    <row r="492" spans="1:4" x14ac:dyDescent="0.25">
      <c r="A492" s="23" t="s">
        <v>4024</v>
      </c>
      <c r="B492" s="23" t="s">
        <v>4010</v>
      </c>
      <c r="C492" s="39">
        <v>40.985999999999997</v>
      </c>
      <c r="D492" s="25">
        <f xml:space="preserve"> C492 / (24 * 'VRP Solver Console'!C11)</f>
        <v>2.8462499999999998E-2</v>
      </c>
    </row>
    <row r="493" spans="1:4" x14ac:dyDescent="0.25">
      <c r="A493" s="23" t="s">
        <v>4024</v>
      </c>
      <c r="B493" s="23" t="s">
        <v>4011</v>
      </c>
      <c r="C493" s="38">
        <v>41.783999999999999</v>
      </c>
      <c r="D493" s="24">
        <f xml:space="preserve"> C493 / (24 * 'VRP Solver Console'!C11)</f>
        <v>2.9016666666666666E-2</v>
      </c>
    </row>
    <row r="494" spans="1:4" x14ac:dyDescent="0.25">
      <c r="A494" s="23" t="s">
        <v>4024</v>
      </c>
      <c r="B494" s="23" t="s">
        <v>4012</v>
      </c>
      <c r="C494" s="39">
        <v>42.692999999999998</v>
      </c>
      <c r="D494" s="25">
        <f xml:space="preserve"> C494 / (24 * 'VRP Solver Console'!C11)</f>
        <v>2.9647916666666666E-2</v>
      </c>
    </row>
    <row r="495" spans="1:4" x14ac:dyDescent="0.25">
      <c r="A495" s="23" t="s">
        <v>4024</v>
      </c>
      <c r="B495" s="23" t="s">
        <v>4013</v>
      </c>
      <c r="C495" s="38">
        <v>39.756999999999998</v>
      </c>
      <c r="D495" s="24">
        <f xml:space="preserve"> C495 / (24 * 'VRP Solver Console'!C11)</f>
        <v>2.7609027777777777E-2</v>
      </c>
    </row>
    <row r="496" spans="1:4" x14ac:dyDescent="0.25">
      <c r="A496" s="23" t="s">
        <v>4024</v>
      </c>
      <c r="B496" s="23" t="s">
        <v>4014</v>
      </c>
      <c r="C496" s="39">
        <v>39.054000000000002</v>
      </c>
      <c r="D496" s="25">
        <f xml:space="preserve"> C496 / (24 * 'VRP Solver Console'!C11)</f>
        <v>2.7120833333333334E-2</v>
      </c>
    </row>
    <row r="497" spans="1:4" x14ac:dyDescent="0.25">
      <c r="A497" s="23" t="s">
        <v>4024</v>
      </c>
      <c r="B497" s="23" t="s">
        <v>4015</v>
      </c>
      <c r="C497" s="38">
        <v>2.0710000000000002</v>
      </c>
      <c r="D497" s="24">
        <f xml:space="preserve"> C497 / (24 * 'VRP Solver Console'!C11)</f>
        <v>1.4381944444444446E-3</v>
      </c>
    </row>
    <row r="498" spans="1:4" x14ac:dyDescent="0.25">
      <c r="A498" s="23" t="s">
        <v>4024</v>
      </c>
      <c r="B498" s="23" t="s">
        <v>4016</v>
      </c>
      <c r="C498" s="39">
        <v>2.0710000000000002</v>
      </c>
      <c r="D498" s="25">
        <f xml:space="preserve"> C498 / (24 * 'VRP Solver Console'!C11)</f>
        <v>1.4381944444444446E-3</v>
      </c>
    </row>
    <row r="499" spans="1:4" x14ac:dyDescent="0.25">
      <c r="A499" s="23" t="s">
        <v>4024</v>
      </c>
      <c r="B499" s="23" t="s">
        <v>4017</v>
      </c>
      <c r="C499" s="38">
        <v>2.0710000000000002</v>
      </c>
      <c r="D499" s="24">
        <f xml:space="preserve"> C499 / (24 * 'VRP Solver Console'!C11)</f>
        <v>1.4381944444444446E-3</v>
      </c>
    </row>
    <row r="500" spans="1:4" x14ac:dyDescent="0.25">
      <c r="A500" s="23" t="s">
        <v>4024</v>
      </c>
      <c r="B500" s="23" t="s">
        <v>4018</v>
      </c>
      <c r="C500" s="39">
        <v>2.0710000000000002</v>
      </c>
      <c r="D500" s="25">
        <f xml:space="preserve"> C500 / (24 * 'VRP Solver Console'!C11)</f>
        <v>1.4381944444444446E-3</v>
      </c>
    </row>
    <row r="501" spans="1:4" x14ac:dyDescent="0.25">
      <c r="A501" s="23" t="s">
        <v>4024</v>
      </c>
      <c r="B501" s="23" t="s">
        <v>4019</v>
      </c>
      <c r="C501" s="38">
        <v>37.506999999999998</v>
      </c>
      <c r="D501" s="24">
        <f xml:space="preserve"> C501 / (24 * 'VRP Solver Console'!C11)</f>
        <v>2.6046527777777776E-2</v>
      </c>
    </row>
    <row r="502" spans="1:4" x14ac:dyDescent="0.25">
      <c r="A502" s="23" t="s">
        <v>4024</v>
      </c>
      <c r="B502" s="23" t="s">
        <v>4020</v>
      </c>
      <c r="C502" s="39">
        <v>41.573</v>
      </c>
      <c r="D502" s="25">
        <f xml:space="preserve"> C502 / (24 * 'VRP Solver Console'!C11)</f>
        <v>2.887013888888889E-2</v>
      </c>
    </row>
    <row r="503" spans="1:4" x14ac:dyDescent="0.25">
      <c r="A503" s="23" t="s">
        <v>4024</v>
      </c>
      <c r="B503" s="23" t="s">
        <v>4021</v>
      </c>
      <c r="C503" s="38">
        <v>41.914000000000001</v>
      </c>
      <c r="D503" s="24">
        <f xml:space="preserve"> C503 / (24 * 'VRP Solver Console'!C11)</f>
        <v>2.9106944444444446E-2</v>
      </c>
    </row>
    <row r="504" spans="1:4" x14ac:dyDescent="0.25">
      <c r="A504" s="23" t="s">
        <v>4024</v>
      </c>
      <c r="B504" s="23" t="s">
        <v>4022</v>
      </c>
      <c r="C504" s="39">
        <v>41.718000000000004</v>
      </c>
      <c r="D504" s="25">
        <f xml:space="preserve"> C504 / (24 * 'VRP Solver Console'!C11)</f>
        <v>2.8970833333333335E-2</v>
      </c>
    </row>
    <row r="505" spans="1:4" x14ac:dyDescent="0.25">
      <c r="A505" s="23" t="s">
        <v>4024</v>
      </c>
      <c r="B505" s="23" t="s">
        <v>4023</v>
      </c>
      <c r="C505" s="38">
        <v>39.384999999999998</v>
      </c>
      <c r="D505" s="24">
        <f xml:space="preserve"> C505 / (24 * 'VRP Solver Console'!C11)</f>
        <v>2.7350694444444441E-2</v>
      </c>
    </row>
    <row r="506" spans="1:4" x14ac:dyDescent="0.25">
      <c r="A506" s="23" t="s">
        <v>4024</v>
      </c>
      <c r="B506" s="23" t="s">
        <v>4024</v>
      </c>
      <c r="C506" s="39">
        <v>0</v>
      </c>
      <c r="D506" s="25">
        <v>0</v>
      </c>
    </row>
    <row r="507" spans="1:4" x14ac:dyDescent="0.25">
      <c r="A507" s="23" t="s">
        <v>4024</v>
      </c>
      <c r="B507" s="23" t="s">
        <v>4003</v>
      </c>
      <c r="C507" s="38">
        <v>41.494</v>
      </c>
      <c r="D507" s="24">
        <f xml:space="preserve"> C507 / (24 * 'VRP Solver Console'!C11)</f>
        <v>2.8815277777777776E-2</v>
      </c>
    </row>
    <row r="508" spans="1:4" x14ac:dyDescent="0.25">
      <c r="A508" s="23" t="s">
        <v>4003</v>
      </c>
      <c r="B508" s="23" t="s">
        <v>4028</v>
      </c>
      <c r="C508" s="39">
        <v>1.915</v>
      </c>
      <c r="D508" s="25">
        <f xml:space="preserve"> C508 / (24 * 'VRP Solver Console'!C11)</f>
        <v>1.3298611111111111E-3</v>
      </c>
    </row>
    <row r="509" spans="1:4" x14ac:dyDescent="0.25">
      <c r="A509" s="23" t="s">
        <v>4003</v>
      </c>
      <c r="B509" s="23" t="s">
        <v>4004</v>
      </c>
      <c r="C509" s="38">
        <v>1.56</v>
      </c>
      <c r="D509" s="24">
        <f xml:space="preserve"> C509 / (24 * 'VRP Solver Console'!C11)</f>
        <v>1.0833333333333333E-3</v>
      </c>
    </row>
    <row r="510" spans="1:4" x14ac:dyDescent="0.25">
      <c r="A510" s="23" t="s">
        <v>4003</v>
      </c>
      <c r="B510" s="23" t="s">
        <v>4005</v>
      </c>
      <c r="C510" s="39">
        <v>2.1589999999999998</v>
      </c>
      <c r="D510" s="25">
        <f xml:space="preserve"> C510 / (24 * 'VRP Solver Console'!C11)</f>
        <v>1.4993055555555554E-3</v>
      </c>
    </row>
    <row r="511" spans="1:4" x14ac:dyDescent="0.25">
      <c r="A511" s="23" t="s">
        <v>4003</v>
      </c>
      <c r="B511" s="23" t="s">
        <v>4006</v>
      </c>
      <c r="C511" s="38">
        <v>0.63200000000000001</v>
      </c>
      <c r="D511" s="24">
        <f xml:space="preserve"> C511 / (24 * 'VRP Solver Console'!C11)</f>
        <v>4.3888888888888889E-4</v>
      </c>
    </row>
    <row r="512" spans="1:4" x14ac:dyDescent="0.25">
      <c r="A512" s="23" t="s">
        <v>4003</v>
      </c>
      <c r="B512" s="23" t="s">
        <v>4007</v>
      </c>
      <c r="C512" s="39">
        <v>3.3039999999999998</v>
      </c>
      <c r="D512" s="25">
        <f xml:space="preserve"> C512 / (24 * 'VRP Solver Console'!C11)</f>
        <v>2.2944444444444444E-3</v>
      </c>
    </row>
    <row r="513" spans="1:4" x14ac:dyDescent="0.25">
      <c r="A513" s="23" t="s">
        <v>4003</v>
      </c>
      <c r="B513" s="23" t="s">
        <v>4008</v>
      </c>
      <c r="C513" s="38">
        <v>2.105</v>
      </c>
      <c r="D513" s="24">
        <f xml:space="preserve"> C513 / (24 * 'VRP Solver Console'!C11)</f>
        <v>1.4618055555555556E-3</v>
      </c>
    </row>
    <row r="514" spans="1:4" x14ac:dyDescent="0.25">
      <c r="A514" s="23" t="s">
        <v>4003</v>
      </c>
      <c r="B514" s="23" t="s">
        <v>4009</v>
      </c>
      <c r="C514" s="39">
        <v>1.56</v>
      </c>
      <c r="D514" s="25">
        <f xml:space="preserve"> C514 / (24 * 'VRP Solver Console'!C11)</f>
        <v>1.0833333333333333E-3</v>
      </c>
    </row>
    <row r="515" spans="1:4" x14ac:dyDescent="0.25">
      <c r="A515" s="23" t="s">
        <v>4003</v>
      </c>
      <c r="B515" s="23" t="s">
        <v>4010</v>
      </c>
      <c r="C515" s="38">
        <v>1.0669999999999999</v>
      </c>
      <c r="D515" s="24">
        <f xml:space="preserve"> C515 / (24 * 'VRP Solver Console'!C11)</f>
        <v>7.4097222222222218E-4</v>
      </c>
    </row>
    <row r="516" spans="1:4" x14ac:dyDescent="0.25">
      <c r="A516" s="23" t="s">
        <v>4003</v>
      </c>
      <c r="B516" s="23" t="s">
        <v>4011</v>
      </c>
      <c r="C516" s="39">
        <v>0.40300000000000002</v>
      </c>
      <c r="D516" s="25">
        <f xml:space="preserve"> C516 / (24 * 'VRP Solver Console'!C11)</f>
        <v>2.7986111111111115E-4</v>
      </c>
    </row>
    <row r="517" spans="1:4" x14ac:dyDescent="0.25">
      <c r="A517" s="23" t="s">
        <v>4003</v>
      </c>
      <c r="B517" s="23" t="s">
        <v>4012</v>
      </c>
      <c r="C517" s="38">
        <v>1.2470000000000001</v>
      </c>
      <c r="D517" s="24">
        <f xml:space="preserve"> C517 / (24 * 'VRP Solver Console'!C11)</f>
        <v>8.659722222222223E-4</v>
      </c>
    </row>
    <row r="518" spans="1:4" x14ac:dyDescent="0.25">
      <c r="A518" s="23" t="s">
        <v>4003</v>
      </c>
      <c r="B518" s="23" t="s">
        <v>4013</v>
      </c>
      <c r="C518" s="39">
        <v>3.4340000000000002</v>
      </c>
      <c r="D518" s="25">
        <f xml:space="preserve"> C518 / (24 * 'VRP Solver Console'!C11)</f>
        <v>2.3847222222222225E-3</v>
      </c>
    </row>
    <row r="519" spans="1:4" x14ac:dyDescent="0.25">
      <c r="A519" s="23" t="s">
        <v>4003</v>
      </c>
      <c r="B519" s="23" t="s">
        <v>4014</v>
      </c>
      <c r="C519" s="38">
        <v>3.6040000000000001</v>
      </c>
      <c r="D519" s="24">
        <f xml:space="preserve"> C519 / (24 * 'VRP Solver Console'!C11)</f>
        <v>2.5027777777777778E-3</v>
      </c>
    </row>
    <row r="520" spans="1:4" x14ac:dyDescent="0.25">
      <c r="A520" s="23" t="s">
        <v>4003</v>
      </c>
      <c r="B520" s="23" t="s">
        <v>4015</v>
      </c>
      <c r="C520" s="39">
        <v>44.718000000000004</v>
      </c>
      <c r="D520" s="25">
        <f xml:space="preserve"> C520 / (24 * 'VRP Solver Console'!C11)</f>
        <v>3.1054166666666667E-2</v>
      </c>
    </row>
    <row r="521" spans="1:4" x14ac:dyDescent="0.25">
      <c r="A521" s="23" t="s">
        <v>4003</v>
      </c>
      <c r="B521" s="23" t="s">
        <v>4016</v>
      </c>
      <c r="C521" s="38">
        <v>44.718000000000004</v>
      </c>
      <c r="D521" s="24">
        <f xml:space="preserve"> C521 / (24 * 'VRP Solver Console'!C11)</f>
        <v>3.1054166666666667E-2</v>
      </c>
    </row>
    <row r="522" spans="1:4" x14ac:dyDescent="0.25">
      <c r="A522" s="23" t="s">
        <v>4003</v>
      </c>
      <c r="B522" s="23" t="s">
        <v>4017</v>
      </c>
      <c r="C522" s="39">
        <v>44.718000000000004</v>
      </c>
      <c r="D522" s="25">
        <f xml:space="preserve"> C522 / (24 * 'VRP Solver Console'!C11)</f>
        <v>3.1054166666666667E-2</v>
      </c>
    </row>
    <row r="523" spans="1:4" x14ac:dyDescent="0.25">
      <c r="A523" s="23" t="s">
        <v>4003</v>
      </c>
      <c r="B523" s="23" t="s">
        <v>4018</v>
      </c>
      <c r="C523" s="38">
        <v>44.718000000000004</v>
      </c>
      <c r="D523" s="24">
        <f xml:space="preserve"> C523 / (24 * 'VRP Solver Console'!C11)</f>
        <v>3.1054166666666667E-2</v>
      </c>
    </row>
    <row r="524" spans="1:4" x14ac:dyDescent="0.25">
      <c r="A524" s="23" t="s">
        <v>4003</v>
      </c>
      <c r="B524" s="23" t="s">
        <v>4019</v>
      </c>
      <c r="C524" s="39">
        <v>5.8449999999999998</v>
      </c>
      <c r="D524" s="25">
        <f xml:space="preserve"> C524 / (24 * 'VRP Solver Console'!C11)</f>
        <v>4.0590277777777777E-3</v>
      </c>
    </row>
    <row r="525" spans="1:4" x14ac:dyDescent="0.25">
      <c r="A525" s="23" t="s">
        <v>4003</v>
      </c>
      <c r="B525" s="23" t="s">
        <v>4020</v>
      </c>
      <c r="C525" s="38">
        <v>0.7</v>
      </c>
      <c r="D525" s="24">
        <f xml:space="preserve"> C525 / (24 * 'VRP Solver Console'!C11)</f>
        <v>4.861111111111111E-4</v>
      </c>
    </row>
    <row r="526" spans="1:4" x14ac:dyDescent="0.25">
      <c r="A526" s="23" t="s">
        <v>4003</v>
      </c>
      <c r="B526" s="23" t="s">
        <v>4021</v>
      </c>
      <c r="C526" s="39">
        <v>1.7689999999999999</v>
      </c>
      <c r="D526" s="25">
        <f xml:space="preserve"> C526 / (24 * 'VRP Solver Console'!C11)</f>
        <v>1.2284722222222222E-3</v>
      </c>
    </row>
    <row r="527" spans="1:4" x14ac:dyDescent="0.25">
      <c r="A527" s="23" t="s">
        <v>4003</v>
      </c>
      <c r="B527" s="23" t="s">
        <v>4022</v>
      </c>
      <c r="C527" s="38">
        <v>0.57099999999999995</v>
      </c>
      <c r="D527" s="24">
        <f xml:space="preserve"> C527 / (24 * 'VRP Solver Console'!C11)</f>
        <v>3.9652777777777776E-4</v>
      </c>
    </row>
    <row r="528" spans="1:4" x14ac:dyDescent="0.25">
      <c r="A528" s="23" t="s">
        <v>4003</v>
      </c>
      <c r="B528" s="23" t="s">
        <v>4023</v>
      </c>
      <c r="C528" s="39">
        <v>5.3540000000000001</v>
      </c>
      <c r="D528" s="25">
        <f xml:space="preserve"> C528 / (24 * 'VRP Solver Console'!C11)</f>
        <v>3.7180555555555556E-3</v>
      </c>
    </row>
    <row r="529" spans="1:4" x14ac:dyDescent="0.25">
      <c r="A529" s="23" t="s">
        <v>4003</v>
      </c>
      <c r="B529" s="23" t="s">
        <v>4024</v>
      </c>
      <c r="C529" s="38">
        <v>42.646000000000001</v>
      </c>
      <c r="D529" s="24">
        <f xml:space="preserve"> C529 / (24 * 'VRP Solver Console'!C11)</f>
        <v>2.9615277777777779E-2</v>
      </c>
    </row>
    <row r="530" spans="1:4" x14ac:dyDescent="0.25">
      <c r="A530" s="22" t="s">
        <v>4003</v>
      </c>
      <c r="B530" s="22" t="s">
        <v>4003</v>
      </c>
      <c r="C530" s="74">
        <v>0</v>
      </c>
      <c r="D530" s="60">
        <v>0</v>
      </c>
    </row>
  </sheetData>
  <pageMargins left="0.511811024" right="0.511811024" top="0.78740157499999996" bottom="0.78740157499999996" header="0.31496062000000002" footer="0.3149606200000000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F7036-0B2B-49BF-82BA-192EFC5C6301}">
  <sheetPr codeName="Planilha3"/>
  <dimension ref="A1:M3"/>
  <sheetViews>
    <sheetView topLeftCell="F1" workbookViewId="0">
      <selection activeCell="K2" sqref="K2"/>
    </sheetView>
  </sheetViews>
  <sheetFormatPr defaultRowHeight="15" x14ac:dyDescent="0.25"/>
  <cols>
    <col min="1" max="2" width="14.85546875" bestFit="1" customWidth="1"/>
    <col min="3" max="3" width="11.140625" bestFit="1" customWidth="1"/>
    <col min="4" max="4" width="20.42578125" bestFit="1" customWidth="1"/>
    <col min="5" max="5" width="28.7109375" bestFit="1" customWidth="1"/>
    <col min="6" max="6" width="23.5703125" bestFit="1" customWidth="1"/>
    <col min="7" max="7" width="17.85546875" bestFit="1" customWidth="1"/>
    <col min="8" max="8" width="26.7109375" bestFit="1" customWidth="1"/>
    <col min="9" max="9" width="27.7109375" bestFit="1" customWidth="1"/>
    <col min="10" max="10" width="26.7109375" bestFit="1" customWidth="1"/>
    <col min="11" max="11" width="21.7109375" bestFit="1" customWidth="1"/>
    <col min="12" max="12" width="12.7109375" hidden="1" customWidth="1"/>
    <col min="13" max="13" width="19" bestFit="1" customWidth="1"/>
  </cols>
  <sheetData>
    <row r="1" spans="1:13" x14ac:dyDescent="0.25">
      <c r="A1" s="18" t="s">
        <v>1414</v>
      </c>
      <c r="B1" s="18" t="s">
        <v>1646</v>
      </c>
      <c r="C1" s="18" t="s">
        <v>1113</v>
      </c>
      <c r="D1" s="18" t="s">
        <v>1141</v>
      </c>
      <c r="E1" s="18" t="s">
        <v>1115</v>
      </c>
      <c r="F1" s="18" t="s">
        <v>1135</v>
      </c>
      <c r="G1" s="18" t="s">
        <v>1124</v>
      </c>
      <c r="H1" s="18" t="s">
        <v>1662</v>
      </c>
      <c r="I1" s="18" t="s">
        <v>1132</v>
      </c>
      <c r="J1" s="18" t="s">
        <v>1664</v>
      </c>
      <c r="K1" s="18" t="s">
        <v>1620</v>
      </c>
      <c r="L1" s="18" t="s">
        <v>856</v>
      </c>
      <c r="M1" s="18" t="s">
        <v>1605</v>
      </c>
    </row>
    <row r="2" spans="1:13" ht="15.75" thickBot="1" x14ac:dyDescent="0.3">
      <c r="A2" s="19" t="s">
        <v>4028</v>
      </c>
      <c r="B2" s="40" t="s">
        <v>4026</v>
      </c>
      <c r="C2" s="40">
        <v>44</v>
      </c>
      <c r="D2" s="41">
        <v>0</v>
      </c>
      <c r="E2" s="41">
        <v>11.22</v>
      </c>
      <c r="F2" s="41">
        <v>1</v>
      </c>
      <c r="G2" s="41">
        <v>100</v>
      </c>
      <c r="H2" s="75">
        <v>0.33333333333333331</v>
      </c>
      <c r="I2" s="42">
        <v>0.375</v>
      </c>
      <c r="J2" s="42">
        <v>0.125</v>
      </c>
      <c r="K2" s="40" t="s">
        <v>4028</v>
      </c>
      <c r="L2" s="43">
        <f>IFERROR(MATCH(K2,'1. Locais'!$B$2:$B$2,0) - 1," ")</f>
        <v>0</v>
      </c>
      <c r="M2" s="40">
        <v>1</v>
      </c>
    </row>
    <row r="3" spans="1:13" ht="15.75" thickTop="1" x14ac:dyDescent="0.25"/>
  </sheetData>
  <dataValidations count="3">
    <dataValidation type="decimal" operator="greaterThan" allowBlank="1" showInputMessage="1" showErrorMessage="1" error="Insira um valor não negativo" sqref="C2:E2" xr:uid="{B5A4580B-FECC-4918-8C23-43ACDF3B5699}">
      <formula1>-0.0001</formula1>
    </dataValidation>
    <dataValidation type="decimal" operator="greaterThan" allowBlank="1" showInputMessage="1" showErrorMessage="1" error="Insira um valor positivo" sqref="F2 J2" xr:uid="{61DE0C7E-4B4E-4D26-94B0-0161AA3DB6DB}">
      <formula1>0</formula1>
    </dataValidation>
    <dataValidation type="whole" operator="greaterThan" allowBlank="1" showInputMessage="1" showErrorMessage="1" error="Insira um valor inteiro não negativo" sqref="G2" xr:uid="{FC10A2CF-A7F0-4396-9516-98B6DD790A97}">
      <formula1>-1</formula1>
    </dataValidation>
  </dataValidations>
  <pageMargins left="0.511811024" right="0.511811024" top="0.78740157499999996" bottom="0.78740157499999996" header="0.31496062000000002" footer="0.31496062000000002"/>
  <extLst>
    <ext xmlns:x14="http://schemas.microsoft.com/office/spreadsheetml/2009/9/main" uri="{CCE6A557-97BC-4b89-ADB6-D9C93CAAB3DF}">
      <x14:dataValidations xmlns:xm="http://schemas.microsoft.com/office/excel/2006/main" count="1">
        <x14:dataValidation type="list" allowBlank="1" showInputMessage="1" showErrorMessage="1" errorTitle="Atenção" error="Selecione um valor da lista disponível na célula selecionada." xr:uid="{492A65EB-6812-4CB3-9761-34E6CD6DCFCF}">
          <x14:formula1>
            <xm:f>'1. Locais'!$B$2:$B$2</xm:f>
          </x14:formula1>
          <xm:sqref>K2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1D16F-6449-4E58-BC01-5D1F2C8FA1FC}">
  <sheetPr codeName="Planilha4"/>
  <dimension ref="A1:P30"/>
  <sheetViews>
    <sheetView workbookViewId="0"/>
  </sheetViews>
  <sheetFormatPr defaultRowHeight="15" x14ac:dyDescent="0.25"/>
  <cols>
    <col min="1" max="1" width="17.85546875" bestFit="1" customWidth="1"/>
    <col min="2" max="2" width="13.85546875" bestFit="1" customWidth="1"/>
    <col min="3" max="3" width="15.7109375" hidden="1" customWidth="1"/>
    <col min="4" max="4" width="11.140625" hidden="1" customWidth="1"/>
    <col min="5" max="5" width="12.7109375" hidden="1" customWidth="1"/>
    <col min="6" max="6" width="15.85546875" bestFit="1" customWidth="1"/>
    <col min="7" max="7" width="19" bestFit="1" customWidth="1"/>
    <col min="8" max="8" width="17.85546875" bestFit="1" customWidth="1"/>
    <col min="9" max="9" width="14.7109375" bestFit="1" customWidth="1"/>
    <col min="10" max="10" width="11.140625" bestFit="1" customWidth="1"/>
    <col min="11" max="11" width="14" bestFit="1" customWidth="1"/>
    <col min="12" max="12" width="16" hidden="1" customWidth="1"/>
    <col min="13" max="13" width="21.85546875" hidden="1" customWidth="1"/>
    <col min="14" max="14" width="17" hidden="1" customWidth="1"/>
    <col min="15" max="15" width="17.28515625" hidden="1" customWidth="1"/>
    <col min="16" max="16" width="5.85546875" bestFit="1" customWidth="1"/>
  </cols>
  <sheetData>
    <row r="1" spans="1:16" s="18" customFormat="1" x14ac:dyDescent="0.25">
      <c r="A1" s="18" t="s">
        <v>253</v>
      </c>
      <c r="B1" s="55">
        <f ca="1">+I3</f>
        <v>-86.494980000000012</v>
      </c>
    </row>
    <row r="2" spans="1:16" s="18" customFormat="1" x14ac:dyDescent="0.25">
      <c r="A2" s="80" t="s">
        <v>1661</v>
      </c>
      <c r="B2" s="80"/>
      <c r="C2" s="80"/>
      <c r="D2" s="80"/>
      <c r="E2" s="80"/>
      <c r="F2" s="80"/>
      <c r="G2" s="80"/>
      <c r="H2" s="80"/>
      <c r="I2" s="80"/>
      <c r="J2" s="80"/>
      <c r="K2" s="80"/>
      <c r="L2" s="80"/>
      <c r="M2" s="58"/>
      <c r="N2" s="58"/>
      <c r="O2" s="58"/>
      <c r="P2" s="58"/>
    </row>
    <row r="3" spans="1:16" s="18" customFormat="1" x14ac:dyDescent="0.25">
      <c r="A3" s="18" t="s">
        <v>1647</v>
      </c>
      <c r="B3" s="18" t="s">
        <v>4027</v>
      </c>
      <c r="F3" s="18" t="s">
        <v>1630</v>
      </c>
      <c r="G3" s="56">
        <f>COUNTA(B6:B28)</f>
        <v>6</v>
      </c>
      <c r="H3" s="18" t="s">
        <v>1154</v>
      </c>
      <c r="I3" s="57">
        <f ca="1">INDEX(K5:K28,G3 + 1)-(INDEX(F5:$F$28,G3+ 1) * '3. Veículos'!E2)- IF(INDIRECT("G3") &gt; 1, INDIRECT("'3. Veículos'!D2"), 0)</f>
        <v>-86.494980000000012</v>
      </c>
    </row>
    <row r="4" spans="1:16" s="18" customFormat="1" x14ac:dyDescent="0.25">
      <c r="A4" s="18" t="s">
        <v>1629</v>
      </c>
      <c r="B4" s="18" t="s">
        <v>1147</v>
      </c>
      <c r="C4" s="18" t="s">
        <v>1144</v>
      </c>
      <c r="D4" s="18" t="s">
        <v>552</v>
      </c>
      <c r="E4" s="18" t="s">
        <v>559</v>
      </c>
      <c r="F4" s="18" t="s">
        <v>1125</v>
      </c>
      <c r="G4" s="18" t="s">
        <v>1131</v>
      </c>
      <c r="H4" s="18" t="s">
        <v>1104</v>
      </c>
      <c r="I4" s="18" t="s">
        <v>1118</v>
      </c>
      <c r="J4" s="18" t="s">
        <v>1663</v>
      </c>
      <c r="K4" s="18" t="s">
        <v>1615</v>
      </c>
      <c r="L4" s="18" t="s">
        <v>1609</v>
      </c>
      <c r="M4" s="18" t="s">
        <v>1117</v>
      </c>
      <c r="N4" s="18" t="s">
        <v>1116</v>
      </c>
      <c r="O4" s="18" t="s">
        <v>1631</v>
      </c>
      <c r="P4" s="18" t="s">
        <v>884</v>
      </c>
    </row>
    <row r="5" spans="1:16" x14ac:dyDescent="0.25">
      <c r="A5" s="20">
        <v>0</v>
      </c>
      <c r="B5" s="20" t="str">
        <f>'1. Locais'!B2</f>
        <v>Garagem</v>
      </c>
      <c r="C5" s="20">
        <f ca="1">IFERROR(MATCH(INDIRECT("B5"),'1. Locais'!B2:B24, 0) - 1," ")</f>
        <v>0</v>
      </c>
      <c r="D5" s="44">
        <f ca="1">IFERROR(IF(ISNUMBER(C5),INDEX('1. Locais'!D2:D24,C5 + 1),NA()),NA())</f>
        <v>-10.3485839</v>
      </c>
      <c r="E5" s="44">
        <f ca="1">IFERROR(IF(ISNUMBER(C5),INDEX('1. Locais'!E2:E24,C5 + 1),NA()),NA())</f>
        <v>-48.298583999999998</v>
      </c>
      <c r="F5" s="45">
        <v>0</v>
      </c>
      <c r="G5" s="46">
        <v>0</v>
      </c>
      <c r="H5" s="76"/>
      <c r="I5" s="76">
        <f>'3. Veículos'!H2</f>
        <v>0.33333333333333331</v>
      </c>
      <c r="J5" s="46">
        <v>0</v>
      </c>
      <c r="K5" s="44">
        <v>0</v>
      </c>
      <c r="L5" s="45">
        <v>0</v>
      </c>
      <c r="M5" s="45">
        <v>0</v>
      </c>
      <c r="N5" s="45">
        <v>0</v>
      </c>
      <c r="O5" s="45">
        <f ca="1">IFERROR(IF(ISNUMBER(C5),IF(B6 = B5, 0, IF(B6 = "", 0, O6 + M6))," ")," ")</f>
        <v>15</v>
      </c>
      <c r="P5" s="44">
        <f t="shared" ref="P5:P28" ca="1" si="0">IFERROR(IF(ISNUMBER(C5),N5 + O5," ")," ")</f>
        <v>15</v>
      </c>
    </row>
    <row r="6" spans="1:16" x14ac:dyDescent="0.25">
      <c r="A6" s="23">
        <v>1</v>
      </c>
      <c r="B6" s="50" t="s">
        <v>4014</v>
      </c>
      <c r="C6" s="51">
        <f ca="1">IFERROR(MATCH(INDIRECT("B6"),'1. Locais'!B2:B24, 0) - 1," ")</f>
        <v>11</v>
      </c>
      <c r="D6" s="51">
        <f ca="1">IFERROR(IF(ISNUMBER(C6),INDEX('1. Locais'!D2:D24,C6 + 1),NA()),NA())</f>
        <v>-10.354574899999999</v>
      </c>
      <c r="E6" s="51">
        <f ca="1">IFERROR(IF(ISNUMBER(C6),INDEX('1. Locais'!E2:E24,C6 + 1),NA()),NA())</f>
        <v>-48.301355899999997</v>
      </c>
      <c r="F6" s="52">
        <f ca="1">IFERROR(IF(ISNUMBER(C6),INDEX('2. Distâncias'!C2:C530,C5*23+C6+ 1) +F5," ")," ")</f>
        <v>0.98699999999999999</v>
      </c>
      <c r="G6" s="53">
        <f ca="1">IFERROR(IF(ISNUMBER(C6),'3. Veículos'!F2 * INDEX('2. Distâncias'!D2:D530,C5*23+C6 + 1) +G5," ")," ")</f>
        <v>6.8541666666666664E-4</v>
      </c>
      <c r="H6" s="79">
        <f ca="1">IFERROR(IF(ISNUMBER(C6),'3. Veículos'!F2 * INDEX('2. Distâncias'!D2:D530,C5*23+C6 + 1) +I5," ")," ")</f>
        <v>0.33401874999999998</v>
      </c>
      <c r="I6" s="79">
        <f ca="1">IFERROR(IF(AND(C5&lt;&gt;C6,ISNUMBER(H6)),INDEX('1. Locais'!I2:I24,C6 + 1) + MAX(H6,INDEX('1. Locais'!F2:F24,C6 + 1))," ")," ")</f>
        <v>0.33401874999999998</v>
      </c>
      <c r="J6" s="53">
        <f ca="1">IFERROR(IF(AND(B6 = B5, B7 = ""), H6 - I5, I6 - I5)," ")</f>
        <v>6.8541666666666057E-4</v>
      </c>
      <c r="K6" s="51">
        <f ca="1">IFERROR(IF(ISNUMBER(C6),INDEX('1. Locais'!L2:L24,C6 + 1) + K5," ")," ")</f>
        <v>0</v>
      </c>
      <c r="L6" s="52">
        <f ca="1">IFERROR(IF(ISNUMBER(C6),INDEX('1. Locais'!J2:J24,C6 + 1)," ")," ")</f>
        <v>0</v>
      </c>
      <c r="M6" s="52">
        <f ca="1">IFERROR(IF(ISNUMBER(C6),INDEX('1. Locais'!K2:K24,C6 + 1)," ")," ")</f>
        <v>5</v>
      </c>
      <c r="N6" s="52">
        <f ca="1">IFERROR(IF(ISNUMBER(C6),IF(B6 = B5, 0, L6 + N5)," ")," ")</f>
        <v>0</v>
      </c>
      <c r="O6" s="52">
        <f ca="1">IFERROR(IF(ISNUMBER(C6),IF(B7 = B5, 0, IF(B7 = "", 0, O7 + M7))," ")," ")</f>
        <v>10</v>
      </c>
      <c r="P6" s="51">
        <f t="shared" ca="1" si="0"/>
        <v>10</v>
      </c>
    </row>
    <row r="7" spans="1:16" x14ac:dyDescent="0.25">
      <c r="A7" s="23">
        <v>2</v>
      </c>
      <c r="B7" s="54" t="s">
        <v>4004</v>
      </c>
      <c r="C7" s="51">
        <f ca="1">IFERROR(MATCH(INDIRECT("B7"),'1. Locais'!B2:B24, 0) - 1," ")</f>
        <v>1</v>
      </c>
      <c r="D7" s="51">
        <f ca="1">IFERROR(IF(ISNUMBER(C7),INDEX('1. Locais'!D2:D24,C7 + 1),NA()),NA())</f>
        <v>-10.344564</v>
      </c>
      <c r="E7" s="51">
        <f ca="1">IFERROR(IF(ISNUMBER(C7),INDEX('1. Locais'!E2:E24,C7 + 1),NA()),NA())</f>
        <v>-48.293768</v>
      </c>
      <c r="F7" s="52">
        <f ca="1">IFERROR(IF(ISNUMBER(C7),INDEX('2. Distâncias'!C2:C530,C6*23+C7+ 1) +F6," ")," ")</f>
        <v>2.8610000000000002</v>
      </c>
      <c r="G7" s="53">
        <f ca="1">IFERROR(IF(ISNUMBER(C7),'3. Veículos'!F2 * INDEX('2. Distâncias'!D2:D530,C6*23+C7 + 1) +G6," ")," ")</f>
        <v>1.9868055555555559E-3</v>
      </c>
      <c r="H7" s="79">
        <f ca="1">IFERROR(IF(ISNUMBER(C7),'3. Veículos'!F2 * INDEX('2. Distâncias'!D2:D530,C6*23+C7 + 1) +I6," ")," ")</f>
        <v>0.33532013888888884</v>
      </c>
      <c r="I7" s="79">
        <f ca="1">IFERROR(IF(AND(C5&lt;&gt;C7,ISNUMBER(H7)),INDEX('1. Locais'!I2:I24,C7 + 1) + MAX(H7,INDEX('1. Locais'!F2:F24,C7 + 1))," ")," ")</f>
        <v>0.33532013888888884</v>
      </c>
      <c r="J7" s="53">
        <f ca="1">IFERROR(IF(AND(B7 = B5, B8 = ""), H7 - I5, I7 - I5)," ")</f>
        <v>1.9868055555555264E-3</v>
      </c>
      <c r="K7" s="51">
        <f ca="1">IFERROR(IF(ISNUMBER(C7),INDEX('1. Locais'!L2:L24,C7 + 1) + K6," ")," ")</f>
        <v>0</v>
      </c>
      <c r="L7" s="52">
        <f ca="1">IFERROR(IF(ISNUMBER(C7),INDEX('1. Locais'!J2:J24,C7 + 1)," ")," ")</f>
        <v>0</v>
      </c>
      <c r="M7" s="52">
        <f ca="1">IFERROR(IF(ISNUMBER(C7),INDEX('1. Locais'!K2:K24,C7 + 1)," ")," ")</f>
        <v>2</v>
      </c>
      <c r="N7" s="52">
        <f ca="1">IFERROR(IF(ISNUMBER(C7),IF(B7 = B5, 0, L7 + N6)," ")," ")</f>
        <v>0</v>
      </c>
      <c r="O7" s="52">
        <f ca="1">IFERROR(IF(ISNUMBER(C7),IF(B8 = B5, 0, IF(B8 = "", 0, O8 + M8))," ")," ")</f>
        <v>8</v>
      </c>
      <c r="P7" s="51">
        <f t="shared" ca="1" si="0"/>
        <v>8</v>
      </c>
    </row>
    <row r="8" spans="1:16" x14ac:dyDescent="0.25">
      <c r="A8" s="23">
        <v>3</v>
      </c>
      <c r="B8" s="50" t="s">
        <v>4020</v>
      </c>
      <c r="C8" s="51">
        <f ca="1">IFERROR(MATCH(INDIRECT("B8"),'1. Locais'!B2:B24, 0) - 1," ")</f>
        <v>17</v>
      </c>
      <c r="D8" s="51">
        <f ca="1">IFERROR(IF(ISNUMBER(C8),INDEX('1. Locais'!D2:D24,C8 + 1),NA()),NA())</f>
        <v>-10.33765</v>
      </c>
      <c r="E8" s="51">
        <f ca="1">IFERROR(IF(ISNUMBER(C8),INDEX('1. Locais'!E2:E24,C8 + 1),NA()),NA())</f>
        <v>-48.295870000000001</v>
      </c>
      <c r="F8" s="52">
        <f ca="1">IFERROR(IF(ISNUMBER(C8),INDEX('2. Distâncias'!C2:C530,C7*23+C8+ 1) +F7," ")," ")</f>
        <v>3.7950000000000004</v>
      </c>
      <c r="G8" s="53">
        <f ca="1">IFERROR(IF(ISNUMBER(C8),'3. Veículos'!F2 * INDEX('2. Distâncias'!D2:D530,C7*23+C8 + 1) +G7," ")," ")</f>
        <v>2.635416666666667E-3</v>
      </c>
      <c r="H8" s="79">
        <f ca="1">IFERROR(IF(ISNUMBER(C8),'3. Veículos'!F2 * INDEX('2. Distâncias'!D2:D530,C7*23+C8 + 1) +I7," ")," ")</f>
        <v>0.33596874999999993</v>
      </c>
      <c r="I8" s="79">
        <f ca="1">IFERROR(IF(AND(C5&lt;&gt;C8,ISNUMBER(H8)),INDEX('1. Locais'!I2:I24,C8 + 1) + MAX(H8,INDEX('1. Locais'!F2:F24,C8 + 1))," ")," ")</f>
        <v>0.33596874999999993</v>
      </c>
      <c r="J8" s="53">
        <f ca="1">IFERROR(IF(AND(B8 = B5, B9 = ""), H8 - I5, I8 - I5)," ")</f>
        <v>2.6354166666666123E-3</v>
      </c>
      <c r="K8" s="51">
        <f ca="1">IFERROR(IF(ISNUMBER(C8),INDEX('1. Locais'!L2:L24,C8 + 1) + K7," ")," ")</f>
        <v>0</v>
      </c>
      <c r="L8" s="52">
        <f ca="1">IFERROR(IF(ISNUMBER(C8),INDEX('1. Locais'!J2:J24,C8 + 1)," ")," ")</f>
        <v>0</v>
      </c>
      <c r="M8" s="52">
        <f ca="1">IFERROR(IF(ISNUMBER(C8),INDEX('1. Locais'!K2:K24,C8 + 1)," ")," ")</f>
        <v>5</v>
      </c>
      <c r="N8" s="52">
        <f ca="1">IFERROR(IF(ISNUMBER(C8),IF(B8 = B5, 0, L8 + N7)," ")," ")</f>
        <v>0</v>
      </c>
      <c r="O8" s="52">
        <f ca="1">IFERROR(IF(ISNUMBER(C8),IF(B9 = B5, 0, IF(B9 = "", 0, O9 + M9))," ")," ")</f>
        <v>3</v>
      </c>
      <c r="P8" s="51">
        <f t="shared" ca="1" si="0"/>
        <v>3</v>
      </c>
    </row>
    <row r="9" spans="1:16" x14ac:dyDescent="0.25">
      <c r="A9" s="23">
        <v>4</v>
      </c>
      <c r="B9" s="54" t="s">
        <v>4006</v>
      </c>
      <c r="C9" s="51">
        <f ca="1">IFERROR(MATCH(INDIRECT("B9"),'1. Locais'!B2:B24, 0) - 1," ")</f>
        <v>3</v>
      </c>
      <c r="D9" s="51">
        <f ca="1">IFERROR(IF(ISNUMBER(C9),INDEX('1. Locais'!D2:D24,C9 + 1),NA()),NA())</f>
        <v>-10.33384</v>
      </c>
      <c r="E9" s="51">
        <f ca="1">IFERROR(IF(ISNUMBER(C9),INDEX('1. Locais'!E2:E24,C9 + 1),NA()),NA())</f>
        <v>-48.293022000000001</v>
      </c>
      <c r="F9" s="52">
        <f ca="1">IFERROR(IF(ISNUMBER(C9),INDEX('2. Distâncias'!C2:C530,C8*23+C9+ 1) +F8," ")," ")</f>
        <v>4.6440000000000001</v>
      </c>
      <c r="G9" s="53">
        <f ca="1">IFERROR(IF(ISNUMBER(C9),'3. Veículos'!F2 * INDEX('2. Distâncias'!D2:D530,C8*23+C9 + 1) +G8," ")," ")</f>
        <v>3.2250000000000004E-3</v>
      </c>
      <c r="H9" s="79">
        <f ca="1">IFERROR(IF(ISNUMBER(C9),'3. Veículos'!F2 * INDEX('2. Distâncias'!D2:D530,C8*23+C9 + 1) +I8," ")," ")</f>
        <v>0.33655833333333324</v>
      </c>
      <c r="I9" s="79">
        <f ca="1">IFERROR(IF(AND(C5&lt;&gt;C9,ISNUMBER(H9)),INDEX('1. Locais'!I2:I24,C9 + 1) + MAX(H9,INDEX('1. Locais'!F2:F24,C9 + 1))," ")," ")</f>
        <v>0.33655833333333324</v>
      </c>
      <c r="J9" s="53">
        <f ca="1">IFERROR(IF(AND(B9 = B5, B10 = ""), H9 - I5, I9 - I5)," ")</f>
        <v>3.2249999999999224E-3</v>
      </c>
      <c r="K9" s="51">
        <f ca="1">IFERROR(IF(ISNUMBER(C9),INDEX('1. Locais'!L2:L24,C9 + 1) + K8," ")," ")</f>
        <v>0</v>
      </c>
      <c r="L9" s="52">
        <f ca="1">IFERROR(IF(ISNUMBER(C9),INDEX('1. Locais'!J2:J24,C9 + 1)," ")," ")</f>
        <v>0</v>
      </c>
      <c r="M9" s="52">
        <f ca="1">IFERROR(IF(ISNUMBER(C9),INDEX('1. Locais'!K2:K24,C9 + 1)," ")," ")</f>
        <v>3</v>
      </c>
      <c r="N9" s="52">
        <f ca="1">IFERROR(IF(ISNUMBER(C9),IF(B9 = B5, 0, L9 + N8)," ")," ")</f>
        <v>0</v>
      </c>
      <c r="O9" s="52">
        <f ca="1">IFERROR(IF(ISNUMBER(C9),IF(B10 = B5, 0, IF(B10 = "", 0, O10 + M10))," ")," ")</f>
        <v>0</v>
      </c>
      <c r="P9" s="51">
        <f t="shared" ca="1" si="0"/>
        <v>0</v>
      </c>
    </row>
    <row r="10" spans="1:16" x14ac:dyDescent="0.25">
      <c r="A10" s="23">
        <v>5</v>
      </c>
      <c r="B10" s="50" t="s">
        <v>4003</v>
      </c>
      <c r="C10" s="51">
        <f ca="1">IFERROR(MATCH(INDIRECT("B10"),'1. Locais'!B2:B24, 0) - 1," ")</f>
        <v>22</v>
      </c>
      <c r="D10" s="51">
        <f ca="1">IFERROR(IF(ISNUMBER(C10),INDEX('1. Locais'!D2:D24,C10 + 1),NA()),NA())</f>
        <v>-10.332970400000001</v>
      </c>
      <c r="E10" s="51">
        <f ca="1">IFERROR(IF(ISNUMBER(C10),INDEX('1. Locais'!E2:E24,C10 + 1),NA()),NA())</f>
        <v>-48.298139999999997</v>
      </c>
      <c r="F10" s="52">
        <f ca="1">IFERROR(IF(ISNUMBER(C10),INDEX('2. Distâncias'!C2:C530,C9*23+C10+ 1) +F9," ")," ")</f>
        <v>5.7940000000000005</v>
      </c>
      <c r="G10" s="53">
        <f ca="1">IFERROR(IF(ISNUMBER(C10),'3. Veículos'!F2 * INDEX('2. Distâncias'!D2:D530,C9*23+C10 + 1) +G9," ")," ")</f>
        <v>4.0236111111111115E-3</v>
      </c>
      <c r="H10" s="79">
        <f ca="1">IFERROR(IF(ISNUMBER(C10),'3. Veículos'!F2 * INDEX('2. Distâncias'!D2:D530,C9*23+C10 + 1) +I9," ")," ")</f>
        <v>0.33735694444444436</v>
      </c>
      <c r="I10" s="79">
        <f ca="1">IFERROR(IF(AND(C5&lt;&gt;C10,ISNUMBER(H10)),INDEX('1. Locais'!I2:I24,C10 + 1) + MAX(H10,INDEX('1. Locais'!F2:F24,C10 + 1))," ")," ")</f>
        <v>0.33735694444444436</v>
      </c>
      <c r="J10" s="53">
        <f ca="1">IFERROR(IF(AND(B10 = B5, B11 = ""), H10 - I5, I10 - I5)," ")</f>
        <v>4.0236111111110473E-3</v>
      </c>
      <c r="K10" s="51">
        <f ca="1">IFERROR(IF(ISNUMBER(C10),INDEX('1. Locais'!L2:L24,C10 + 1) + K9," ")," ")</f>
        <v>0</v>
      </c>
      <c r="L10" s="52">
        <f ca="1">IFERROR(IF(ISNUMBER(C10),INDEX('1. Locais'!J2:J24,C10 + 1)," ")," ")</f>
        <v>15</v>
      </c>
      <c r="M10" s="52">
        <f ca="1">IFERROR(IF(ISNUMBER(C10),INDEX('1. Locais'!K2:K24,C10 + 1)," ")," ")</f>
        <v>0</v>
      </c>
      <c r="N10" s="52">
        <f ca="1">IFERROR(IF(ISNUMBER(C10),IF(B10 = B5, 0, L10 + N9)," ")," ")</f>
        <v>15</v>
      </c>
      <c r="O10" s="52">
        <f ca="1">IFERROR(IF(ISNUMBER(C10),IF(B11 = B5, 0, IF(B11 = "", 0, O11 + M11))," ")," ")</f>
        <v>0</v>
      </c>
      <c r="P10" s="51">
        <f t="shared" ca="1" si="0"/>
        <v>15</v>
      </c>
    </row>
    <row r="11" spans="1:16" x14ac:dyDescent="0.25">
      <c r="A11" s="23">
        <v>6</v>
      </c>
      <c r="B11" s="54" t="s">
        <v>4028</v>
      </c>
      <c r="C11" s="51">
        <f ca="1">IFERROR(MATCH(INDIRECT("B11"),'1. Locais'!B2:B24, 0) - 1," ")</f>
        <v>0</v>
      </c>
      <c r="D11" s="51">
        <f ca="1">IFERROR(IF(ISNUMBER(C11),INDEX('1. Locais'!D2:D24,C11 + 1),NA()),NA())</f>
        <v>-10.3485839</v>
      </c>
      <c r="E11" s="51">
        <f ca="1">IFERROR(IF(ISNUMBER(C11),INDEX('1. Locais'!E2:E24,C11 + 1),NA()),NA())</f>
        <v>-48.298583999999998</v>
      </c>
      <c r="F11" s="52">
        <f ca="1">IFERROR(IF(ISNUMBER(C11),INDEX('2. Distâncias'!C2:C530,C10*23+C11+ 1) +F10," ")," ")</f>
        <v>7.7090000000000005</v>
      </c>
      <c r="G11" s="53">
        <f ca="1">IFERROR(IF(ISNUMBER(C11),'3. Veículos'!F2 * INDEX('2. Distâncias'!D2:D530,C10*23+C11 + 1) +G10," ")," ")</f>
        <v>5.353472222222223E-3</v>
      </c>
      <c r="H11" s="79">
        <f ca="1">IFERROR(IF(ISNUMBER(C11),'3. Veículos'!F2 * INDEX('2. Distâncias'!D2:D530,C10*23+C11 + 1) +I10," ")," ")</f>
        <v>0.33868680555555547</v>
      </c>
      <c r="I11" s="79" t="str">
        <f ca="1">IFERROR(IF(AND(C5&lt;&gt;C11,ISNUMBER(H11)),INDEX('1. Locais'!I2:I24,C11 + 1) + MAX(H11,INDEX('1. Locais'!F2:F24,C11 + 1))," ")," ")</f>
        <v xml:space="preserve"> </v>
      </c>
      <c r="J11" s="53">
        <f ca="1">IFERROR(IF(AND(B11 = B5, B12 = ""), H11 - I5, I11 - I5)," ")</f>
        <v>5.3534722222221554E-3</v>
      </c>
      <c r="K11" s="51">
        <f ca="1">IFERROR(IF(ISNUMBER(C11),INDEX('1. Locais'!L2:L24,C11 + 1) + K10," ")," ")</f>
        <v>0</v>
      </c>
      <c r="L11" s="52">
        <f ca="1">IFERROR(IF(ISNUMBER(C11),INDEX('1. Locais'!J2:J24,C11 + 1)," ")," ")</f>
        <v>0</v>
      </c>
      <c r="M11" s="52">
        <f ca="1">IFERROR(IF(ISNUMBER(C11),INDEX('1. Locais'!K2:K24,C11 + 1)," ")," ")</f>
        <v>0</v>
      </c>
      <c r="N11" s="52">
        <f ca="1">IFERROR(IF(ISNUMBER(C11),IF(B11 = B5, 0, L11 + N10)," ")," ")</f>
        <v>0</v>
      </c>
      <c r="O11" s="52">
        <f ca="1">IFERROR(IF(ISNUMBER(C11),IF(B12 = B5, 0, IF(B12 = "", 0, O12 + M12))," ")," ")</f>
        <v>0</v>
      </c>
      <c r="P11" s="51">
        <f t="shared" ca="1" si="0"/>
        <v>0</v>
      </c>
    </row>
    <row r="12" spans="1:16" x14ac:dyDescent="0.25">
      <c r="A12" s="23">
        <v>7</v>
      </c>
      <c r="B12" s="50"/>
      <c r="C12" s="51" t="str">
        <f ca="1">IFERROR(MATCH(INDIRECT("B12"),'1. Locais'!B2:B24, 0) - 1," ")</f>
        <v xml:space="preserve"> </v>
      </c>
      <c r="D12" s="51" t="e">
        <f ca="1">IFERROR(IF(ISNUMBER(C12),INDEX('1. Locais'!D2:D24,C12 + 1),NA()),NA())</f>
        <v>#N/A</v>
      </c>
      <c r="E12" s="51" t="e">
        <f ca="1">IFERROR(IF(ISNUMBER(C12),INDEX('1. Locais'!E2:E24,C12 + 1),NA()),NA())</f>
        <v>#N/A</v>
      </c>
      <c r="F12" s="52" t="str">
        <f ca="1">IFERROR(IF(ISNUMBER(C12),INDEX('2. Distâncias'!C2:C530,C11*23+C12+ 1) +F11," ")," ")</f>
        <v xml:space="preserve"> </v>
      </c>
      <c r="G12" s="53" t="str">
        <f ca="1">IFERROR(IF(ISNUMBER(C12),'3. Veículos'!F2 * INDEX('2. Distâncias'!D2:D530,C11*23+C12 + 1) +G11," ")," ")</f>
        <v xml:space="preserve"> </v>
      </c>
      <c r="H12" s="79" t="str">
        <f ca="1">IFERROR(IF(ISNUMBER(C12),'3. Veículos'!F2 * INDEX('2. Distâncias'!D2:D530,C11*23+C12 + 1) +I11," ")," ")</f>
        <v xml:space="preserve"> </v>
      </c>
      <c r="I12" s="79" t="str">
        <f ca="1">IFERROR(IF(AND(C5&lt;&gt;C12,ISNUMBER(H12)),INDEX('1. Locais'!I2:I24,C12 + 1) + MAX(H12,INDEX('1. Locais'!F2:F24,C12 + 1))," ")," ")</f>
        <v xml:space="preserve"> </v>
      </c>
      <c r="J12" s="53" t="str">
        <f ca="1">IFERROR(IF(AND(B12 = B5, B13 = ""), H12 - I5, I12 - I5)," ")</f>
        <v xml:space="preserve"> </v>
      </c>
      <c r="K12" s="51" t="str">
        <f ca="1">IFERROR(IF(ISNUMBER(C12),INDEX('1. Locais'!L2:L24,C12 + 1) + K11," ")," ")</f>
        <v xml:space="preserve"> </v>
      </c>
      <c r="L12" s="52" t="str">
        <f ca="1">IFERROR(IF(ISNUMBER(C12),INDEX('1. Locais'!J2:J24,C12 + 1)," ")," ")</f>
        <v xml:space="preserve"> </v>
      </c>
      <c r="M12" s="52" t="str">
        <f ca="1">IFERROR(IF(ISNUMBER(C12),INDEX('1. Locais'!K2:K24,C12 + 1)," ")," ")</f>
        <v xml:space="preserve"> </v>
      </c>
      <c r="N12" s="52" t="str">
        <f ca="1">IFERROR(IF(ISNUMBER(C12),IF(B12 = B5, 0, L12 + N11)," ")," ")</f>
        <v xml:space="preserve"> </v>
      </c>
      <c r="O12" s="52" t="str">
        <f ca="1">IFERROR(IF(ISNUMBER(C12),IF(B13 = B5, 0, IF(B13 = "", 0, O13 + M13))," ")," ")</f>
        <v xml:space="preserve"> </v>
      </c>
      <c r="P12" s="51" t="str">
        <f t="shared" ca="1" si="0"/>
        <v xml:space="preserve"> </v>
      </c>
    </row>
    <row r="13" spans="1:16" x14ac:dyDescent="0.25">
      <c r="A13" s="23">
        <v>8</v>
      </c>
      <c r="B13" s="54"/>
      <c r="C13" s="51" t="str">
        <f ca="1">IFERROR(MATCH(INDIRECT("B13"),'1. Locais'!B2:B24, 0) - 1," ")</f>
        <v xml:space="preserve"> </v>
      </c>
      <c r="D13" s="51" t="e">
        <f ca="1">IFERROR(IF(ISNUMBER(C13),INDEX('1. Locais'!D2:D24,C13 + 1),NA()),NA())</f>
        <v>#N/A</v>
      </c>
      <c r="E13" s="51" t="e">
        <f ca="1">IFERROR(IF(ISNUMBER(C13),INDEX('1. Locais'!E2:E24,C13 + 1),NA()),NA())</f>
        <v>#N/A</v>
      </c>
      <c r="F13" s="52" t="str">
        <f ca="1">IFERROR(IF(ISNUMBER(C13),INDEX('2. Distâncias'!C2:C530,C12*23+C13+ 1) +F12," ")," ")</f>
        <v xml:space="preserve"> </v>
      </c>
      <c r="G13" s="53" t="str">
        <f ca="1">IFERROR(IF(ISNUMBER(C13),'3. Veículos'!F2 * INDEX('2. Distâncias'!D2:D530,C12*23+C13 + 1) +G12," ")," ")</f>
        <v xml:space="preserve"> </v>
      </c>
      <c r="H13" s="79" t="str">
        <f ca="1">IFERROR(IF(ISNUMBER(C13),'3. Veículos'!F2 * INDEX('2. Distâncias'!D2:D530,C12*23+C13 + 1) +I12," ")," ")</f>
        <v xml:space="preserve"> </v>
      </c>
      <c r="I13" s="79" t="str">
        <f ca="1">IFERROR(IF(AND(C5&lt;&gt;C13,ISNUMBER(H13)),INDEX('1. Locais'!I2:I24,C13 + 1) + MAX(H13,INDEX('1. Locais'!F2:F24,C13 + 1))," ")," ")</f>
        <v xml:space="preserve"> </v>
      </c>
      <c r="J13" s="53" t="str">
        <f ca="1">IFERROR(IF(AND(B13 = B5, B14 = ""), H13 - I5, I13 - I5)," ")</f>
        <v xml:space="preserve"> </v>
      </c>
      <c r="K13" s="51" t="str">
        <f ca="1">IFERROR(IF(ISNUMBER(C13),INDEX('1. Locais'!L2:L24,C13 + 1) + K12," ")," ")</f>
        <v xml:space="preserve"> </v>
      </c>
      <c r="L13" s="52" t="str">
        <f ca="1">IFERROR(IF(ISNUMBER(C13),INDEX('1. Locais'!J2:J24,C13 + 1)," ")," ")</f>
        <v xml:space="preserve"> </v>
      </c>
      <c r="M13" s="52" t="str">
        <f ca="1">IFERROR(IF(ISNUMBER(C13),INDEX('1. Locais'!K2:K24,C13 + 1)," ")," ")</f>
        <v xml:space="preserve"> </v>
      </c>
      <c r="N13" s="52" t="str">
        <f ca="1">IFERROR(IF(ISNUMBER(C13),IF(B13 = B5, 0, L13 + N12)," ")," ")</f>
        <v xml:space="preserve"> </v>
      </c>
      <c r="O13" s="52" t="str">
        <f ca="1">IFERROR(IF(ISNUMBER(C13),IF(B14 = B5, 0, IF(B14 = "", 0, O14 + M14))," ")," ")</f>
        <v xml:space="preserve"> </v>
      </c>
      <c r="P13" s="51" t="str">
        <f t="shared" ca="1" si="0"/>
        <v xml:space="preserve"> </v>
      </c>
    </row>
    <row r="14" spans="1:16" x14ac:dyDescent="0.25">
      <c r="A14" s="23">
        <v>9</v>
      </c>
      <c r="B14" s="50"/>
      <c r="C14" s="51" t="str">
        <f ca="1">IFERROR(MATCH(INDIRECT("B14"),'1. Locais'!B2:B24, 0) - 1," ")</f>
        <v xml:space="preserve"> </v>
      </c>
      <c r="D14" s="51" t="e">
        <f ca="1">IFERROR(IF(ISNUMBER(C14),INDEX('1. Locais'!D2:D24,C14 + 1),NA()),NA())</f>
        <v>#N/A</v>
      </c>
      <c r="E14" s="51" t="e">
        <f ca="1">IFERROR(IF(ISNUMBER(C14),INDEX('1. Locais'!E2:E24,C14 + 1),NA()),NA())</f>
        <v>#N/A</v>
      </c>
      <c r="F14" s="52" t="str">
        <f ca="1">IFERROR(IF(ISNUMBER(C14),INDEX('2. Distâncias'!C2:C530,C13*23+C14+ 1) +F13," ")," ")</f>
        <v xml:space="preserve"> </v>
      </c>
      <c r="G14" s="53" t="str">
        <f ca="1">IFERROR(IF(ISNUMBER(C14),'3. Veículos'!F2 * INDEX('2. Distâncias'!D2:D530,C13*23+C14 + 1) +G13," ")," ")</f>
        <v xml:space="preserve"> </v>
      </c>
      <c r="H14" s="79" t="str">
        <f ca="1">IFERROR(IF(ISNUMBER(C14),'3. Veículos'!F2 * INDEX('2. Distâncias'!D2:D530,C13*23+C14 + 1) +I13," ")," ")</f>
        <v xml:space="preserve"> </v>
      </c>
      <c r="I14" s="79" t="str">
        <f ca="1">IFERROR(IF(AND(C5&lt;&gt;C14,ISNUMBER(H14)),INDEX('1. Locais'!I2:I24,C14 + 1) + MAX(H14,INDEX('1. Locais'!F2:F24,C14 + 1))," ")," ")</f>
        <v xml:space="preserve"> </v>
      </c>
      <c r="J14" s="53" t="str">
        <f ca="1">IFERROR(IF(AND(B14 = B5, B15 = ""), H14 - I5, I14 - I5)," ")</f>
        <v xml:space="preserve"> </v>
      </c>
      <c r="K14" s="51" t="str">
        <f ca="1">IFERROR(IF(ISNUMBER(C14),INDEX('1. Locais'!L2:L24,C14 + 1) + K13," ")," ")</f>
        <v xml:space="preserve"> </v>
      </c>
      <c r="L14" s="52" t="str">
        <f ca="1">IFERROR(IF(ISNUMBER(C14),INDEX('1. Locais'!J2:J24,C14 + 1)," ")," ")</f>
        <v xml:space="preserve"> </v>
      </c>
      <c r="M14" s="52" t="str">
        <f ca="1">IFERROR(IF(ISNUMBER(C14),INDEX('1. Locais'!K2:K24,C14 + 1)," ")," ")</f>
        <v xml:space="preserve"> </v>
      </c>
      <c r="N14" s="52" t="str">
        <f ca="1">IFERROR(IF(ISNUMBER(C14),IF(B14 = B5, 0, L14 + N13)," ")," ")</f>
        <v xml:space="preserve"> </v>
      </c>
      <c r="O14" s="52" t="str">
        <f ca="1">IFERROR(IF(ISNUMBER(C14),IF(B15 = B5, 0, IF(B15 = "", 0, O15 + M15))," ")," ")</f>
        <v xml:space="preserve"> </v>
      </c>
      <c r="P14" s="51" t="str">
        <f t="shared" ca="1" si="0"/>
        <v xml:space="preserve"> </v>
      </c>
    </row>
    <row r="15" spans="1:16" x14ac:dyDescent="0.25">
      <c r="A15" s="23">
        <v>10</v>
      </c>
      <c r="B15" s="54"/>
      <c r="C15" s="51" t="str">
        <f ca="1">IFERROR(MATCH(INDIRECT("B15"),'1. Locais'!B2:B24, 0) - 1," ")</f>
        <v xml:space="preserve"> </v>
      </c>
      <c r="D15" s="51" t="e">
        <f ca="1">IFERROR(IF(ISNUMBER(C15),INDEX('1. Locais'!D2:D24,C15 + 1),NA()),NA())</f>
        <v>#N/A</v>
      </c>
      <c r="E15" s="51" t="e">
        <f ca="1">IFERROR(IF(ISNUMBER(C15),INDEX('1. Locais'!E2:E24,C15 + 1),NA()),NA())</f>
        <v>#N/A</v>
      </c>
      <c r="F15" s="52" t="str">
        <f ca="1">IFERROR(IF(ISNUMBER(C15),INDEX('2. Distâncias'!C2:C530,C14*23+C15+ 1) +F14," ")," ")</f>
        <v xml:space="preserve"> </v>
      </c>
      <c r="G15" s="53" t="str">
        <f ca="1">IFERROR(IF(ISNUMBER(C15),'3. Veículos'!F2 * INDEX('2. Distâncias'!D2:D530,C14*23+C15 + 1) +G14," ")," ")</f>
        <v xml:space="preserve"> </v>
      </c>
      <c r="H15" s="79" t="str">
        <f ca="1">IFERROR(IF(ISNUMBER(C15),'3. Veículos'!F2 * INDEX('2. Distâncias'!D2:D530,C14*23+C15 + 1) +I14," ")," ")</f>
        <v xml:space="preserve"> </v>
      </c>
      <c r="I15" s="79" t="str">
        <f ca="1">IFERROR(IF(AND(C5&lt;&gt;C15,ISNUMBER(H15)),INDEX('1. Locais'!I2:I24,C15 + 1) + MAX(H15,INDEX('1. Locais'!F2:F24,C15 + 1))," ")," ")</f>
        <v xml:space="preserve"> </v>
      </c>
      <c r="J15" s="53" t="str">
        <f ca="1">IFERROR(IF(AND(B15 = B5, B16 = ""), H15 - I5, I15 - I5)," ")</f>
        <v xml:space="preserve"> </v>
      </c>
      <c r="K15" s="51" t="str">
        <f ca="1">IFERROR(IF(ISNUMBER(C15),INDEX('1. Locais'!L2:L24,C15 + 1) + K14," ")," ")</f>
        <v xml:space="preserve"> </v>
      </c>
      <c r="L15" s="52" t="str">
        <f ca="1">IFERROR(IF(ISNUMBER(C15),INDEX('1. Locais'!J2:J24,C15 + 1)," ")," ")</f>
        <v xml:space="preserve"> </v>
      </c>
      <c r="M15" s="52" t="str">
        <f ca="1">IFERROR(IF(ISNUMBER(C15),INDEX('1. Locais'!K2:K24,C15 + 1)," ")," ")</f>
        <v xml:space="preserve"> </v>
      </c>
      <c r="N15" s="52" t="str">
        <f ca="1">IFERROR(IF(ISNUMBER(C15),IF(B15 = B5, 0, L15 + N14)," ")," ")</f>
        <v xml:space="preserve"> </v>
      </c>
      <c r="O15" s="52" t="str">
        <f ca="1">IFERROR(IF(ISNUMBER(C15),IF(B16 = B5, 0, IF(B16 = "", 0, O16 + M16))," ")," ")</f>
        <v xml:space="preserve"> </v>
      </c>
      <c r="P15" s="51" t="str">
        <f t="shared" ca="1" si="0"/>
        <v xml:space="preserve"> </v>
      </c>
    </row>
    <row r="16" spans="1:16" x14ac:dyDescent="0.25">
      <c r="A16" s="23">
        <v>11</v>
      </c>
      <c r="B16" s="50"/>
      <c r="C16" s="51" t="str">
        <f ca="1">IFERROR(MATCH(INDIRECT("B16"),'1. Locais'!B2:B24, 0) - 1," ")</f>
        <v xml:space="preserve"> </v>
      </c>
      <c r="D16" s="51" t="e">
        <f ca="1">IFERROR(IF(ISNUMBER(C16),INDEX('1. Locais'!D2:D24,C16 + 1),NA()),NA())</f>
        <v>#N/A</v>
      </c>
      <c r="E16" s="51" t="e">
        <f ca="1">IFERROR(IF(ISNUMBER(C16),INDEX('1. Locais'!E2:E24,C16 + 1),NA()),NA())</f>
        <v>#N/A</v>
      </c>
      <c r="F16" s="52" t="str">
        <f ca="1">IFERROR(IF(ISNUMBER(C16),INDEX('2. Distâncias'!C2:C530,C15*23+C16+ 1) +F15," ")," ")</f>
        <v xml:space="preserve"> </v>
      </c>
      <c r="G16" s="53" t="str">
        <f ca="1">IFERROR(IF(ISNUMBER(C16),'3. Veículos'!F2 * INDEX('2. Distâncias'!D2:D530,C15*23+C16 + 1) +G15," ")," ")</f>
        <v xml:space="preserve"> </v>
      </c>
      <c r="H16" s="79" t="str">
        <f ca="1">IFERROR(IF(ISNUMBER(C16),'3. Veículos'!F2 * INDEX('2. Distâncias'!D2:D530,C15*23+C16 + 1) +I15," ")," ")</f>
        <v xml:space="preserve"> </v>
      </c>
      <c r="I16" s="79" t="str">
        <f ca="1">IFERROR(IF(AND(C5&lt;&gt;C16,ISNUMBER(H16)),INDEX('1. Locais'!I2:I24,C16 + 1) + MAX(H16,INDEX('1. Locais'!F2:F24,C16 + 1))," ")," ")</f>
        <v xml:space="preserve"> </v>
      </c>
      <c r="J16" s="53" t="str">
        <f ca="1">IFERROR(IF(AND(B16 = B5, B17 = ""), H16 - I5, I16 - I5)," ")</f>
        <v xml:space="preserve"> </v>
      </c>
      <c r="K16" s="51" t="str">
        <f ca="1">IFERROR(IF(ISNUMBER(C16),INDEX('1. Locais'!L2:L24,C16 + 1) + K15," ")," ")</f>
        <v xml:space="preserve"> </v>
      </c>
      <c r="L16" s="52" t="str">
        <f ca="1">IFERROR(IF(ISNUMBER(C16),INDEX('1. Locais'!J2:J24,C16 + 1)," ")," ")</f>
        <v xml:space="preserve"> </v>
      </c>
      <c r="M16" s="52" t="str">
        <f ca="1">IFERROR(IF(ISNUMBER(C16),INDEX('1. Locais'!K2:K24,C16 + 1)," ")," ")</f>
        <v xml:space="preserve"> </v>
      </c>
      <c r="N16" s="52" t="str">
        <f ca="1">IFERROR(IF(ISNUMBER(C16),IF(B16 = B5, 0, L16 + N15)," ")," ")</f>
        <v xml:space="preserve"> </v>
      </c>
      <c r="O16" s="52" t="str">
        <f ca="1">IFERROR(IF(ISNUMBER(C16),IF(B17 = B5, 0, IF(B17 = "", 0, O17 + M17))," ")," ")</f>
        <v xml:space="preserve"> </v>
      </c>
      <c r="P16" s="51" t="str">
        <f t="shared" ca="1" si="0"/>
        <v xml:space="preserve"> </v>
      </c>
    </row>
    <row r="17" spans="1:16" x14ac:dyDescent="0.25">
      <c r="A17" s="23">
        <v>12</v>
      </c>
      <c r="B17" s="54"/>
      <c r="C17" s="51" t="str">
        <f ca="1">IFERROR(MATCH(INDIRECT("B17"),'1. Locais'!B2:B24, 0) - 1," ")</f>
        <v xml:space="preserve"> </v>
      </c>
      <c r="D17" s="51" t="e">
        <f ca="1">IFERROR(IF(ISNUMBER(C17),INDEX('1. Locais'!D2:D24,C17 + 1),NA()),NA())</f>
        <v>#N/A</v>
      </c>
      <c r="E17" s="51" t="e">
        <f ca="1">IFERROR(IF(ISNUMBER(C17),INDEX('1. Locais'!E2:E24,C17 + 1),NA()),NA())</f>
        <v>#N/A</v>
      </c>
      <c r="F17" s="52" t="str">
        <f ca="1">IFERROR(IF(ISNUMBER(C17),INDEX('2. Distâncias'!C2:C530,C16*23+C17+ 1) +F16," ")," ")</f>
        <v xml:space="preserve"> </v>
      </c>
      <c r="G17" s="53" t="str">
        <f ca="1">IFERROR(IF(ISNUMBER(C17),'3. Veículos'!F2 * INDEX('2. Distâncias'!D2:D530,C16*23+C17 + 1) +G16," ")," ")</f>
        <v xml:space="preserve"> </v>
      </c>
      <c r="H17" s="79" t="str">
        <f ca="1">IFERROR(IF(ISNUMBER(C17),'3. Veículos'!F2 * INDEX('2. Distâncias'!D2:D530,C16*23+C17 + 1) +I16," ")," ")</f>
        <v xml:space="preserve"> </v>
      </c>
      <c r="I17" s="79" t="str">
        <f ca="1">IFERROR(IF(AND(C5&lt;&gt;C17,ISNUMBER(H17)),INDEX('1. Locais'!I2:I24,C17 + 1) + MAX(H17,INDEX('1. Locais'!F2:F24,C17 + 1))," ")," ")</f>
        <v xml:space="preserve"> </v>
      </c>
      <c r="J17" s="53" t="str">
        <f ca="1">IFERROR(IF(AND(B17 = B5, B18 = ""), H17 - I5, I17 - I5)," ")</f>
        <v xml:space="preserve"> </v>
      </c>
      <c r="K17" s="51" t="str">
        <f ca="1">IFERROR(IF(ISNUMBER(C17),INDEX('1. Locais'!L2:L24,C17 + 1) + K16," ")," ")</f>
        <v xml:space="preserve"> </v>
      </c>
      <c r="L17" s="52" t="str">
        <f ca="1">IFERROR(IF(ISNUMBER(C17),INDEX('1. Locais'!J2:J24,C17 + 1)," ")," ")</f>
        <v xml:space="preserve"> </v>
      </c>
      <c r="M17" s="52" t="str">
        <f ca="1">IFERROR(IF(ISNUMBER(C17),INDEX('1. Locais'!K2:K24,C17 + 1)," ")," ")</f>
        <v xml:space="preserve"> </v>
      </c>
      <c r="N17" s="52" t="str">
        <f ca="1">IFERROR(IF(ISNUMBER(C17),IF(B17 = B5, 0, L17 + N16)," ")," ")</f>
        <v xml:space="preserve"> </v>
      </c>
      <c r="O17" s="52" t="str">
        <f ca="1">IFERROR(IF(ISNUMBER(C17),IF(B18 = B5, 0, IF(B18 = "", 0, O18 + M18))," ")," ")</f>
        <v xml:space="preserve"> </v>
      </c>
      <c r="P17" s="51" t="str">
        <f t="shared" ca="1" si="0"/>
        <v xml:space="preserve"> </v>
      </c>
    </row>
    <row r="18" spans="1:16" x14ac:dyDescent="0.25">
      <c r="A18" s="23">
        <v>13</v>
      </c>
      <c r="B18" s="50"/>
      <c r="C18" s="51" t="str">
        <f ca="1">IFERROR(MATCH(INDIRECT("B18"),'1. Locais'!B2:B24, 0) - 1," ")</f>
        <v xml:space="preserve"> </v>
      </c>
      <c r="D18" s="51" t="e">
        <f ca="1">IFERROR(IF(ISNUMBER(C18),INDEX('1. Locais'!D2:D24,C18 + 1),NA()),NA())</f>
        <v>#N/A</v>
      </c>
      <c r="E18" s="51" t="e">
        <f ca="1">IFERROR(IF(ISNUMBER(C18),INDEX('1. Locais'!E2:E24,C18 + 1),NA()),NA())</f>
        <v>#N/A</v>
      </c>
      <c r="F18" s="52" t="str">
        <f ca="1">IFERROR(IF(ISNUMBER(C18),INDEX('2. Distâncias'!C2:C530,C17*23+C18+ 1) +F17," ")," ")</f>
        <v xml:space="preserve"> </v>
      </c>
      <c r="G18" s="53" t="str">
        <f ca="1">IFERROR(IF(ISNUMBER(C18),'3. Veículos'!F2 * INDEX('2. Distâncias'!D2:D530,C17*23+C18 + 1) +G17," ")," ")</f>
        <v xml:space="preserve"> </v>
      </c>
      <c r="H18" s="79" t="str">
        <f ca="1">IFERROR(IF(ISNUMBER(C18),'3. Veículos'!F2 * INDEX('2. Distâncias'!D2:D530,C17*23+C18 + 1) +I17," ")," ")</f>
        <v xml:space="preserve"> </v>
      </c>
      <c r="I18" s="79" t="str">
        <f ca="1">IFERROR(IF(AND(C5&lt;&gt;C18,ISNUMBER(H18)),INDEX('1. Locais'!I2:I24,C18 + 1) + MAX(H18,INDEX('1. Locais'!F2:F24,C18 + 1))," ")," ")</f>
        <v xml:space="preserve"> </v>
      </c>
      <c r="J18" s="53" t="str">
        <f ca="1">IFERROR(IF(AND(B18 = B5, B19 = ""), H18 - I5, I18 - I5)," ")</f>
        <v xml:space="preserve"> </v>
      </c>
      <c r="K18" s="51" t="str">
        <f ca="1">IFERROR(IF(ISNUMBER(C18),INDEX('1. Locais'!L2:L24,C18 + 1) + K17," ")," ")</f>
        <v xml:space="preserve"> </v>
      </c>
      <c r="L18" s="52" t="str">
        <f ca="1">IFERROR(IF(ISNUMBER(C18),INDEX('1. Locais'!J2:J24,C18 + 1)," ")," ")</f>
        <v xml:space="preserve"> </v>
      </c>
      <c r="M18" s="52" t="str">
        <f ca="1">IFERROR(IF(ISNUMBER(C18),INDEX('1. Locais'!K2:K24,C18 + 1)," ")," ")</f>
        <v xml:space="preserve"> </v>
      </c>
      <c r="N18" s="52" t="str">
        <f ca="1">IFERROR(IF(ISNUMBER(C18),IF(B18 = B5, 0, L18 + N17)," ")," ")</f>
        <v xml:space="preserve"> </v>
      </c>
      <c r="O18" s="52" t="str">
        <f ca="1">IFERROR(IF(ISNUMBER(C18),IF(B19 = B5, 0, IF(B19 = "", 0, O19 + M19))," ")," ")</f>
        <v xml:space="preserve"> </v>
      </c>
      <c r="P18" s="51" t="str">
        <f t="shared" ca="1" si="0"/>
        <v xml:space="preserve"> </v>
      </c>
    </row>
    <row r="19" spans="1:16" x14ac:dyDescent="0.25">
      <c r="A19" s="23">
        <v>14</v>
      </c>
      <c r="B19" s="54"/>
      <c r="C19" s="51" t="str">
        <f ca="1">IFERROR(MATCH(INDIRECT("B19"),'1. Locais'!B2:B24, 0) - 1," ")</f>
        <v xml:space="preserve"> </v>
      </c>
      <c r="D19" s="51" t="e">
        <f ca="1">IFERROR(IF(ISNUMBER(C19),INDEX('1. Locais'!D2:D24,C19 + 1),NA()),NA())</f>
        <v>#N/A</v>
      </c>
      <c r="E19" s="51" t="e">
        <f ca="1">IFERROR(IF(ISNUMBER(C19),INDEX('1. Locais'!E2:E24,C19 + 1),NA()),NA())</f>
        <v>#N/A</v>
      </c>
      <c r="F19" s="52" t="str">
        <f ca="1">IFERROR(IF(ISNUMBER(C19),INDEX('2. Distâncias'!C2:C530,C18*23+C19+ 1) +F18," ")," ")</f>
        <v xml:space="preserve"> </v>
      </c>
      <c r="G19" s="53" t="str">
        <f ca="1">IFERROR(IF(ISNUMBER(C19),'3. Veículos'!F2 * INDEX('2. Distâncias'!D2:D530,C18*23+C19 + 1) +G18," ")," ")</f>
        <v xml:space="preserve"> </v>
      </c>
      <c r="H19" s="79" t="str">
        <f ca="1">IFERROR(IF(ISNUMBER(C19),'3. Veículos'!F2 * INDEX('2. Distâncias'!D2:D530,C18*23+C19 + 1) +I18," ")," ")</f>
        <v xml:space="preserve"> </v>
      </c>
      <c r="I19" s="79" t="str">
        <f ca="1">IFERROR(IF(AND(C5&lt;&gt;C19,ISNUMBER(H19)),INDEX('1. Locais'!I2:I24,C19 + 1) + MAX(H19,INDEX('1. Locais'!F2:F24,C19 + 1))," ")," ")</f>
        <v xml:space="preserve"> </v>
      </c>
      <c r="J19" s="53" t="str">
        <f ca="1">IFERROR(IF(AND(B19 = B5, B20 = ""), H19 - I5, I19 - I5)," ")</f>
        <v xml:space="preserve"> </v>
      </c>
      <c r="K19" s="51" t="str">
        <f ca="1">IFERROR(IF(ISNUMBER(C19),INDEX('1. Locais'!L2:L24,C19 + 1) + K18," ")," ")</f>
        <v xml:space="preserve"> </v>
      </c>
      <c r="L19" s="52" t="str">
        <f ca="1">IFERROR(IF(ISNUMBER(C19),INDEX('1. Locais'!J2:J24,C19 + 1)," ")," ")</f>
        <v xml:space="preserve"> </v>
      </c>
      <c r="M19" s="52" t="str">
        <f ca="1">IFERROR(IF(ISNUMBER(C19),INDEX('1. Locais'!K2:K24,C19 + 1)," ")," ")</f>
        <v xml:space="preserve"> </v>
      </c>
      <c r="N19" s="52" t="str">
        <f ca="1">IFERROR(IF(ISNUMBER(C19),IF(B19 = B5, 0, L19 + N18)," ")," ")</f>
        <v xml:space="preserve"> </v>
      </c>
      <c r="O19" s="52" t="str">
        <f ca="1">IFERROR(IF(ISNUMBER(C19),IF(B20 = B5, 0, IF(B20 = "", 0, O20 + M20))," ")," ")</f>
        <v xml:space="preserve"> </v>
      </c>
      <c r="P19" s="51" t="str">
        <f t="shared" ca="1" si="0"/>
        <v xml:space="preserve"> </v>
      </c>
    </row>
    <row r="20" spans="1:16" x14ac:dyDescent="0.25">
      <c r="A20" s="23">
        <v>15</v>
      </c>
      <c r="B20" s="50"/>
      <c r="C20" s="51" t="str">
        <f ca="1">IFERROR(MATCH(INDIRECT("B20"),'1. Locais'!B2:B24, 0) - 1," ")</f>
        <v xml:space="preserve"> </v>
      </c>
      <c r="D20" s="51" t="e">
        <f ca="1">IFERROR(IF(ISNUMBER(C20),INDEX('1. Locais'!D2:D24,C20 + 1),NA()),NA())</f>
        <v>#N/A</v>
      </c>
      <c r="E20" s="51" t="e">
        <f ca="1">IFERROR(IF(ISNUMBER(C20),INDEX('1. Locais'!E2:E24,C20 + 1),NA()),NA())</f>
        <v>#N/A</v>
      </c>
      <c r="F20" s="52" t="str">
        <f ca="1">IFERROR(IF(ISNUMBER(C20),INDEX('2. Distâncias'!C2:C530,C19*23+C20+ 1) +F19," ")," ")</f>
        <v xml:space="preserve"> </v>
      </c>
      <c r="G20" s="53" t="str">
        <f ca="1">IFERROR(IF(ISNUMBER(C20),'3. Veículos'!F2 * INDEX('2. Distâncias'!D2:D530,C19*23+C20 + 1) +G19," ")," ")</f>
        <v xml:space="preserve"> </v>
      </c>
      <c r="H20" s="79" t="str">
        <f ca="1">IFERROR(IF(ISNUMBER(C20),'3. Veículos'!F2 * INDEX('2. Distâncias'!D2:D530,C19*23+C20 + 1) +I19," ")," ")</f>
        <v xml:space="preserve"> </v>
      </c>
      <c r="I20" s="79" t="str">
        <f ca="1">IFERROR(IF(AND(C5&lt;&gt;C20,ISNUMBER(H20)),INDEX('1. Locais'!I2:I24,C20 + 1) + MAX(H20,INDEX('1. Locais'!F2:F24,C20 + 1))," ")," ")</f>
        <v xml:space="preserve"> </v>
      </c>
      <c r="J20" s="53" t="str">
        <f ca="1">IFERROR(IF(AND(B20 = B5, B21 = ""), H20 - I5, I20 - I5)," ")</f>
        <v xml:space="preserve"> </v>
      </c>
      <c r="K20" s="51" t="str">
        <f ca="1">IFERROR(IF(ISNUMBER(C20),INDEX('1. Locais'!L2:L24,C20 + 1) + K19," ")," ")</f>
        <v xml:space="preserve"> </v>
      </c>
      <c r="L20" s="52" t="str">
        <f ca="1">IFERROR(IF(ISNUMBER(C20),INDEX('1. Locais'!J2:J24,C20 + 1)," ")," ")</f>
        <v xml:space="preserve"> </v>
      </c>
      <c r="M20" s="52" t="str">
        <f ca="1">IFERROR(IF(ISNUMBER(C20),INDEX('1. Locais'!K2:K24,C20 + 1)," ")," ")</f>
        <v xml:space="preserve"> </v>
      </c>
      <c r="N20" s="52" t="str">
        <f ca="1">IFERROR(IF(ISNUMBER(C20),IF(B20 = B5, 0, L20 + N19)," ")," ")</f>
        <v xml:space="preserve"> </v>
      </c>
      <c r="O20" s="52" t="str">
        <f ca="1">IFERROR(IF(ISNUMBER(C20),IF(B21 = B5, 0, IF(B21 = "", 0, O21 + M21))," ")," ")</f>
        <v xml:space="preserve"> </v>
      </c>
      <c r="P20" s="51" t="str">
        <f t="shared" ca="1" si="0"/>
        <v xml:space="preserve"> </v>
      </c>
    </row>
    <row r="21" spans="1:16" x14ac:dyDescent="0.25">
      <c r="A21" s="23">
        <v>16</v>
      </c>
      <c r="B21" s="54"/>
      <c r="C21" s="51" t="str">
        <f ca="1">IFERROR(MATCH(INDIRECT("B21"),'1. Locais'!B2:B24, 0) - 1," ")</f>
        <v xml:space="preserve"> </v>
      </c>
      <c r="D21" s="51" t="e">
        <f ca="1">IFERROR(IF(ISNUMBER(C21),INDEX('1. Locais'!D2:D24,C21 + 1),NA()),NA())</f>
        <v>#N/A</v>
      </c>
      <c r="E21" s="51" t="e">
        <f ca="1">IFERROR(IF(ISNUMBER(C21),INDEX('1. Locais'!E2:E24,C21 + 1),NA()),NA())</f>
        <v>#N/A</v>
      </c>
      <c r="F21" s="52" t="str">
        <f ca="1">IFERROR(IF(ISNUMBER(C21),INDEX('2. Distâncias'!C2:C530,C20*23+C21+ 1) +F20," ")," ")</f>
        <v xml:space="preserve"> </v>
      </c>
      <c r="G21" s="53" t="str">
        <f ca="1">IFERROR(IF(ISNUMBER(C21),'3. Veículos'!F2 * INDEX('2. Distâncias'!D2:D530,C20*23+C21 + 1) +G20," ")," ")</f>
        <v xml:space="preserve"> </v>
      </c>
      <c r="H21" s="79" t="str">
        <f ca="1">IFERROR(IF(ISNUMBER(C21),'3. Veículos'!F2 * INDEX('2. Distâncias'!D2:D530,C20*23+C21 + 1) +I20," ")," ")</f>
        <v xml:space="preserve"> </v>
      </c>
      <c r="I21" s="79" t="str">
        <f ca="1">IFERROR(IF(AND(C5&lt;&gt;C21,ISNUMBER(H21)),INDEX('1. Locais'!I2:I24,C21 + 1) + MAX(H21,INDEX('1. Locais'!F2:F24,C21 + 1))," ")," ")</f>
        <v xml:space="preserve"> </v>
      </c>
      <c r="J21" s="53" t="str">
        <f ca="1">IFERROR(IF(AND(B21 = B5, B22 = ""), H21 - I5, I21 - I5)," ")</f>
        <v xml:space="preserve"> </v>
      </c>
      <c r="K21" s="51" t="str">
        <f ca="1">IFERROR(IF(ISNUMBER(C21),INDEX('1. Locais'!L2:L24,C21 + 1) + K20," ")," ")</f>
        <v xml:space="preserve"> </v>
      </c>
      <c r="L21" s="52" t="str">
        <f ca="1">IFERROR(IF(ISNUMBER(C21),INDEX('1. Locais'!J2:J24,C21 + 1)," ")," ")</f>
        <v xml:space="preserve"> </v>
      </c>
      <c r="M21" s="52" t="str">
        <f ca="1">IFERROR(IF(ISNUMBER(C21),INDEX('1. Locais'!K2:K24,C21 + 1)," ")," ")</f>
        <v xml:space="preserve"> </v>
      </c>
      <c r="N21" s="52" t="str">
        <f ca="1">IFERROR(IF(ISNUMBER(C21),IF(B21 = B5, 0, L21 + N20)," ")," ")</f>
        <v xml:space="preserve"> </v>
      </c>
      <c r="O21" s="52" t="str">
        <f ca="1">IFERROR(IF(ISNUMBER(C21),IF(B22 = B5, 0, IF(B22 = "", 0, O22 + M22))," ")," ")</f>
        <v xml:space="preserve"> </v>
      </c>
      <c r="P21" s="51" t="str">
        <f t="shared" ca="1" si="0"/>
        <v xml:space="preserve"> </v>
      </c>
    </row>
    <row r="22" spans="1:16" x14ac:dyDescent="0.25">
      <c r="A22" s="23">
        <v>17</v>
      </c>
      <c r="B22" s="50"/>
      <c r="C22" s="51" t="str">
        <f ca="1">IFERROR(MATCH(INDIRECT("B22"),'1. Locais'!B2:B24, 0) - 1," ")</f>
        <v xml:space="preserve"> </v>
      </c>
      <c r="D22" s="51" t="e">
        <f ca="1">IFERROR(IF(ISNUMBER(C22),INDEX('1. Locais'!D2:D24,C22 + 1),NA()),NA())</f>
        <v>#N/A</v>
      </c>
      <c r="E22" s="51" t="e">
        <f ca="1">IFERROR(IF(ISNUMBER(C22),INDEX('1. Locais'!E2:E24,C22 + 1),NA()),NA())</f>
        <v>#N/A</v>
      </c>
      <c r="F22" s="52" t="str">
        <f ca="1">IFERROR(IF(ISNUMBER(C22),INDEX('2. Distâncias'!C2:C530,C21*23+C22+ 1) +F21," ")," ")</f>
        <v xml:space="preserve"> </v>
      </c>
      <c r="G22" s="53" t="str">
        <f ca="1">IFERROR(IF(ISNUMBER(C22),'3. Veículos'!F2 * INDEX('2. Distâncias'!D2:D530,C21*23+C22 + 1) +G21," ")," ")</f>
        <v xml:space="preserve"> </v>
      </c>
      <c r="H22" s="79" t="str">
        <f ca="1">IFERROR(IF(ISNUMBER(C22),'3. Veículos'!F2 * INDEX('2. Distâncias'!D2:D530,C21*23+C22 + 1) +I21," ")," ")</f>
        <v xml:space="preserve"> </v>
      </c>
      <c r="I22" s="79" t="str">
        <f ca="1">IFERROR(IF(AND(C5&lt;&gt;C22,ISNUMBER(H22)),INDEX('1. Locais'!I2:I24,C22 + 1) + MAX(H22,INDEX('1. Locais'!F2:F24,C22 + 1))," ")," ")</f>
        <v xml:space="preserve"> </v>
      </c>
      <c r="J22" s="53" t="str">
        <f ca="1">IFERROR(IF(AND(B22 = B5, B23 = ""), H22 - I5, I22 - I5)," ")</f>
        <v xml:space="preserve"> </v>
      </c>
      <c r="K22" s="51" t="str">
        <f ca="1">IFERROR(IF(ISNUMBER(C22),INDEX('1. Locais'!L2:L24,C22 + 1) + K21," ")," ")</f>
        <v xml:space="preserve"> </v>
      </c>
      <c r="L22" s="52" t="str">
        <f ca="1">IFERROR(IF(ISNUMBER(C22),INDEX('1. Locais'!J2:J24,C22 + 1)," ")," ")</f>
        <v xml:space="preserve"> </v>
      </c>
      <c r="M22" s="52" t="str">
        <f ca="1">IFERROR(IF(ISNUMBER(C22),INDEX('1. Locais'!K2:K24,C22 + 1)," ")," ")</f>
        <v xml:space="preserve"> </v>
      </c>
      <c r="N22" s="52" t="str">
        <f ca="1">IFERROR(IF(ISNUMBER(C22),IF(B22 = B5, 0, L22 + N21)," ")," ")</f>
        <v xml:space="preserve"> </v>
      </c>
      <c r="O22" s="52" t="str">
        <f ca="1">IFERROR(IF(ISNUMBER(C22),IF(B23 = B5, 0, IF(B23 = "", 0, O23 + M23))," ")," ")</f>
        <v xml:space="preserve"> </v>
      </c>
      <c r="P22" s="51" t="str">
        <f t="shared" ca="1" si="0"/>
        <v xml:space="preserve"> </v>
      </c>
    </row>
    <row r="23" spans="1:16" x14ac:dyDescent="0.25">
      <c r="A23" s="23">
        <v>18</v>
      </c>
      <c r="B23" s="54"/>
      <c r="C23" s="51" t="str">
        <f ca="1">IFERROR(MATCH(INDIRECT("B23"),'1. Locais'!B2:B24, 0) - 1," ")</f>
        <v xml:space="preserve"> </v>
      </c>
      <c r="D23" s="51" t="e">
        <f ca="1">IFERROR(IF(ISNUMBER(C23),INDEX('1. Locais'!D2:D24,C23 + 1),NA()),NA())</f>
        <v>#N/A</v>
      </c>
      <c r="E23" s="51" t="e">
        <f ca="1">IFERROR(IF(ISNUMBER(C23),INDEX('1. Locais'!E2:E24,C23 + 1),NA()),NA())</f>
        <v>#N/A</v>
      </c>
      <c r="F23" s="52" t="str">
        <f ca="1">IFERROR(IF(ISNUMBER(C23),INDEX('2. Distâncias'!C2:C530,C22*23+C23+ 1) +F22," ")," ")</f>
        <v xml:space="preserve"> </v>
      </c>
      <c r="G23" s="53" t="str">
        <f ca="1">IFERROR(IF(ISNUMBER(C23),'3. Veículos'!F2 * INDEX('2. Distâncias'!D2:D530,C22*23+C23 + 1) +G22," ")," ")</f>
        <v xml:space="preserve"> </v>
      </c>
      <c r="H23" s="79" t="str">
        <f ca="1">IFERROR(IF(ISNUMBER(C23),'3. Veículos'!F2 * INDEX('2. Distâncias'!D2:D530,C22*23+C23 + 1) +I22," ")," ")</f>
        <v xml:space="preserve"> </v>
      </c>
      <c r="I23" s="79" t="str">
        <f ca="1">IFERROR(IF(AND(C5&lt;&gt;C23,ISNUMBER(H23)),INDEX('1. Locais'!I2:I24,C23 + 1) + MAX(H23,INDEX('1. Locais'!F2:F24,C23 + 1))," ")," ")</f>
        <v xml:space="preserve"> </v>
      </c>
      <c r="J23" s="53" t="str">
        <f ca="1">IFERROR(IF(AND(B23 = B5, B24 = ""), H23 - I5, I23 - I5)," ")</f>
        <v xml:space="preserve"> </v>
      </c>
      <c r="K23" s="51" t="str">
        <f ca="1">IFERROR(IF(ISNUMBER(C23),INDEX('1. Locais'!L2:L24,C23 + 1) + K22," ")," ")</f>
        <v xml:space="preserve"> </v>
      </c>
      <c r="L23" s="52" t="str">
        <f ca="1">IFERROR(IF(ISNUMBER(C23),INDEX('1. Locais'!J2:J24,C23 + 1)," ")," ")</f>
        <v xml:space="preserve"> </v>
      </c>
      <c r="M23" s="52" t="str">
        <f ca="1">IFERROR(IF(ISNUMBER(C23),INDEX('1. Locais'!K2:K24,C23 + 1)," ")," ")</f>
        <v xml:space="preserve"> </v>
      </c>
      <c r="N23" s="52" t="str">
        <f ca="1">IFERROR(IF(ISNUMBER(C23),IF(B23 = B5, 0, L23 + N22)," ")," ")</f>
        <v xml:space="preserve"> </v>
      </c>
      <c r="O23" s="52" t="str">
        <f ca="1">IFERROR(IF(ISNUMBER(C23),IF(B24 = B5, 0, IF(B24 = "", 0, O24 + M24))," ")," ")</f>
        <v xml:space="preserve"> </v>
      </c>
      <c r="P23" s="51" t="str">
        <f t="shared" ca="1" si="0"/>
        <v xml:space="preserve"> </v>
      </c>
    </row>
    <row r="24" spans="1:16" x14ac:dyDescent="0.25">
      <c r="A24" s="23">
        <v>19</v>
      </c>
      <c r="B24" s="50"/>
      <c r="C24" s="51" t="str">
        <f ca="1">IFERROR(MATCH(INDIRECT("B24"),'1. Locais'!B2:B24, 0) - 1," ")</f>
        <v xml:space="preserve"> </v>
      </c>
      <c r="D24" s="51" t="e">
        <f ca="1">IFERROR(IF(ISNUMBER(C24),INDEX('1. Locais'!D2:D24,C24 + 1),NA()),NA())</f>
        <v>#N/A</v>
      </c>
      <c r="E24" s="51" t="e">
        <f ca="1">IFERROR(IF(ISNUMBER(C24),INDEX('1. Locais'!E2:E24,C24 + 1),NA()),NA())</f>
        <v>#N/A</v>
      </c>
      <c r="F24" s="52" t="str">
        <f ca="1">IFERROR(IF(ISNUMBER(C24),INDEX('2. Distâncias'!C2:C530,C23*23+C24+ 1) +F23," ")," ")</f>
        <v xml:space="preserve"> </v>
      </c>
      <c r="G24" s="53" t="str">
        <f ca="1">IFERROR(IF(ISNUMBER(C24),'3. Veículos'!F2 * INDEX('2. Distâncias'!D2:D530,C23*23+C24 + 1) +G23," ")," ")</f>
        <v xml:space="preserve"> </v>
      </c>
      <c r="H24" s="79" t="str">
        <f ca="1">IFERROR(IF(ISNUMBER(C24),'3. Veículos'!F2 * INDEX('2. Distâncias'!D2:D530,C23*23+C24 + 1) +I23," ")," ")</f>
        <v xml:space="preserve"> </v>
      </c>
      <c r="I24" s="79" t="str">
        <f ca="1">IFERROR(IF(AND(C5&lt;&gt;C24,ISNUMBER(H24)),INDEX('1. Locais'!I2:I24,C24 + 1) + MAX(H24,INDEX('1. Locais'!F2:F24,C24 + 1))," ")," ")</f>
        <v xml:space="preserve"> </v>
      </c>
      <c r="J24" s="53" t="str">
        <f ca="1">IFERROR(IF(AND(B24 = B5, B25 = ""), H24 - I5, I24 - I5)," ")</f>
        <v xml:space="preserve"> </v>
      </c>
      <c r="K24" s="51" t="str">
        <f ca="1">IFERROR(IF(ISNUMBER(C24),INDEX('1. Locais'!L2:L24,C24 + 1) + K23," ")," ")</f>
        <v xml:space="preserve"> </v>
      </c>
      <c r="L24" s="52" t="str">
        <f ca="1">IFERROR(IF(ISNUMBER(C24),INDEX('1. Locais'!J2:J24,C24 + 1)," ")," ")</f>
        <v xml:space="preserve"> </v>
      </c>
      <c r="M24" s="52" t="str">
        <f ca="1">IFERROR(IF(ISNUMBER(C24),INDEX('1. Locais'!K2:K24,C24 + 1)," ")," ")</f>
        <v xml:space="preserve"> </v>
      </c>
      <c r="N24" s="52" t="str">
        <f ca="1">IFERROR(IF(ISNUMBER(C24),IF(B24 = B5, 0, L24 + N23)," ")," ")</f>
        <v xml:space="preserve"> </v>
      </c>
      <c r="O24" s="52" t="str">
        <f ca="1">IFERROR(IF(ISNUMBER(C24),IF(B25 = B5, 0, IF(B25 = "", 0, O25 + M25))," ")," ")</f>
        <v xml:space="preserve"> </v>
      </c>
      <c r="P24" s="51" t="str">
        <f t="shared" ca="1" si="0"/>
        <v xml:space="preserve"> </v>
      </c>
    </row>
    <row r="25" spans="1:16" x14ac:dyDescent="0.25">
      <c r="A25" s="23">
        <v>20</v>
      </c>
      <c r="B25" s="54"/>
      <c r="C25" s="51" t="str">
        <f ca="1">IFERROR(MATCH(INDIRECT("B25"),'1. Locais'!B2:B24, 0) - 1," ")</f>
        <v xml:space="preserve"> </v>
      </c>
      <c r="D25" s="51" t="e">
        <f ca="1">IFERROR(IF(ISNUMBER(C25),INDEX('1. Locais'!D2:D24,C25 + 1),NA()),NA())</f>
        <v>#N/A</v>
      </c>
      <c r="E25" s="51" t="e">
        <f ca="1">IFERROR(IF(ISNUMBER(C25),INDEX('1. Locais'!E2:E24,C25 + 1),NA()),NA())</f>
        <v>#N/A</v>
      </c>
      <c r="F25" s="52" t="str">
        <f ca="1">IFERROR(IF(ISNUMBER(C25),INDEX('2. Distâncias'!C2:C530,C24*23+C25+ 1) +F24," ")," ")</f>
        <v xml:space="preserve"> </v>
      </c>
      <c r="G25" s="53" t="str">
        <f ca="1">IFERROR(IF(ISNUMBER(C25),'3. Veículos'!F2 * INDEX('2. Distâncias'!D2:D530,C24*23+C25 + 1) +G24," ")," ")</f>
        <v xml:space="preserve"> </v>
      </c>
      <c r="H25" s="79" t="str">
        <f ca="1">IFERROR(IF(ISNUMBER(C25),'3. Veículos'!F2 * INDEX('2. Distâncias'!D2:D530,C24*23+C25 + 1) +I24," ")," ")</f>
        <v xml:space="preserve"> </v>
      </c>
      <c r="I25" s="79" t="str">
        <f ca="1">IFERROR(IF(AND(C5&lt;&gt;C25,ISNUMBER(H25)),INDEX('1. Locais'!I2:I24,C25 + 1) + MAX(H25,INDEX('1. Locais'!F2:F24,C25 + 1))," ")," ")</f>
        <v xml:space="preserve"> </v>
      </c>
      <c r="J25" s="53" t="str">
        <f ca="1">IFERROR(IF(AND(B25 = B5, B26 = ""), H25 - I5, I25 - I5)," ")</f>
        <v xml:space="preserve"> </v>
      </c>
      <c r="K25" s="51" t="str">
        <f ca="1">IFERROR(IF(ISNUMBER(C25),INDEX('1. Locais'!L2:L24,C25 + 1) + K24," ")," ")</f>
        <v xml:space="preserve"> </v>
      </c>
      <c r="L25" s="52" t="str">
        <f ca="1">IFERROR(IF(ISNUMBER(C25),INDEX('1. Locais'!J2:J24,C25 + 1)," ")," ")</f>
        <v xml:space="preserve"> </v>
      </c>
      <c r="M25" s="52" t="str">
        <f ca="1">IFERROR(IF(ISNUMBER(C25),INDEX('1. Locais'!K2:K24,C25 + 1)," ")," ")</f>
        <v xml:space="preserve"> </v>
      </c>
      <c r="N25" s="52" t="str">
        <f ca="1">IFERROR(IF(ISNUMBER(C25),IF(B25 = B5, 0, L25 + N24)," ")," ")</f>
        <v xml:space="preserve"> </v>
      </c>
      <c r="O25" s="52" t="str">
        <f ca="1">IFERROR(IF(ISNUMBER(C25),IF(B26 = B5, 0, IF(B26 = "", 0, O26 + M26))," ")," ")</f>
        <v xml:space="preserve"> </v>
      </c>
      <c r="P25" s="51" t="str">
        <f t="shared" ca="1" si="0"/>
        <v xml:space="preserve"> </v>
      </c>
    </row>
    <row r="26" spans="1:16" x14ac:dyDescent="0.25">
      <c r="A26" s="23">
        <v>21</v>
      </c>
      <c r="B26" s="50"/>
      <c r="C26" s="51" t="str">
        <f ca="1">IFERROR(MATCH(INDIRECT("B26"),'1. Locais'!B2:B24, 0) - 1," ")</f>
        <v xml:space="preserve"> </v>
      </c>
      <c r="D26" s="51" t="e">
        <f ca="1">IFERROR(IF(ISNUMBER(C26),INDEX('1. Locais'!D2:D24,C26 + 1),NA()),NA())</f>
        <v>#N/A</v>
      </c>
      <c r="E26" s="51" t="e">
        <f ca="1">IFERROR(IF(ISNUMBER(C26),INDEX('1. Locais'!E2:E24,C26 + 1),NA()),NA())</f>
        <v>#N/A</v>
      </c>
      <c r="F26" s="52" t="str">
        <f ca="1">IFERROR(IF(ISNUMBER(C26),INDEX('2. Distâncias'!C2:C530,C25*23+C26+ 1) +F25," ")," ")</f>
        <v xml:space="preserve"> </v>
      </c>
      <c r="G26" s="53" t="str">
        <f ca="1">IFERROR(IF(ISNUMBER(C26),'3. Veículos'!F2 * INDEX('2. Distâncias'!D2:D530,C25*23+C26 + 1) +G25," ")," ")</f>
        <v xml:space="preserve"> </v>
      </c>
      <c r="H26" s="79" t="str">
        <f ca="1">IFERROR(IF(ISNUMBER(C26),'3. Veículos'!F2 * INDEX('2. Distâncias'!D2:D530,C25*23+C26 + 1) +I25," ")," ")</f>
        <v xml:space="preserve"> </v>
      </c>
      <c r="I26" s="79" t="str">
        <f ca="1">IFERROR(IF(AND(C5&lt;&gt;C26,ISNUMBER(H26)),INDEX('1. Locais'!I2:I24,C26 + 1) + MAX(H26,INDEX('1. Locais'!F2:F24,C26 + 1))," ")," ")</f>
        <v xml:space="preserve"> </v>
      </c>
      <c r="J26" s="53" t="str">
        <f ca="1">IFERROR(IF(AND(B26 = B5, B27 = ""), H26 - I5, I26 - I5)," ")</f>
        <v xml:space="preserve"> </v>
      </c>
      <c r="K26" s="51" t="str">
        <f ca="1">IFERROR(IF(ISNUMBER(C26),INDEX('1. Locais'!L2:L24,C26 + 1) + K25," ")," ")</f>
        <v xml:space="preserve"> </v>
      </c>
      <c r="L26" s="52" t="str">
        <f ca="1">IFERROR(IF(ISNUMBER(C26),INDEX('1. Locais'!J2:J24,C26 + 1)," ")," ")</f>
        <v xml:space="preserve"> </v>
      </c>
      <c r="M26" s="52" t="str">
        <f ca="1">IFERROR(IF(ISNUMBER(C26),INDEX('1. Locais'!K2:K24,C26 + 1)," ")," ")</f>
        <v xml:space="preserve"> </v>
      </c>
      <c r="N26" s="52" t="str">
        <f ca="1">IFERROR(IF(ISNUMBER(C26),IF(B26 = B5, 0, L26 + N25)," ")," ")</f>
        <v xml:space="preserve"> </v>
      </c>
      <c r="O26" s="52" t="str">
        <f ca="1">IFERROR(IF(ISNUMBER(C26),IF(B27 = B5, 0, IF(B27 = "", 0, O27 + M27))," ")," ")</f>
        <v xml:space="preserve"> </v>
      </c>
      <c r="P26" s="51" t="str">
        <f t="shared" ca="1" si="0"/>
        <v xml:space="preserve"> </v>
      </c>
    </row>
    <row r="27" spans="1:16" x14ac:dyDescent="0.25">
      <c r="A27" s="23">
        <v>22</v>
      </c>
      <c r="B27" s="54"/>
      <c r="C27" s="51" t="str">
        <f ca="1">IFERROR(MATCH(INDIRECT("B27"),'1. Locais'!B2:B24, 0) - 1," ")</f>
        <v xml:space="preserve"> </v>
      </c>
      <c r="D27" s="51" t="e">
        <f ca="1">IFERROR(IF(ISNUMBER(C27),INDEX('1. Locais'!D2:D24,C27 + 1),NA()),NA())</f>
        <v>#N/A</v>
      </c>
      <c r="E27" s="51" t="e">
        <f ca="1">IFERROR(IF(ISNUMBER(C27),INDEX('1. Locais'!E2:E24,C27 + 1),NA()),NA())</f>
        <v>#N/A</v>
      </c>
      <c r="F27" s="52" t="str">
        <f ca="1">IFERROR(IF(ISNUMBER(C27),INDEX('2. Distâncias'!C2:C530,C26*23+C27+ 1) +F26," ")," ")</f>
        <v xml:space="preserve"> </v>
      </c>
      <c r="G27" s="53" t="str">
        <f ca="1">IFERROR(IF(ISNUMBER(C27),'3. Veículos'!F2 * INDEX('2. Distâncias'!D2:D530,C26*23+C27 + 1) +G26," ")," ")</f>
        <v xml:space="preserve"> </v>
      </c>
      <c r="H27" s="79" t="str">
        <f ca="1">IFERROR(IF(ISNUMBER(C27),'3. Veículos'!F2 * INDEX('2. Distâncias'!D2:D530,C26*23+C27 + 1) +I26," ")," ")</f>
        <v xml:space="preserve"> </v>
      </c>
      <c r="I27" s="79" t="str">
        <f ca="1">IFERROR(IF(AND(C5&lt;&gt;C27,ISNUMBER(H27)),INDEX('1. Locais'!I2:I24,C27 + 1) + MAX(H27,INDEX('1. Locais'!F2:F24,C27 + 1))," ")," ")</f>
        <v xml:space="preserve"> </v>
      </c>
      <c r="J27" s="53" t="str">
        <f ca="1">IFERROR(IF(AND(B27 = B5, B28 = ""), H27 - I5, I27 - I5)," ")</f>
        <v xml:space="preserve"> </v>
      </c>
      <c r="K27" s="51" t="str">
        <f ca="1">IFERROR(IF(ISNUMBER(C27),INDEX('1. Locais'!L2:L24,C27 + 1) + K26," ")," ")</f>
        <v xml:space="preserve"> </v>
      </c>
      <c r="L27" s="52" t="str">
        <f ca="1">IFERROR(IF(ISNUMBER(C27),INDEX('1. Locais'!J2:J24,C27 + 1)," ")," ")</f>
        <v xml:space="preserve"> </v>
      </c>
      <c r="M27" s="52" t="str">
        <f ca="1">IFERROR(IF(ISNUMBER(C27),INDEX('1. Locais'!K2:K24,C27 + 1)," ")," ")</f>
        <v xml:space="preserve"> </v>
      </c>
      <c r="N27" s="52" t="str">
        <f ca="1">IFERROR(IF(ISNUMBER(C27),IF(B27 = B5, 0, L27 + N26)," ")," ")</f>
        <v xml:space="preserve"> </v>
      </c>
      <c r="O27" s="52" t="str">
        <f ca="1">IFERROR(IF(ISNUMBER(C27),IF(B28 = B5, 0, IF(B28 = "", 0, O28 + M28))," ")," ")</f>
        <v xml:space="preserve"> </v>
      </c>
      <c r="P27" s="51" t="str">
        <f t="shared" ca="1" si="0"/>
        <v xml:space="preserve"> </v>
      </c>
    </row>
    <row r="28" spans="1:16" x14ac:dyDescent="0.25">
      <c r="A28" s="22">
        <v>23</v>
      </c>
      <c r="B28" s="78"/>
      <c r="C28" s="47" t="str">
        <f ca="1">IFERROR(MATCH(INDIRECT("B28"),'1. Locais'!B2:B24, 0) - 1," ")</f>
        <v xml:space="preserve"> </v>
      </c>
      <c r="D28" s="47" t="e">
        <f ca="1">IFERROR(IF(ISNUMBER(C28),INDEX('1. Locais'!D2:D24,C28 + 1),NA()),NA())</f>
        <v>#N/A</v>
      </c>
      <c r="E28" s="47" t="e">
        <f ca="1">IFERROR(IF(ISNUMBER(C28),INDEX('1. Locais'!E2:E24,C28 + 1),NA()),NA())</f>
        <v>#N/A</v>
      </c>
      <c r="F28" s="48" t="str">
        <f ca="1">IFERROR(IF(ISNUMBER(C28),INDEX('2. Distâncias'!C2:C530,C27*23+C28+ 1) +F27," ")," ")</f>
        <v xml:space="preserve"> </v>
      </c>
      <c r="G28" s="49" t="str">
        <f ca="1">IFERROR(IF(ISNUMBER(C28),'3. Veículos'!F2 * INDEX('2. Distâncias'!D2:D530,C27*23+C28 + 1) +G27," ")," ")</f>
        <v xml:space="preserve"> </v>
      </c>
      <c r="H28" s="77" t="str">
        <f ca="1">IFERROR(IF(ISNUMBER(C28),'3. Veículos'!F2 * INDEX('2. Distâncias'!D2:D530,C27*23+C28 + 1) +I27," ")," ")</f>
        <v xml:space="preserve"> </v>
      </c>
      <c r="I28" s="77" t="str">
        <f ca="1">IFERROR(IF(AND(C5&lt;&gt;C28,ISNUMBER(H28)),INDEX('1. Locais'!I2:I24,C28 + 1) + MAX(H28,INDEX('1. Locais'!F2:F24,C28 + 1))," ")," ")</f>
        <v xml:space="preserve"> </v>
      </c>
      <c r="J28" s="49" t="str">
        <f ca="1">IFERROR(IF(AND(B28 = B5, B29 = ""), H28 - I5, I28 - I5)," ")</f>
        <v xml:space="preserve"> </v>
      </c>
      <c r="K28" s="47" t="str">
        <f ca="1">IFERROR(IF(ISNUMBER(C28),INDEX('1. Locais'!L2:L24,C28 + 1) + K27," ")," ")</f>
        <v xml:space="preserve"> </v>
      </c>
      <c r="L28" s="48" t="str">
        <f ca="1">IFERROR(IF(ISNUMBER(C28),INDEX('1. Locais'!J2:J24,C28 + 1)," ")," ")</f>
        <v xml:space="preserve"> </v>
      </c>
      <c r="M28" s="48" t="str">
        <f ca="1">IFERROR(IF(ISNUMBER(C28),INDEX('1. Locais'!K2:K24,C28 + 1)," ")," ")</f>
        <v xml:space="preserve"> </v>
      </c>
      <c r="N28" s="48" t="str">
        <f ca="1">IFERROR(IF(ISNUMBER(C28),IF(B28 = B5, 0, L28 + N27)," ")," ")</f>
        <v xml:space="preserve"> </v>
      </c>
      <c r="O28" s="48" t="str">
        <f ca="1">IFERROR(IF(ISNUMBER(C28),IF(B29 = B5, 0, IF(B29 = "", 0, O29 + M29))," ")," ")</f>
        <v xml:space="preserve"> </v>
      </c>
      <c r="P28" s="47" t="str">
        <f t="shared" ca="1" si="0"/>
        <v xml:space="preserve"> </v>
      </c>
    </row>
    <row r="30" spans="1:16" x14ac:dyDescent="0.25">
      <c r="A30" s="18" t="s">
        <v>1120</v>
      </c>
    </row>
  </sheetData>
  <conditionalFormatting sqref="F6:F28">
    <cfRule type="cellIs" dxfId="81" priority="4" stopIfTrue="1" operator="equal">
      <formula>" "</formula>
    </cfRule>
  </conditionalFormatting>
  <conditionalFormatting sqref="P6:P28">
    <cfRule type="cellIs" dxfId="80" priority="3" stopIfTrue="1" operator="equal">
      <formula>" "</formula>
    </cfRule>
  </conditionalFormatting>
  <conditionalFormatting sqref="P6:P28">
    <cfRule type="cellIs" dxfId="79" priority="78" stopIfTrue="1" operator="lessThan">
      <formula>0</formula>
    </cfRule>
  </conditionalFormatting>
  <conditionalFormatting sqref="G6:G28">
    <cfRule type="cellIs" dxfId="78" priority="2" stopIfTrue="1" operator="equal">
      <formula>" "</formula>
    </cfRule>
  </conditionalFormatting>
  <conditionalFormatting sqref="J6:J28">
    <cfRule type="cellIs" dxfId="77" priority="1" stopIfTrue="1" operator="equal">
      <formula>" "</formula>
    </cfRule>
  </conditionalFormatting>
  <conditionalFormatting sqref="I3">
    <cfRule type="expression" dxfId="76" priority="81" stopIfTrue="1">
      <formula>ISERROR(I3)</formula>
    </cfRule>
  </conditionalFormatting>
  <conditionalFormatting sqref="B1">
    <cfRule type="expression" dxfId="75" priority="82" stopIfTrue="1">
      <formula>ISERROR(B1)</formula>
    </cfRule>
  </conditionalFormatting>
  <pageMargins left="0.511811024" right="0.511811024" top="0.78740157499999996" bottom="0.78740157499999996" header="0.31496062000000002" footer="0.31496062000000002"/>
  <extLst>
    <ext xmlns:x14="http://schemas.microsoft.com/office/spreadsheetml/2009/9/main" uri="{78C0D931-6437-407d-A8EE-F0AAD7539E65}">
      <x14:conditionalFormattings>
        <x14:conditionalFormatting xmlns:xm="http://schemas.microsoft.com/office/excel/2006/main">
          <x14:cfRule type="expression" priority="5" stopIfTrue="1" id="{2EED8554-3967-49BE-B236-2003B98FB775}">
            <xm:f>(60 * HOUR(H5) + MINUTE(H5)) &gt;(60 * HOUR(INDEX('1. Locais'!G2:G24,C5 + 1)) +MINUTE(INDEX('1. Locais'!G2:G24,C5 + 1)))</xm:f>
            <x14:dxf>
              <fill>
                <patternFill>
                  <bgColor indexed="10"/>
                </patternFill>
              </fill>
            </x14:dxf>
          </x14:cfRule>
          <xm:sqref>H5</xm:sqref>
        </x14:conditionalFormatting>
        <x14:conditionalFormatting xmlns:xm="http://schemas.microsoft.com/office/excel/2006/main">
          <x14:cfRule type="expression" priority="6" stopIfTrue="1" id="{4D607615-4491-41E9-BF89-62782E5B6D71}">
            <xm:f>(60 * HOUR(I5) + MINUTE(I5)) &gt;(60 * HOUR(INDEX('1. Locais'!G2:G24,C5 + 1)) +MINUTE(INDEX('1. Locais'!G2:G24,C5 + 1)))</xm:f>
            <x14:dxf>
              <fill>
                <patternFill>
                  <bgColor indexed="10"/>
                </patternFill>
              </fill>
            </x14:dxf>
          </x14:cfRule>
          <xm:sqref>I5</xm:sqref>
        </x14:conditionalFormatting>
        <x14:conditionalFormatting xmlns:xm="http://schemas.microsoft.com/office/excel/2006/main">
          <x14:cfRule type="cellIs" priority="7" stopIfTrue="1" operator="lessThan" id="{070C14E5-0577-4557-BC2E-E58679572BD4}">
            <xm:f>INDEX('1. Locais'!F2:F24,C6 + 1)</xm:f>
            <x14:dxf>
              <fill>
                <patternFill>
                  <bgColor indexed="52"/>
                </patternFill>
              </fill>
            </x14:dxf>
          </x14:cfRule>
          <x14:cfRule type="expression" priority="8" stopIfTrue="1" id="{CBA5A8EA-CB0C-4ACE-A42C-612F534D0937}">
            <xm:f>(60 * HOUR(H6) + MINUTE(H6)) &gt;(60 * HOUR(INDEX('1. Locais'!G2:G24,C6 + 1)) +MINUTE(INDEX('1. Locais'!G2:G24,C6 + 1)))</xm:f>
            <x14:dxf>
              <fill>
                <patternFill>
                  <bgColor indexed="10"/>
                </patternFill>
              </fill>
            </x14:dxf>
          </x14:cfRule>
          <xm:sqref>H6</xm:sqref>
        </x14:conditionalFormatting>
        <x14:conditionalFormatting xmlns:xm="http://schemas.microsoft.com/office/excel/2006/main">
          <x14:cfRule type="expression" priority="9" stopIfTrue="1" id="{5E1704DC-5F95-4F52-9500-B589F08AB77E}">
            <xm:f>(60 * HOUR(I6) + MINUTE(I6)) &gt;(60 * HOUR(INDEX('1. Locais'!G2:G24,C6 + 1)) +MINUTE(INDEX('1. Locais'!G2:G24,C6 + 1)))</xm:f>
            <x14:dxf>
              <fill>
                <patternFill>
                  <bgColor indexed="10"/>
                </patternFill>
              </fill>
            </x14:dxf>
          </x14:cfRule>
          <xm:sqref>I6</xm:sqref>
        </x14:conditionalFormatting>
        <x14:conditionalFormatting xmlns:xm="http://schemas.microsoft.com/office/excel/2006/main">
          <x14:cfRule type="cellIs" priority="10" stopIfTrue="1" operator="lessThan" id="{B5834A51-E8D5-4DE5-A757-3614BC5BF91F}">
            <xm:f>INDEX('1. Locais'!F2:F24,C7 + 1)</xm:f>
            <x14:dxf>
              <fill>
                <patternFill>
                  <bgColor indexed="52"/>
                </patternFill>
              </fill>
            </x14:dxf>
          </x14:cfRule>
          <x14:cfRule type="expression" priority="11" stopIfTrue="1" id="{94580478-520E-4B1A-B401-81AF409C9D31}">
            <xm:f>(60 * HOUR(H7) + MINUTE(H7)) &gt;(60 * HOUR(INDEX('1. Locais'!G2:G24,C7 + 1)) +MINUTE(INDEX('1. Locais'!G2:G24,C7 + 1)))</xm:f>
            <x14:dxf>
              <fill>
                <patternFill>
                  <bgColor indexed="10"/>
                </patternFill>
              </fill>
            </x14:dxf>
          </x14:cfRule>
          <xm:sqref>H7</xm:sqref>
        </x14:conditionalFormatting>
        <x14:conditionalFormatting xmlns:xm="http://schemas.microsoft.com/office/excel/2006/main">
          <x14:cfRule type="expression" priority="12" stopIfTrue="1" id="{BAFF1448-3933-44ED-95A1-643BBF532F0F}">
            <xm:f>(60 * HOUR(I7) + MINUTE(I7)) &gt;(60 * HOUR(INDEX('1. Locais'!G2:G24,C7 + 1)) +MINUTE(INDEX('1. Locais'!G2:G24,C7 + 1)))</xm:f>
            <x14:dxf>
              <fill>
                <patternFill>
                  <bgColor indexed="10"/>
                </patternFill>
              </fill>
            </x14:dxf>
          </x14:cfRule>
          <xm:sqref>I7</xm:sqref>
        </x14:conditionalFormatting>
        <x14:conditionalFormatting xmlns:xm="http://schemas.microsoft.com/office/excel/2006/main">
          <x14:cfRule type="cellIs" priority="13" stopIfTrue="1" operator="lessThan" id="{284108E9-EA8D-44CA-BC7E-425D27384299}">
            <xm:f>INDEX('1. Locais'!F2:F24,C8 + 1)</xm:f>
            <x14:dxf>
              <fill>
                <patternFill>
                  <bgColor indexed="52"/>
                </patternFill>
              </fill>
            </x14:dxf>
          </x14:cfRule>
          <x14:cfRule type="expression" priority="14" stopIfTrue="1" id="{3DF2D380-05E1-4A5D-AF89-1FB0E6711245}">
            <xm:f>(60 * HOUR(H8) + MINUTE(H8)) &gt;(60 * HOUR(INDEX('1. Locais'!G2:G24,C8 + 1)) +MINUTE(INDEX('1. Locais'!G2:G24,C8 + 1)))</xm:f>
            <x14:dxf>
              <fill>
                <patternFill>
                  <bgColor indexed="10"/>
                </patternFill>
              </fill>
            </x14:dxf>
          </x14:cfRule>
          <xm:sqref>H8</xm:sqref>
        </x14:conditionalFormatting>
        <x14:conditionalFormatting xmlns:xm="http://schemas.microsoft.com/office/excel/2006/main">
          <x14:cfRule type="expression" priority="15" stopIfTrue="1" id="{D94BAB77-F24D-4BD6-9F31-2DECDC0E4303}">
            <xm:f>(60 * HOUR(I8) + MINUTE(I8)) &gt;(60 * HOUR(INDEX('1. Locais'!G2:G24,C8 + 1)) +MINUTE(INDEX('1. Locais'!G2:G24,C8 + 1)))</xm:f>
            <x14:dxf>
              <fill>
                <patternFill>
                  <bgColor indexed="10"/>
                </patternFill>
              </fill>
            </x14:dxf>
          </x14:cfRule>
          <xm:sqref>I8</xm:sqref>
        </x14:conditionalFormatting>
        <x14:conditionalFormatting xmlns:xm="http://schemas.microsoft.com/office/excel/2006/main">
          <x14:cfRule type="cellIs" priority="16" stopIfTrue="1" operator="lessThan" id="{6913C8B6-AC5E-41A6-8054-DEEFA2162061}">
            <xm:f>INDEX('1. Locais'!F2:F24,C9 + 1)</xm:f>
            <x14:dxf>
              <fill>
                <patternFill>
                  <bgColor indexed="52"/>
                </patternFill>
              </fill>
            </x14:dxf>
          </x14:cfRule>
          <x14:cfRule type="expression" priority="17" stopIfTrue="1" id="{FE5AE172-D7A8-4437-BDAB-05A83E98C3EF}">
            <xm:f>(60 * HOUR(H9) + MINUTE(H9)) &gt;(60 * HOUR(INDEX('1. Locais'!G2:G24,C9 + 1)) +MINUTE(INDEX('1. Locais'!G2:G24,C9 + 1)))</xm:f>
            <x14:dxf>
              <fill>
                <patternFill>
                  <bgColor indexed="10"/>
                </patternFill>
              </fill>
            </x14:dxf>
          </x14:cfRule>
          <xm:sqref>H9</xm:sqref>
        </x14:conditionalFormatting>
        <x14:conditionalFormatting xmlns:xm="http://schemas.microsoft.com/office/excel/2006/main">
          <x14:cfRule type="expression" priority="18" stopIfTrue="1" id="{B1B1D013-10CA-409E-B6AD-41F427A9BEE7}">
            <xm:f>(60 * HOUR(I9) + MINUTE(I9)) &gt;(60 * HOUR(INDEX('1. Locais'!G2:G24,C9 + 1)) +MINUTE(INDEX('1. Locais'!G2:G24,C9 + 1)))</xm:f>
            <x14:dxf>
              <fill>
                <patternFill>
                  <bgColor indexed="10"/>
                </patternFill>
              </fill>
            </x14:dxf>
          </x14:cfRule>
          <xm:sqref>I9</xm:sqref>
        </x14:conditionalFormatting>
        <x14:conditionalFormatting xmlns:xm="http://schemas.microsoft.com/office/excel/2006/main">
          <x14:cfRule type="cellIs" priority="19" stopIfTrue="1" operator="lessThan" id="{19C1FF7C-10B7-4D32-B5D0-80E6B52B4B39}">
            <xm:f>INDEX('1. Locais'!F2:F24,C10 + 1)</xm:f>
            <x14:dxf>
              <fill>
                <patternFill>
                  <bgColor indexed="52"/>
                </patternFill>
              </fill>
            </x14:dxf>
          </x14:cfRule>
          <x14:cfRule type="expression" priority="20" stopIfTrue="1" id="{C95F9EC8-2E61-418E-9EE7-A36A3E0D3AD8}">
            <xm:f>(60 * HOUR(H10) + MINUTE(H10)) &gt;(60 * HOUR(INDEX('1. Locais'!G2:G24,C10 + 1)) +MINUTE(INDEX('1. Locais'!G2:G24,C10 + 1)))</xm:f>
            <x14:dxf>
              <fill>
                <patternFill>
                  <bgColor indexed="10"/>
                </patternFill>
              </fill>
            </x14:dxf>
          </x14:cfRule>
          <xm:sqref>H10</xm:sqref>
        </x14:conditionalFormatting>
        <x14:conditionalFormatting xmlns:xm="http://schemas.microsoft.com/office/excel/2006/main">
          <x14:cfRule type="expression" priority="21" stopIfTrue="1" id="{FCEC8C22-C99B-48EC-9503-1E649005D579}">
            <xm:f>(60 * HOUR(I10) + MINUTE(I10)) &gt;(60 * HOUR(INDEX('1. Locais'!G2:G24,C10 + 1)) +MINUTE(INDEX('1. Locais'!G2:G24,C10 + 1)))</xm:f>
            <x14:dxf>
              <fill>
                <patternFill>
                  <bgColor indexed="10"/>
                </patternFill>
              </fill>
            </x14:dxf>
          </x14:cfRule>
          <xm:sqref>I10</xm:sqref>
        </x14:conditionalFormatting>
        <x14:conditionalFormatting xmlns:xm="http://schemas.microsoft.com/office/excel/2006/main">
          <x14:cfRule type="cellIs" priority="22" stopIfTrue="1" operator="lessThan" id="{6A3D5B43-15AC-4E99-9156-0749C08DB0D4}">
            <xm:f>INDEX('1. Locais'!F2:F24,C11 + 1)</xm:f>
            <x14:dxf>
              <fill>
                <patternFill>
                  <bgColor indexed="52"/>
                </patternFill>
              </fill>
            </x14:dxf>
          </x14:cfRule>
          <x14:cfRule type="expression" priority="23" stopIfTrue="1" id="{B1704095-BF81-4EC3-BB5D-3EAFB18A131B}">
            <xm:f>(60 * HOUR(H11) + MINUTE(H11)) &gt;(60 * HOUR(INDEX('1. Locais'!G2:G24,C11 + 1)) +MINUTE(INDEX('1. Locais'!G2:G24,C11 + 1)))</xm:f>
            <x14:dxf>
              <fill>
                <patternFill>
                  <bgColor indexed="10"/>
                </patternFill>
              </fill>
            </x14:dxf>
          </x14:cfRule>
          <xm:sqref>H11</xm:sqref>
        </x14:conditionalFormatting>
        <x14:conditionalFormatting xmlns:xm="http://schemas.microsoft.com/office/excel/2006/main">
          <x14:cfRule type="expression" priority="24" stopIfTrue="1" id="{29A106F7-994A-4894-A8E6-D4FBBA15EE79}">
            <xm:f>(60 * HOUR(I11) + MINUTE(I11)) &gt;(60 * HOUR(INDEX('1. Locais'!G2:G24,C11 + 1)) +MINUTE(INDEX('1. Locais'!G2:G24,C11 + 1)))</xm:f>
            <x14:dxf>
              <fill>
                <patternFill>
                  <bgColor indexed="10"/>
                </patternFill>
              </fill>
            </x14:dxf>
          </x14:cfRule>
          <xm:sqref>I11</xm:sqref>
        </x14:conditionalFormatting>
        <x14:conditionalFormatting xmlns:xm="http://schemas.microsoft.com/office/excel/2006/main">
          <x14:cfRule type="cellIs" priority="25" stopIfTrue="1" operator="lessThan" id="{390BC4EA-0D88-4CBF-8599-C9129AFE9561}">
            <xm:f>INDEX('1. Locais'!F2:F24,C12 + 1)</xm:f>
            <x14:dxf>
              <fill>
                <patternFill>
                  <bgColor indexed="52"/>
                </patternFill>
              </fill>
            </x14:dxf>
          </x14:cfRule>
          <x14:cfRule type="expression" priority="26" stopIfTrue="1" id="{E414F026-E9D3-4546-8FDB-885315A4F336}">
            <xm:f>(60 * HOUR(H12) + MINUTE(H12)) &gt;(60 * HOUR(INDEX('1. Locais'!G2:G24,C12 + 1)) +MINUTE(INDEX('1. Locais'!G2:G24,C12 + 1)))</xm:f>
            <x14:dxf>
              <fill>
                <patternFill>
                  <bgColor indexed="10"/>
                </patternFill>
              </fill>
            </x14:dxf>
          </x14:cfRule>
          <xm:sqref>H12</xm:sqref>
        </x14:conditionalFormatting>
        <x14:conditionalFormatting xmlns:xm="http://schemas.microsoft.com/office/excel/2006/main">
          <x14:cfRule type="expression" priority="27" stopIfTrue="1" id="{0AC0DB6D-8DC7-4F71-8200-DA1BCBDC2AFF}">
            <xm:f>(60 * HOUR(I12) + MINUTE(I12)) &gt;(60 * HOUR(INDEX('1. Locais'!G2:G24,C12 + 1)) +MINUTE(INDEX('1. Locais'!G2:G24,C12 + 1)))</xm:f>
            <x14:dxf>
              <fill>
                <patternFill>
                  <bgColor indexed="10"/>
                </patternFill>
              </fill>
            </x14:dxf>
          </x14:cfRule>
          <xm:sqref>I12</xm:sqref>
        </x14:conditionalFormatting>
        <x14:conditionalFormatting xmlns:xm="http://schemas.microsoft.com/office/excel/2006/main">
          <x14:cfRule type="cellIs" priority="28" stopIfTrue="1" operator="lessThan" id="{EFC51E4A-C1A1-483B-A0FA-374CDAD35E75}">
            <xm:f>INDEX('1. Locais'!F2:F24,C13 + 1)</xm:f>
            <x14:dxf>
              <fill>
                <patternFill>
                  <bgColor indexed="52"/>
                </patternFill>
              </fill>
            </x14:dxf>
          </x14:cfRule>
          <x14:cfRule type="expression" priority="29" stopIfTrue="1" id="{D8EC3245-8E2E-4DC8-B37C-A14C13609EEA}">
            <xm:f>(60 * HOUR(H13) + MINUTE(H13)) &gt;(60 * HOUR(INDEX('1. Locais'!G2:G24,C13 + 1)) +MINUTE(INDEX('1. Locais'!G2:G24,C13 + 1)))</xm:f>
            <x14:dxf>
              <fill>
                <patternFill>
                  <bgColor indexed="10"/>
                </patternFill>
              </fill>
            </x14:dxf>
          </x14:cfRule>
          <xm:sqref>H13</xm:sqref>
        </x14:conditionalFormatting>
        <x14:conditionalFormatting xmlns:xm="http://schemas.microsoft.com/office/excel/2006/main">
          <x14:cfRule type="expression" priority="30" stopIfTrue="1" id="{2CD7B42A-4BEC-447B-8A3F-6C3CC23A7D0D}">
            <xm:f>(60 * HOUR(I13) + MINUTE(I13)) &gt;(60 * HOUR(INDEX('1. Locais'!G2:G24,C13 + 1)) +MINUTE(INDEX('1. Locais'!G2:G24,C13 + 1)))</xm:f>
            <x14:dxf>
              <fill>
                <patternFill>
                  <bgColor indexed="10"/>
                </patternFill>
              </fill>
            </x14:dxf>
          </x14:cfRule>
          <xm:sqref>I13</xm:sqref>
        </x14:conditionalFormatting>
        <x14:conditionalFormatting xmlns:xm="http://schemas.microsoft.com/office/excel/2006/main">
          <x14:cfRule type="cellIs" priority="31" stopIfTrue="1" operator="lessThan" id="{C7FFC34C-B027-4205-ABB8-9A22CE8C2490}">
            <xm:f>INDEX('1. Locais'!F2:F24,C14 + 1)</xm:f>
            <x14:dxf>
              <fill>
                <patternFill>
                  <bgColor indexed="52"/>
                </patternFill>
              </fill>
            </x14:dxf>
          </x14:cfRule>
          <x14:cfRule type="expression" priority="32" stopIfTrue="1" id="{CD45BEDB-51C7-4806-81EA-821F9F014F15}">
            <xm:f>(60 * HOUR(H14) + MINUTE(H14)) &gt;(60 * HOUR(INDEX('1. Locais'!G2:G24,C14 + 1)) +MINUTE(INDEX('1. Locais'!G2:G24,C14 + 1)))</xm:f>
            <x14:dxf>
              <fill>
                <patternFill>
                  <bgColor indexed="10"/>
                </patternFill>
              </fill>
            </x14:dxf>
          </x14:cfRule>
          <xm:sqref>H14</xm:sqref>
        </x14:conditionalFormatting>
        <x14:conditionalFormatting xmlns:xm="http://schemas.microsoft.com/office/excel/2006/main">
          <x14:cfRule type="expression" priority="33" stopIfTrue="1" id="{1E3F8784-31C4-4966-BE70-282E19DB04A3}">
            <xm:f>(60 * HOUR(I14) + MINUTE(I14)) &gt;(60 * HOUR(INDEX('1. Locais'!G2:G24,C14 + 1)) +MINUTE(INDEX('1. Locais'!G2:G24,C14 + 1)))</xm:f>
            <x14:dxf>
              <fill>
                <patternFill>
                  <bgColor indexed="10"/>
                </patternFill>
              </fill>
            </x14:dxf>
          </x14:cfRule>
          <xm:sqref>I14</xm:sqref>
        </x14:conditionalFormatting>
        <x14:conditionalFormatting xmlns:xm="http://schemas.microsoft.com/office/excel/2006/main">
          <x14:cfRule type="cellIs" priority="34" stopIfTrue="1" operator="lessThan" id="{925FE92A-39EF-4718-81C0-5F931F963FDA}">
            <xm:f>INDEX('1. Locais'!F2:F24,C15 + 1)</xm:f>
            <x14:dxf>
              <fill>
                <patternFill>
                  <bgColor indexed="52"/>
                </patternFill>
              </fill>
            </x14:dxf>
          </x14:cfRule>
          <xm:sqref>H15</xm:sqref>
        </x14:conditionalFormatting>
        <x14:conditionalFormatting xmlns:xm="http://schemas.microsoft.com/office/excel/2006/main">
          <x14:cfRule type="expression" priority="35" stopIfTrue="1" id="{661FA375-B760-4FB2-9589-4FAFCCB8A6AF}">
            <xm:f>(60 * HOUR(H15) + MINUTE(H15)) &gt;(60 * HOUR(INDEX('1. Locais'!G2:G24,C15 + 1)) +MINUTE(INDEX('1. Locais'!G2:G24,C15 + 1)))</xm:f>
            <x14:dxf>
              <fill>
                <patternFill>
                  <bgColor indexed="10"/>
                </patternFill>
              </fill>
            </x14:dxf>
          </x14:cfRule>
          <xm:sqref>H15</xm:sqref>
        </x14:conditionalFormatting>
        <x14:conditionalFormatting xmlns:xm="http://schemas.microsoft.com/office/excel/2006/main">
          <x14:cfRule type="expression" priority="36" stopIfTrue="1" id="{43AE2252-A055-4535-8962-A014FB97BA09}">
            <xm:f>(60 * HOUR(I15) + MINUTE(I15)) &gt;(60 * HOUR(INDEX('1. Locais'!G2:G24,C15 + 1)) +MINUTE(INDEX('1. Locais'!G2:G24,C15 + 1)))</xm:f>
            <x14:dxf>
              <fill>
                <patternFill>
                  <bgColor indexed="10"/>
                </patternFill>
              </fill>
            </x14:dxf>
          </x14:cfRule>
          <xm:sqref>I15</xm:sqref>
        </x14:conditionalFormatting>
        <x14:conditionalFormatting xmlns:xm="http://schemas.microsoft.com/office/excel/2006/main">
          <x14:cfRule type="cellIs" priority="37" stopIfTrue="1" operator="lessThan" id="{8EC3D431-C54D-40CA-8839-8B28D1939D05}">
            <xm:f>INDEX('1. Locais'!F2:F24,C16 + 1)</xm:f>
            <x14:dxf>
              <fill>
                <patternFill>
                  <bgColor indexed="52"/>
                </patternFill>
              </fill>
            </x14:dxf>
          </x14:cfRule>
          <xm:sqref>H16</xm:sqref>
        </x14:conditionalFormatting>
        <x14:conditionalFormatting xmlns:xm="http://schemas.microsoft.com/office/excel/2006/main">
          <x14:cfRule type="expression" priority="38" stopIfTrue="1" id="{5291D42A-5047-448F-9C82-005B5AE5ED1F}">
            <xm:f>(60 * HOUR(H16) + MINUTE(H16)) &gt;(60 * HOUR(INDEX('1. Locais'!G2:G24,C16 + 1)) +MINUTE(INDEX('1. Locais'!G2:G24,C16 + 1)))</xm:f>
            <x14:dxf>
              <fill>
                <patternFill>
                  <bgColor indexed="10"/>
                </patternFill>
              </fill>
            </x14:dxf>
          </x14:cfRule>
          <xm:sqref>H16</xm:sqref>
        </x14:conditionalFormatting>
        <x14:conditionalFormatting xmlns:xm="http://schemas.microsoft.com/office/excel/2006/main">
          <x14:cfRule type="expression" priority="39" stopIfTrue="1" id="{A2CE90F5-8BC8-4ED0-8437-0891E8E34AD5}">
            <xm:f>(60 * HOUR(I16) + MINUTE(I16)) &gt;(60 * HOUR(INDEX('1. Locais'!G2:G24,C16 + 1)) +MINUTE(INDEX('1. Locais'!G2:G24,C16 + 1)))</xm:f>
            <x14:dxf>
              <fill>
                <patternFill>
                  <bgColor indexed="10"/>
                </patternFill>
              </fill>
            </x14:dxf>
          </x14:cfRule>
          <xm:sqref>I16</xm:sqref>
        </x14:conditionalFormatting>
        <x14:conditionalFormatting xmlns:xm="http://schemas.microsoft.com/office/excel/2006/main">
          <x14:cfRule type="cellIs" priority="40" stopIfTrue="1" operator="lessThan" id="{9C75BF7F-F168-40E3-9C8A-AF2393E6D4D3}">
            <xm:f>INDEX('1. Locais'!F2:F24,C17 + 1)</xm:f>
            <x14:dxf>
              <fill>
                <patternFill>
                  <bgColor indexed="52"/>
                </patternFill>
              </fill>
            </x14:dxf>
          </x14:cfRule>
          <xm:sqref>H17</xm:sqref>
        </x14:conditionalFormatting>
        <x14:conditionalFormatting xmlns:xm="http://schemas.microsoft.com/office/excel/2006/main">
          <x14:cfRule type="expression" priority="41" stopIfTrue="1" id="{F076E32F-E92D-4B9A-BD8C-AF1D5F88E93A}">
            <xm:f>(60 * HOUR(H17) + MINUTE(H17)) &gt;(60 * HOUR(INDEX('1. Locais'!G2:G24,C17 + 1)) +MINUTE(INDEX('1. Locais'!G2:G24,C17 + 1)))</xm:f>
            <x14:dxf>
              <fill>
                <patternFill>
                  <bgColor indexed="10"/>
                </patternFill>
              </fill>
            </x14:dxf>
          </x14:cfRule>
          <xm:sqref>H17</xm:sqref>
        </x14:conditionalFormatting>
        <x14:conditionalFormatting xmlns:xm="http://schemas.microsoft.com/office/excel/2006/main">
          <x14:cfRule type="expression" priority="42" stopIfTrue="1" id="{826A2D8D-63DE-4A11-BE25-7D47DC1748B5}">
            <xm:f>(60 * HOUR(I17) + MINUTE(I17)) &gt;(60 * HOUR(INDEX('1. Locais'!G2:G24,C17 + 1)) +MINUTE(INDEX('1. Locais'!G2:G24,C17 + 1)))</xm:f>
            <x14:dxf>
              <fill>
                <patternFill>
                  <bgColor indexed="10"/>
                </patternFill>
              </fill>
            </x14:dxf>
          </x14:cfRule>
          <xm:sqref>I17</xm:sqref>
        </x14:conditionalFormatting>
        <x14:conditionalFormatting xmlns:xm="http://schemas.microsoft.com/office/excel/2006/main">
          <x14:cfRule type="cellIs" priority="43" stopIfTrue="1" operator="lessThan" id="{E275CD60-6248-4ED6-AACD-53AE09727AE3}">
            <xm:f>INDEX('1. Locais'!F2:F24,C18 + 1)</xm:f>
            <x14:dxf>
              <fill>
                <patternFill>
                  <bgColor indexed="52"/>
                </patternFill>
              </fill>
            </x14:dxf>
          </x14:cfRule>
          <xm:sqref>H18</xm:sqref>
        </x14:conditionalFormatting>
        <x14:conditionalFormatting xmlns:xm="http://schemas.microsoft.com/office/excel/2006/main">
          <x14:cfRule type="expression" priority="44" stopIfTrue="1" id="{278EBE3F-EB31-407F-A9E4-7662A9495531}">
            <xm:f>(60 * HOUR(H18) + MINUTE(H18)) &gt;(60 * HOUR(INDEX('1. Locais'!G2:G24,C18 + 1)) +MINUTE(INDEX('1. Locais'!G2:G24,C18 + 1)))</xm:f>
            <x14:dxf>
              <fill>
                <patternFill>
                  <bgColor indexed="10"/>
                </patternFill>
              </fill>
            </x14:dxf>
          </x14:cfRule>
          <xm:sqref>H18</xm:sqref>
        </x14:conditionalFormatting>
        <x14:conditionalFormatting xmlns:xm="http://schemas.microsoft.com/office/excel/2006/main">
          <x14:cfRule type="expression" priority="45" stopIfTrue="1" id="{01A25BAF-C895-446F-922B-E289C7C40348}">
            <xm:f>(60 * HOUR(I18) + MINUTE(I18)) &gt;(60 * HOUR(INDEX('1. Locais'!G2:G24,C18 + 1)) +MINUTE(INDEX('1. Locais'!G2:G24,C18 + 1)))</xm:f>
            <x14:dxf>
              <fill>
                <patternFill>
                  <bgColor indexed="10"/>
                </patternFill>
              </fill>
            </x14:dxf>
          </x14:cfRule>
          <xm:sqref>I18</xm:sqref>
        </x14:conditionalFormatting>
        <x14:conditionalFormatting xmlns:xm="http://schemas.microsoft.com/office/excel/2006/main">
          <x14:cfRule type="cellIs" priority="46" stopIfTrue="1" operator="lessThan" id="{AB27E7D3-9655-4DB7-80B8-C2EA74373493}">
            <xm:f>INDEX('1. Locais'!F2:F24,C19 + 1)</xm:f>
            <x14:dxf>
              <fill>
                <patternFill>
                  <bgColor indexed="52"/>
                </patternFill>
              </fill>
            </x14:dxf>
          </x14:cfRule>
          <xm:sqref>H19</xm:sqref>
        </x14:conditionalFormatting>
        <x14:conditionalFormatting xmlns:xm="http://schemas.microsoft.com/office/excel/2006/main">
          <x14:cfRule type="expression" priority="47" stopIfTrue="1" id="{189D0D16-433A-43C7-9873-985BEEEC614D}">
            <xm:f>(60 * HOUR(H19) + MINUTE(H19)) &gt;(60 * HOUR(INDEX('1. Locais'!G2:G24,C19 + 1)) +MINUTE(INDEX('1. Locais'!G2:G24,C19 + 1)))</xm:f>
            <x14:dxf>
              <fill>
                <patternFill>
                  <bgColor indexed="10"/>
                </patternFill>
              </fill>
            </x14:dxf>
          </x14:cfRule>
          <xm:sqref>H19</xm:sqref>
        </x14:conditionalFormatting>
        <x14:conditionalFormatting xmlns:xm="http://schemas.microsoft.com/office/excel/2006/main">
          <x14:cfRule type="expression" priority="48" stopIfTrue="1" id="{4BDC3FED-70F7-4D85-8B6B-EF1F29768F02}">
            <xm:f>(60 * HOUR(I19) + MINUTE(I19)) &gt;(60 * HOUR(INDEX('1. Locais'!G2:G24,C19 + 1)) +MINUTE(INDEX('1. Locais'!G2:G24,C19 + 1)))</xm:f>
            <x14:dxf>
              <fill>
                <patternFill>
                  <bgColor indexed="10"/>
                </patternFill>
              </fill>
            </x14:dxf>
          </x14:cfRule>
          <xm:sqref>I19</xm:sqref>
        </x14:conditionalFormatting>
        <x14:conditionalFormatting xmlns:xm="http://schemas.microsoft.com/office/excel/2006/main">
          <x14:cfRule type="cellIs" priority="49" stopIfTrue="1" operator="lessThan" id="{A390BD30-AA25-4F28-A0D9-A426CD7A42E3}">
            <xm:f>INDEX('1. Locais'!F2:F24,C20 + 1)</xm:f>
            <x14:dxf>
              <fill>
                <patternFill>
                  <bgColor indexed="52"/>
                </patternFill>
              </fill>
            </x14:dxf>
          </x14:cfRule>
          <xm:sqref>H20</xm:sqref>
        </x14:conditionalFormatting>
        <x14:conditionalFormatting xmlns:xm="http://schemas.microsoft.com/office/excel/2006/main">
          <x14:cfRule type="expression" priority="50" stopIfTrue="1" id="{88DAE37A-20A3-4BA9-A0DA-E1B00B4BBEA7}">
            <xm:f>(60 * HOUR(H20) + MINUTE(H20)) &gt;(60 * HOUR(INDEX('1. Locais'!G2:G24,C20 + 1)) +MINUTE(INDEX('1. Locais'!G2:G24,C20 + 1)))</xm:f>
            <x14:dxf>
              <fill>
                <patternFill>
                  <bgColor indexed="10"/>
                </patternFill>
              </fill>
            </x14:dxf>
          </x14:cfRule>
          <xm:sqref>H20</xm:sqref>
        </x14:conditionalFormatting>
        <x14:conditionalFormatting xmlns:xm="http://schemas.microsoft.com/office/excel/2006/main">
          <x14:cfRule type="expression" priority="51" stopIfTrue="1" id="{E8FD5893-065F-422B-8DCF-59B4A34A3787}">
            <xm:f>(60 * HOUR(I20) + MINUTE(I20)) &gt;(60 * HOUR(INDEX('1. Locais'!G2:G24,C20 + 1)) +MINUTE(INDEX('1. Locais'!G2:G24,C20 + 1)))</xm:f>
            <x14:dxf>
              <fill>
                <patternFill>
                  <bgColor indexed="10"/>
                </patternFill>
              </fill>
            </x14:dxf>
          </x14:cfRule>
          <xm:sqref>I20</xm:sqref>
        </x14:conditionalFormatting>
        <x14:conditionalFormatting xmlns:xm="http://schemas.microsoft.com/office/excel/2006/main">
          <x14:cfRule type="cellIs" priority="52" stopIfTrue="1" operator="lessThan" id="{44E163E2-FAB9-4E9E-BC80-53F1805751B1}">
            <xm:f>INDEX('1. Locais'!F2:F24,C21 + 1)</xm:f>
            <x14:dxf>
              <fill>
                <patternFill>
                  <bgColor indexed="52"/>
                </patternFill>
              </fill>
            </x14:dxf>
          </x14:cfRule>
          <xm:sqref>H21</xm:sqref>
        </x14:conditionalFormatting>
        <x14:conditionalFormatting xmlns:xm="http://schemas.microsoft.com/office/excel/2006/main">
          <x14:cfRule type="expression" priority="53" stopIfTrue="1" id="{087247D3-0237-4465-A9E6-B452203D3D59}">
            <xm:f>(60 * HOUR(H21) + MINUTE(H21)) &gt;(60 * HOUR(INDEX('1. Locais'!G2:G24,C21 + 1)) +MINUTE(INDEX('1. Locais'!G2:G24,C21 + 1)))</xm:f>
            <x14:dxf>
              <fill>
                <patternFill>
                  <bgColor indexed="10"/>
                </patternFill>
              </fill>
            </x14:dxf>
          </x14:cfRule>
          <xm:sqref>H21</xm:sqref>
        </x14:conditionalFormatting>
        <x14:conditionalFormatting xmlns:xm="http://schemas.microsoft.com/office/excel/2006/main">
          <x14:cfRule type="expression" priority="54" stopIfTrue="1" id="{756F5B10-B213-4CD7-B792-9B2B7968BD96}">
            <xm:f>(60 * HOUR(I21) + MINUTE(I21)) &gt;(60 * HOUR(INDEX('1. Locais'!G2:G24,C21 + 1)) +MINUTE(INDEX('1. Locais'!G2:G24,C21 + 1)))</xm:f>
            <x14:dxf>
              <fill>
                <patternFill>
                  <bgColor indexed="10"/>
                </patternFill>
              </fill>
            </x14:dxf>
          </x14:cfRule>
          <xm:sqref>I21</xm:sqref>
        </x14:conditionalFormatting>
        <x14:conditionalFormatting xmlns:xm="http://schemas.microsoft.com/office/excel/2006/main">
          <x14:cfRule type="cellIs" priority="55" stopIfTrue="1" operator="lessThan" id="{1401FEDD-E75D-4B24-80E6-DC8CE2CDF2B8}">
            <xm:f>INDEX('1. Locais'!F2:F24,C22 + 1)</xm:f>
            <x14:dxf>
              <fill>
                <patternFill>
                  <bgColor indexed="52"/>
                </patternFill>
              </fill>
            </x14:dxf>
          </x14:cfRule>
          <xm:sqref>H22</xm:sqref>
        </x14:conditionalFormatting>
        <x14:conditionalFormatting xmlns:xm="http://schemas.microsoft.com/office/excel/2006/main">
          <x14:cfRule type="expression" priority="56" stopIfTrue="1" id="{07B475C6-76F3-4EA8-9528-93C64594FBB0}">
            <xm:f>(60 * HOUR(H22) + MINUTE(H22)) &gt;(60 * HOUR(INDEX('1. Locais'!G2:G24,C22 + 1)) +MINUTE(INDEX('1. Locais'!G2:G24,C22 + 1)))</xm:f>
            <x14:dxf>
              <fill>
                <patternFill>
                  <bgColor indexed="10"/>
                </patternFill>
              </fill>
            </x14:dxf>
          </x14:cfRule>
          <xm:sqref>H22</xm:sqref>
        </x14:conditionalFormatting>
        <x14:conditionalFormatting xmlns:xm="http://schemas.microsoft.com/office/excel/2006/main">
          <x14:cfRule type="expression" priority="57" stopIfTrue="1" id="{30362DD7-209D-4BAE-8DEC-7FAFC14DAFC3}">
            <xm:f>(60 * HOUR(I22) + MINUTE(I22)) &gt;(60 * HOUR(INDEX('1. Locais'!G2:G24,C22 + 1)) +MINUTE(INDEX('1. Locais'!G2:G24,C22 + 1)))</xm:f>
            <x14:dxf>
              <fill>
                <patternFill>
                  <bgColor indexed="10"/>
                </patternFill>
              </fill>
            </x14:dxf>
          </x14:cfRule>
          <xm:sqref>I22</xm:sqref>
        </x14:conditionalFormatting>
        <x14:conditionalFormatting xmlns:xm="http://schemas.microsoft.com/office/excel/2006/main">
          <x14:cfRule type="cellIs" priority="58" stopIfTrue="1" operator="lessThan" id="{E2D7D4EF-9057-4B6D-9517-FC66760B49C8}">
            <xm:f>INDEX('1. Locais'!F2:F24,C23 + 1)</xm:f>
            <x14:dxf>
              <fill>
                <patternFill>
                  <bgColor indexed="52"/>
                </patternFill>
              </fill>
            </x14:dxf>
          </x14:cfRule>
          <xm:sqref>H23</xm:sqref>
        </x14:conditionalFormatting>
        <x14:conditionalFormatting xmlns:xm="http://schemas.microsoft.com/office/excel/2006/main">
          <x14:cfRule type="expression" priority="59" stopIfTrue="1" id="{97709252-E348-4F81-B0E6-5E589B9F532C}">
            <xm:f>(60 * HOUR(H23) + MINUTE(H23)) &gt;(60 * HOUR(INDEX('1. Locais'!G2:G24,C23 + 1)) +MINUTE(INDEX('1. Locais'!G2:G24,C23 + 1)))</xm:f>
            <x14:dxf>
              <fill>
                <patternFill>
                  <bgColor indexed="10"/>
                </patternFill>
              </fill>
            </x14:dxf>
          </x14:cfRule>
          <xm:sqref>H23</xm:sqref>
        </x14:conditionalFormatting>
        <x14:conditionalFormatting xmlns:xm="http://schemas.microsoft.com/office/excel/2006/main">
          <x14:cfRule type="expression" priority="60" stopIfTrue="1" id="{A50FF7B4-41F8-4CD9-8DD6-B7D04EB34D08}">
            <xm:f>(60 * HOUR(I23) + MINUTE(I23)) &gt;(60 * HOUR(INDEX('1. Locais'!G2:G24,C23 + 1)) +MINUTE(INDEX('1. Locais'!G2:G24,C23 + 1)))</xm:f>
            <x14:dxf>
              <fill>
                <patternFill>
                  <bgColor indexed="10"/>
                </patternFill>
              </fill>
            </x14:dxf>
          </x14:cfRule>
          <xm:sqref>I23</xm:sqref>
        </x14:conditionalFormatting>
        <x14:conditionalFormatting xmlns:xm="http://schemas.microsoft.com/office/excel/2006/main">
          <x14:cfRule type="cellIs" priority="61" stopIfTrue="1" operator="lessThan" id="{AC8A64E9-3E3F-45CE-A95E-8781A7D0A211}">
            <xm:f>INDEX('1. Locais'!F2:F24,C24 + 1)</xm:f>
            <x14:dxf>
              <fill>
                <patternFill>
                  <bgColor indexed="52"/>
                </patternFill>
              </fill>
            </x14:dxf>
          </x14:cfRule>
          <xm:sqref>H24</xm:sqref>
        </x14:conditionalFormatting>
        <x14:conditionalFormatting xmlns:xm="http://schemas.microsoft.com/office/excel/2006/main">
          <x14:cfRule type="expression" priority="62" stopIfTrue="1" id="{8DAD904D-A0FF-4139-84FE-DF20F43A8C14}">
            <xm:f>(60 * HOUR(H24) + MINUTE(H24)) &gt;(60 * HOUR(INDEX('1. Locais'!G2:G24,C24 + 1)) +MINUTE(INDEX('1. Locais'!G2:G24,C24 + 1)))</xm:f>
            <x14:dxf>
              <fill>
                <patternFill>
                  <bgColor indexed="10"/>
                </patternFill>
              </fill>
            </x14:dxf>
          </x14:cfRule>
          <xm:sqref>H24</xm:sqref>
        </x14:conditionalFormatting>
        <x14:conditionalFormatting xmlns:xm="http://schemas.microsoft.com/office/excel/2006/main">
          <x14:cfRule type="expression" priority="63" stopIfTrue="1" id="{8CA3F377-C90C-496A-8691-6C468F7A7014}">
            <xm:f>(60 * HOUR(I24) + MINUTE(I24)) &gt;(60 * HOUR(INDEX('1. Locais'!G2:G24,C24 + 1)) +MINUTE(INDEX('1. Locais'!G2:G24,C24 + 1)))</xm:f>
            <x14:dxf>
              <fill>
                <patternFill>
                  <bgColor indexed="10"/>
                </patternFill>
              </fill>
            </x14:dxf>
          </x14:cfRule>
          <xm:sqref>I24</xm:sqref>
        </x14:conditionalFormatting>
        <x14:conditionalFormatting xmlns:xm="http://schemas.microsoft.com/office/excel/2006/main">
          <x14:cfRule type="cellIs" priority="64" stopIfTrue="1" operator="lessThan" id="{8B1F9F5B-9009-45CC-9C26-003D6CB2FC7D}">
            <xm:f>INDEX('1. Locais'!F2:F24,C25 + 1)</xm:f>
            <x14:dxf>
              <fill>
                <patternFill>
                  <bgColor indexed="52"/>
                </patternFill>
              </fill>
            </x14:dxf>
          </x14:cfRule>
          <xm:sqref>H25</xm:sqref>
        </x14:conditionalFormatting>
        <x14:conditionalFormatting xmlns:xm="http://schemas.microsoft.com/office/excel/2006/main">
          <x14:cfRule type="expression" priority="65" stopIfTrue="1" id="{E1D6BEDC-4FCB-42B9-9955-578EACB9B995}">
            <xm:f>(60 * HOUR(H25) + MINUTE(H25)) &gt;(60 * HOUR(INDEX('1. Locais'!G2:G24,C25 + 1)) +MINUTE(INDEX('1. Locais'!G2:G24,C25 + 1)))</xm:f>
            <x14:dxf>
              <fill>
                <patternFill>
                  <bgColor indexed="10"/>
                </patternFill>
              </fill>
            </x14:dxf>
          </x14:cfRule>
          <xm:sqref>H25</xm:sqref>
        </x14:conditionalFormatting>
        <x14:conditionalFormatting xmlns:xm="http://schemas.microsoft.com/office/excel/2006/main">
          <x14:cfRule type="expression" priority="66" stopIfTrue="1" id="{8C38240D-B429-49BE-828C-126AE0B66839}">
            <xm:f>(60 * HOUR(I25) + MINUTE(I25)) &gt;(60 * HOUR(INDEX('1. Locais'!G2:G24,C25 + 1)) +MINUTE(INDEX('1. Locais'!G2:G24,C25 + 1)))</xm:f>
            <x14:dxf>
              <fill>
                <patternFill>
                  <bgColor indexed="10"/>
                </patternFill>
              </fill>
            </x14:dxf>
          </x14:cfRule>
          <xm:sqref>I25</xm:sqref>
        </x14:conditionalFormatting>
        <x14:conditionalFormatting xmlns:xm="http://schemas.microsoft.com/office/excel/2006/main">
          <x14:cfRule type="cellIs" priority="67" stopIfTrue="1" operator="lessThan" id="{FC3ABCDC-26F7-46C6-A799-AE8089D1C65B}">
            <xm:f>INDEX('1. Locais'!F2:F24,C26 + 1)</xm:f>
            <x14:dxf>
              <fill>
                <patternFill>
                  <bgColor indexed="52"/>
                </patternFill>
              </fill>
            </x14:dxf>
          </x14:cfRule>
          <xm:sqref>H26</xm:sqref>
        </x14:conditionalFormatting>
        <x14:conditionalFormatting xmlns:xm="http://schemas.microsoft.com/office/excel/2006/main">
          <x14:cfRule type="expression" priority="68" stopIfTrue="1" id="{56BC8B13-E061-4401-8C98-97A636F0A3D1}">
            <xm:f>(60 * HOUR(H26) + MINUTE(H26)) &gt;(60 * HOUR(INDEX('1. Locais'!G2:G24,C26 + 1)) +MINUTE(INDEX('1. Locais'!G2:G24,C26 + 1)))</xm:f>
            <x14:dxf>
              <fill>
                <patternFill>
                  <bgColor indexed="10"/>
                </patternFill>
              </fill>
            </x14:dxf>
          </x14:cfRule>
          <xm:sqref>H26</xm:sqref>
        </x14:conditionalFormatting>
        <x14:conditionalFormatting xmlns:xm="http://schemas.microsoft.com/office/excel/2006/main">
          <x14:cfRule type="expression" priority="69" stopIfTrue="1" id="{633C1B5D-9608-469E-B1E5-B8C329086FB2}">
            <xm:f>(60 * HOUR(I26) + MINUTE(I26)) &gt;(60 * HOUR(INDEX('1. Locais'!G2:G24,C26 + 1)) +MINUTE(INDEX('1. Locais'!G2:G24,C26 + 1)))</xm:f>
            <x14:dxf>
              <fill>
                <patternFill>
                  <bgColor indexed="10"/>
                </patternFill>
              </fill>
            </x14:dxf>
          </x14:cfRule>
          <xm:sqref>I26</xm:sqref>
        </x14:conditionalFormatting>
        <x14:conditionalFormatting xmlns:xm="http://schemas.microsoft.com/office/excel/2006/main">
          <x14:cfRule type="cellIs" priority="70" stopIfTrue="1" operator="lessThan" id="{60A7D996-8C33-45FE-A908-31AEBED09464}">
            <xm:f>INDEX('1. Locais'!F2:F24,C27 + 1)</xm:f>
            <x14:dxf>
              <fill>
                <patternFill>
                  <bgColor indexed="52"/>
                </patternFill>
              </fill>
            </x14:dxf>
          </x14:cfRule>
          <xm:sqref>H27</xm:sqref>
        </x14:conditionalFormatting>
        <x14:conditionalFormatting xmlns:xm="http://schemas.microsoft.com/office/excel/2006/main">
          <x14:cfRule type="expression" priority="71" stopIfTrue="1" id="{7A4F591E-C46A-4D87-8E67-234775DE3F04}">
            <xm:f>(60 * HOUR(H27) + MINUTE(H27)) &gt;(60 * HOUR(INDEX('1. Locais'!G2:G24,C27 + 1)) +MINUTE(INDEX('1. Locais'!G2:G24,C27 + 1)))</xm:f>
            <x14:dxf>
              <fill>
                <patternFill>
                  <bgColor indexed="10"/>
                </patternFill>
              </fill>
            </x14:dxf>
          </x14:cfRule>
          <xm:sqref>H27</xm:sqref>
        </x14:conditionalFormatting>
        <x14:conditionalFormatting xmlns:xm="http://schemas.microsoft.com/office/excel/2006/main">
          <x14:cfRule type="expression" priority="72" stopIfTrue="1" id="{FB38DF3D-588D-4897-910D-E441DA9CAE16}">
            <xm:f>(60 * HOUR(I27) + MINUTE(I27)) &gt;(60 * HOUR(INDEX('1. Locais'!G2:G24,C27 + 1)) +MINUTE(INDEX('1. Locais'!G2:G24,C27 + 1)))</xm:f>
            <x14:dxf>
              <fill>
                <patternFill>
                  <bgColor indexed="10"/>
                </patternFill>
              </fill>
            </x14:dxf>
          </x14:cfRule>
          <xm:sqref>I27</xm:sqref>
        </x14:conditionalFormatting>
        <x14:conditionalFormatting xmlns:xm="http://schemas.microsoft.com/office/excel/2006/main">
          <x14:cfRule type="cellIs" priority="73" stopIfTrue="1" operator="lessThan" id="{D6D6E4E7-70BE-4684-AA7E-79B09A92BE0C}">
            <xm:f>INDEX('1. Locais'!F2:F24,C28 + 1)</xm:f>
            <x14:dxf>
              <fill>
                <patternFill>
                  <bgColor indexed="52"/>
                </patternFill>
              </fill>
            </x14:dxf>
          </x14:cfRule>
          <xm:sqref>H28</xm:sqref>
        </x14:conditionalFormatting>
        <x14:conditionalFormatting xmlns:xm="http://schemas.microsoft.com/office/excel/2006/main">
          <x14:cfRule type="expression" priority="74" stopIfTrue="1" id="{B7F682D2-C43E-40DF-8F01-33F79DBA029A}">
            <xm:f>(60 * HOUR(H28) + MINUTE(H28)) &gt;(60 * HOUR(INDEX('1. Locais'!G2:G24,C28 + 1)) +MINUTE(INDEX('1. Locais'!G2:G24,C28 + 1)))</xm:f>
            <x14:dxf>
              <fill>
                <patternFill>
                  <bgColor indexed="10"/>
                </patternFill>
              </fill>
            </x14:dxf>
          </x14:cfRule>
          <xm:sqref>H28</xm:sqref>
        </x14:conditionalFormatting>
        <x14:conditionalFormatting xmlns:xm="http://schemas.microsoft.com/office/excel/2006/main">
          <x14:cfRule type="expression" priority="75" stopIfTrue="1" id="{F93F338E-8725-439C-AF1E-3F00101E4F53}">
            <xm:f>(60 * HOUR(I28) + MINUTE(I28)) &gt;(60 * HOUR(INDEX('1. Locais'!G2:G24,C28 + 1)) +MINUTE(INDEX('1. Locais'!G2:G24,C28 + 1)))</xm:f>
            <x14:dxf>
              <fill>
                <patternFill>
                  <bgColor indexed="10"/>
                </patternFill>
              </fill>
            </x14:dxf>
          </x14:cfRule>
          <xm:sqref>I28</xm:sqref>
        </x14:conditionalFormatting>
        <x14:conditionalFormatting xmlns:xm="http://schemas.microsoft.com/office/excel/2006/main">
          <x14:cfRule type="cellIs" priority="76" stopIfTrue="1" operator="greaterThan" id="{63834332-320F-4403-A0CC-BA4BBC788E18}">
            <xm:f>'3. Veículos'!$G$2</xm:f>
            <x14:dxf>
              <fill>
                <patternFill>
                  <bgColor indexed="10"/>
                </patternFill>
              </fill>
            </x14:dxf>
          </x14:cfRule>
          <xm:sqref>F6:F28</xm:sqref>
        </x14:conditionalFormatting>
        <x14:conditionalFormatting xmlns:xm="http://schemas.microsoft.com/office/excel/2006/main">
          <x14:cfRule type="cellIs" priority="77" stopIfTrue="1" operator="greaterThan" id="{72969186-6F29-462F-8394-3331C886B23D}">
            <xm:f>'3. Veículos'!$C$2</xm:f>
            <x14:dxf>
              <fill>
                <patternFill>
                  <bgColor indexed="10"/>
                </patternFill>
              </fill>
            </x14:dxf>
          </x14:cfRule>
          <xm:sqref>P6:P28</xm:sqref>
        </x14:conditionalFormatting>
        <x14:conditionalFormatting xmlns:xm="http://schemas.microsoft.com/office/excel/2006/main">
          <x14:cfRule type="cellIs" priority="79" stopIfTrue="1" operator="greaterThan" id="{CDA51E48-D9F6-441B-B53A-13ABE05210E4}">
            <xm:f>'3. Veículos'!$I$2</xm:f>
            <x14:dxf>
              <fill>
                <patternFill>
                  <bgColor indexed="10"/>
                </patternFill>
              </fill>
            </x14:dxf>
          </x14:cfRule>
          <xm:sqref>G6:G28</xm:sqref>
        </x14:conditionalFormatting>
        <x14:conditionalFormatting xmlns:xm="http://schemas.microsoft.com/office/excel/2006/main">
          <x14:cfRule type="cellIs" priority="80" stopIfTrue="1" operator="greaterThan" id="{06B0E58D-4B1B-4363-A227-39AEAB27A13A}">
            <xm:f>'3. Veículos'!$J$2</xm:f>
            <x14:dxf>
              <fill>
                <patternFill>
                  <bgColor indexed="10"/>
                </patternFill>
              </fill>
            </x14:dxf>
          </x14:cfRule>
          <xm:sqref>J6:J28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errorTitle="Atenção" error="Selecione um valor da lista disponível na célula selecionada." xr:uid="{33A39928-A429-4411-9FAB-4D068BD9FB83}">
          <x14:formula1>
            <xm:f>'1. Locais'!$B$2:$B$25</xm:f>
          </x14:formula1>
          <xm:sqref>B6:B28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1CE3D-1BEE-4B79-A205-C81C2E3C1869}">
  <sheetPr codeName="Planilha5"/>
  <dimension ref="A1"/>
  <sheetViews>
    <sheetView zoomScale="94" zoomScaleNormal="94" workbookViewId="0"/>
  </sheetViews>
  <sheetFormatPr defaultRowHeight="15" x14ac:dyDescent="0.25"/>
  <sheetData/>
  <pageMargins left="0.511811024" right="0.511811024" top="0.78740157499999996" bottom="0.78740157499999996" header="0.31496062000000002" footer="0.31496062000000002"/>
  <drawing r:id="rId1"/>
</worksheet>
</file>

<file path=customUI/customUI14.xml><?xml version="1.0" encoding="utf-8"?>
<customUI xmlns="http://schemas.microsoft.com/office/2009/07/customui" onLoad="tabActivate">
  <ribbon startFromScratch="false">
    <tabs>
      <tab id="VRPSpreadsheetSolver" getLabel="GetMenuLabel">
        <group id="customGroup1" autoScale="true">
          <menu id="menu1" getLabel="GetMenuLabel" imageMso="Delete" size="large">
            <button id="customButton1" getLabel="GetMenuLabel" imageMso="Delete" onAction="ResetWorkbookRibbonCall"/>
          </menu>
        </group>
        <group id="customGroup2" imageMso="SmallIcons">
          <menu id="menu2" getLabel="GetMenuLabel" imageMso="SmallIcons" size="large">
            <button id="customButton2" getLabel="GetMenuLabel" imageMso="AdpDiagramAddTable" onAction="SetupLocationsWorksheetRibbonCall"/>
            <button id="customButton3" getLabel="GetMenuLabel" imageMso="WebPagePreview" onAction="PopulateLatitudeAndLongitudeRibbonCall"/>
            <button id="customButton4" getLabel="GetMenuLabel" imageMso="SortUp" onAction="SortLocationsRibbonCall"/>
          </menu>
        </group>
        <group id="customGroup3" imageMso="ObjectEditPoints">
          <menu id="menu3" getLabel="GetMenuLabel" imageMso="ObjectEditPoints" size="large">
            <button id="customButton5" getLabel="GetMenuLabel" imageMso="AdpDiagramAddTable" onAction="SetupDistancesWorksheetRibbonCall"/>
            <button id="customButton6" getLabel="GetMenuLabel" imageMso="WebPagePreview" onAction="PopulateDistancesRibbonCall"/>
          </menu>
        </group>
        <group id="customGroup4">
          <menu id="menu4" getLabel="GetMenuLabel" imageMso="DiagramPyramidInsertClassic" size="large">
            <button id="customButton7" getLabel="GetMenuLabel" imageMso="AdpDiagramAddTable" onAction="SetupVehiclesWorksheetRibbonCall"/>
            <button id="customButton8" getLabel="GetMenuLabel" imageMso="AdpDiagramAddTable" onAction="SetupVehicleCompatibilityWorksheetRibbonCall"/>
          </menu>
        </group>
        <group id="customGroup5">
          <menu id="menu5" getLabel="GetMenuLabel" imageMso="AdpPrimaryKey" size="large">
            <button id="customButton9" getLabel="GetMenuLabel" imageMso="AdpDiagramAddTable" onAction="SetupSolutionWorksheetRibbonCall"/>
          </menu>
        </group>
        <group id="customGroup6">
          <menu id="menu6" getLabel="GetMenuLabel" imageMso="ShowTimeZones" size="large">
            <button id="customButton10" getLabel="GetMenuLabel" imageMso="ShowTimeZones" onAction="SetupVisualizationWorksheetRibbonCall"/>
          </menu>
        </group>
        <group id="customGroup7" imageMso="AnimationStartDropdown">
          <menu id="menu7" getLabel="GetMenuLabel" imageMso="AnimationStartDropdown" size="large">
            <button id="customButton11" getLabel="GetMenuLabel" imageMso="AnimationStartDropdown" onAction="VRP_Solver_ribbon_call"/>
            <button id="customButton12" getLabel="GetMenuLabel" imageMso="AdvancedFind" onAction="FeasibilityCheckDataAndSolutionRibbonCall"/>
            <button id="customButton13" getLabel="GetMenuLabel" imageMso="TableIndexes" onAction="external_vrp_solver_ribbon_call"/>
          </menu>
        </group>
        <group id="customGroup8" imageMso="Info">
          <menu id="menu8" getLabel="GetMenuLabel" imageMso="Info" size="large">
            <button id="customButton14" getLabel="GetMenuLabel" imageMso="ContactCardSendEmail" onAction="SendFeedbackRibbonCall"/>
            <button id="customButton15" getLabel="GetMenuLabel" imageMso="MovieFromFileInsert" onAction="WatchTutorialRibbonCall"/>
            <button id="customButton16" getLabel="GetMenuLabel" imageMso="Info" onAction="AboutRibbonCall"/>
          </menu>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Planilhas</vt:lpstr>
      </vt:variant>
      <vt:variant>
        <vt:i4>8</vt:i4>
      </vt:variant>
    </vt:vector>
  </HeadingPairs>
  <TitlesOfParts>
    <vt:vector size="8" baseType="lpstr">
      <vt:lpstr>VRP Solver Console</vt:lpstr>
      <vt:lpstr>MultiLanguageMenuItems</vt:lpstr>
      <vt:lpstr>MultiLanguageInterface</vt:lpstr>
      <vt:lpstr>1. Locais</vt:lpstr>
      <vt:lpstr>2. Distâncias</vt:lpstr>
      <vt:lpstr>3. Veículos</vt:lpstr>
      <vt:lpstr>4. Solução</vt:lpstr>
      <vt:lpstr>5.Visualização</vt:lpstr>
    </vt:vector>
  </TitlesOfParts>
  <Company>University of Bath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Gunes Erdogan</dc:creator>
  <cp:lastModifiedBy>JOGOV</cp:lastModifiedBy>
  <dcterms:created xsi:type="dcterms:W3CDTF">2013-07-17T23:20:08Z</dcterms:created>
  <dcterms:modified xsi:type="dcterms:W3CDTF">2021-06-21T19:16:53Z</dcterms:modified>
</cp:coreProperties>
</file>