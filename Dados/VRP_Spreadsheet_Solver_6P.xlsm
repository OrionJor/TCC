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8_{A9980BD7-3210-4609-8577-4F9C89FAF1FD}" xr6:coauthVersionLast="47" xr6:coauthVersionMax="47"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50" r:id="rId4"/>
    <sheet name="2. Distâncias" sheetId="251" r:id="rId5"/>
    <sheet name="3. Veículos" sheetId="253" r:id="rId6"/>
    <sheet name="4. Solução" sheetId="254" r:id="rId7"/>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54" l="1"/>
  <c r="I5" i="254"/>
  <c r="B5" i="254"/>
  <c r="L2" i="253"/>
  <c r="D11" i="251"/>
  <c r="D21" i="251"/>
  <c r="D31" i="251"/>
  <c r="D41" i="251"/>
  <c r="D51" i="251"/>
  <c r="D61" i="251"/>
  <c r="D71" i="251"/>
  <c r="D81" i="251"/>
  <c r="D10" i="251"/>
  <c r="D74" i="251"/>
  <c r="D73" i="251"/>
  <c r="D63" i="251"/>
  <c r="D80" i="251"/>
  <c r="D64" i="251"/>
  <c r="D53" i="251"/>
  <c r="D79" i="251"/>
  <c r="D55" i="251"/>
  <c r="D70" i="251"/>
  <c r="D54" i="251"/>
  <c r="D43" i="251"/>
  <c r="D78" i="251"/>
  <c r="D46" i="251"/>
  <c r="D69" i="251"/>
  <c r="D45" i="251"/>
  <c r="D60" i="251"/>
  <c r="D44" i="251"/>
  <c r="D33" i="251"/>
  <c r="D77" i="251"/>
  <c r="D37" i="251"/>
  <c r="D68" i="251"/>
  <c r="D36" i="251"/>
  <c r="D59" i="251"/>
  <c r="D35" i="251"/>
  <c r="D50" i="251"/>
  <c r="D34" i="251"/>
  <c r="D23" i="251"/>
  <c r="D76" i="251"/>
  <c r="D28" i="251"/>
  <c r="D67" i="251"/>
  <c r="D27" i="251"/>
  <c r="D58" i="251"/>
  <c r="D26" i="251"/>
  <c r="D49" i="251"/>
  <c r="D25" i="251"/>
  <c r="D40" i="251"/>
  <c r="D24" i="251"/>
  <c r="D13" i="251"/>
  <c r="D75" i="251"/>
  <c r="D19" i="251"/>
  <c r="D66" i="251"/>
  <c r="D18" i="251"/>
  <c r="D57" i="251"/>
  <c r="D17" i="251"/>
  <c r="D48" i="251"/>
  <c r="D16" i="251"/>
  <c r="D39" i="251"/>
  <c r="D15" i="251"/>
  <c r="D30" i="251"/>
  <c r="D14" i="251"/>
  <c r="D3" i="251"/>
  <c r="D65" i="251"/>
  <c r="D9" i="251"/>
  <c r="D56" i="251"/>
  <c r="D8" i="251"/>
  <c r="D47" i="251"/>
  <c r="D7" i="251"/>
  <c r="D38" i="251"/>
  <c r="D6" i="251"/>
  <c r="D29" i="251"/>
  <c r="D5" i="251"/>
  <c r="D20" i="251"/>
  <c r="D4" i="251"/>
  <c r="D24" i="231"/>
  <c r="C14" i="254"/>
  <c r="C13" i="254"/>
  <c r="C12" i="254"/>
  <c r="C11" i="254"/>
  <c r="C10" i="254"/>
  <c r="C9" i="254"/>
  <c r="C8" i="254"/>
  <c r="C7" i="254"/>
  <c r="C6" i="254"/>
  <c r="C5" i="254"/>
  <c r="D5" i="254" l="1"/>
  <c r="E5" i="254"/>
  <c r="M6" i="254"/>
  <c r="K6" i="254"/>
  <c r="K7" i="254" s="1"/>
  <c r="K8" i="254" s="1"/>
  <c r="K9" i="254" s="1"/>
  <c r="K10" i="254" s="1"/>
  <c r="K11" i="254" s="1"/>
  <c r="K12" i="254" s="1"/>
  <c r="K13" i="254" s="1"/>
  <c r="K14" i="254" s="1"/>
  <c r="G6" i="254"/>
  <c r="E6" i="254"/>
  <c r="L6" i="254"/>
  <c r="N6" i="254" s="1"/>
  <c r="H6" i="254"/>
  <c r="I6" i="254" s="1"/>
  <c r="F6" i="254"/>
  <c r="D6" i="254"/>
  <c r="M7" i="254"/>
  <c r="G7" i="254"/>
  <c r="G8" i="254" s="1"/>
  <c r="G9" i="254" s="1"/>
  <c r="G10" i="254" s="1"/>
  <c r="G11" i="254" s="1"/>
  <c r="G12" i="254" s="1"/>
  <c r="G13" i="254" s="1"/>
  <c r="G14" i="254" s="1"/>
  <c r="E7" i="254"/>
  <c r="L7" i="254"/>
  <c r="F7" i="254"/>
  <c r="F8" i="254" s="1"/>
  <c r="F9" i="254" s="1"/>
  <c r="F10" i="254" s="1"/>
  <c r="F11" i="254" s="1"/>
  <c r="F12" i="254" s="1"/>
  <c r="F13" i="254" s="1"/>
  <c r="F14" i="254" s="1"/>
  <c r="D7" i="254"/>
  <c r="M8" i="254"/>
  <c r="E8" i="254"/>
  <c r="L8" i="254"/>
  <c r="D8" i="254"/>
  <c r="M9" i="254"/>
  <c r="E9" i="254"/>
  <c r="L9" i="254"/>
  <c r="D9" i="254"/>
  <c r="M10" i="254"/>
  <c r="E10" i="254"/>
  <c r="L10" i="254"/>
  <c r="D10" i="254"/>
  <c r="M11" i="254"/>
  <c r="E11" i="254"/>
  <c r="L11" i="254"/>
  <c r="D11" i="254"/>
  <c r="M12" i="254"/>
  <c r="E12" i="254"/>
  <c r="L12" i="254"/>
  <c r="D12" i="254"/>
  <c r="O13" i="254"/>
  <c r="M13" i="254"/>
  <c r="E13" i="254"/>
  <c r="L13" i="254"/>
  <c r="D13" i="254"/>
  <c r="O14" i="254"/>
  <c r="M14" i="254"/>
  <c r="E14" i="254"/>
  <c r="N14" i="254"/>
  <c r="L14" i="254"/>
  <c r="D14" i="254"/>
  <c r="I3" i="254"/>
  <c r="P14" i="254" l="1"/>
  <c r="O12" i="254"/>
  <c r="O11" i="254" s="1"/>
  <c r="O10" i="254" s="1"/>
  <c r="O9" i="254" s="1"/>
  <c r="O8" i="254" s="1"/>
  <c r="O7" i="254" s="1"/>
  <c r="O6" i="254" s="1"/>
  <c r="O5" i="254" s="1"/>
  <c r="P5" i="254" s="1"/>
  <c r="N7" i="254"/>
  <c r="N8" i="254" s="1"/>
  <c r="B1" i="254"/>
  <c r="J6" i="254"/>
  <c r="H7" i="254"/>
  <c r="I7" i="254" s="1"/>
  <c r="P6" i="254"/>
  <c r="P7" i="254" l="1"/>
  <c r="P8" i="254"/>
  <c r="J7" i="254"/>
  <c r="H8" i="254"/>
  <c r="I8" i="254" s="1"/>
  <c r="N9" i="254"/>
  <c r="J8" i="254" l="1"/>
  <c r="H9" i="254"/>
  <c r="I9" i="254" s="1"/>
  <c r="P9" i="254"/>
  <c r="N10" i="254"/>
  <c r="P10" i="254" l="1"/>
  <c r="N11" i="254"/>
  <c r="J9" i="254"/>
  <c r="H10" i="254"/>
  <c r="I10" i="254" s="1"/>
  <c r="J10" i="254" l="1"/>
  <c r="H11" i="254"/>
  <c r="I11" i="254" s="1"/>
  <c r="P11" i="254"/>
  <c r="N12" i="254"/>
  <c r="P12" i="254" l="1"/>
  <c r="N13" i="254"/>
  <c r="P13" i="254" s="1"/>
  <c r="J11" i="254"/>
  <c r="H12" i="254"/>
  <c r="I12" i="254" s="1"/>
  <c r="J12" i="254" l="1"/>
  <c r="H13" i="254"/>
  <c r="I13" i="254" s="1"/>
  <c r="J13" i="254" l="1"/>
  <c r="H14" i="254"/>
  <c r="I14" i="254" s="1"/>
  <c r="J14" i="254" s="1"/>
</calcChain>
</file>

<file path=xl/sharedStrings.xml><?xml version="1.0" encoding="utf-8"?>
<sst xmlns="http://schemas.openxmlformats.org/spreadsheetml/2006/main" count="4532" uniqueCount="4014">
  <si>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</si>
  <si>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</si>
  <si>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</si>
  <si>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</si>
  <si>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</si>
  <si>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</si>
  <si>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</si>
  <si>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</si>
  <si>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</si>
  <si>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</si>
  <si>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</si>
  <si>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</si>
  <si>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</si>
  <si>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</si>
  <si>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</si>
  <si>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</si>
  <si>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</si>
  <si>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</si>
  <si>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</si>
  <si>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</si>
  <si>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</si>
  <si>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</si>
  <si>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</si>
  <si>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</si>
  <si>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</si>
  <si>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</si>
  <si>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</si>
  <si>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</si>
  <si>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</si>
  <si>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</si>
  <si>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</si>
  <si>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</si>
  <si>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</si>
  <si>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</si>
  <si>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</si>
  <si>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</si>
  <si>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</si>
  <si>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</si>
  <si>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</si>
  <si>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</si>
  <si>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</si>
  <si>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</si>
  <si>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</si>
  <si>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</si>
  <si>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</si>
  <si>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</si>
  <si>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</si>
  <si>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</si>
  <si>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</si>
  <si>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</si>
  <si>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</si>
  <si>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</si>
  <si>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</si>
  <si>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</si>
  <si>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</si>
  <si>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</si>
  <si>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</si>
  <si>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</si>
  <si>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</si>
  <si>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</si>
  <si>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</si>
  <si>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</si>
  <si>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</si>
  <si>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</si>
  <si>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</si>
  <si>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</si>
  <si>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</si>
  <si>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</si>
  <si>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</si>
  <si>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</si>
  <si>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</si>
  <si>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</si>
  <si>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</si>
  <si>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</si>
  <si>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</si>
  <si>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</si>
  <si>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</si>
  <si>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</si>
  <si>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</si>
  <si>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</si>
  <si>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</si>
  <si>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</si>
  <si>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</si>
  <si>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</si>
  <si>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</si>
  <si>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</si>
  <si>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</si>
  <si>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</si>
  <si>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</si>
  <si>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</si>
  <si>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</si>
  <si>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</si>
  <si>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</si>
  <si>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</si>
  <si>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</si>
  <si>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</si>
  <si>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</si>
  <si>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</si>
  <si>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</si>
  <si>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</si>
  <si>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</si>
  <si>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</si>
  <si>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</si>
  <si>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</si>
  <si>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</si>
  <si>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</si>
  <si>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</si>
  <si>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</si>
  <si>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</si>
  <si>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</si>
  <si>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</si>
  <si>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</si>
  <si>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</si>
  <si>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</si>
  <si>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</si>
  <si>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</si>
  <si>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</si>
  <si>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</si>
  <si>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</si>
  <si>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</si>
  <si>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</si>
  <si>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</si>
  <si>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</si>
  <si>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</si>
  <si>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</si>
  <si>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</si>
  <si>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</si>
  <si>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</si>
  <si>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</si>
  <si>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</si>
  <si>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</si>
  <si>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</si>
  <si>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</si>
  <si>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</si>
  <si>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</si>
  <si>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</si>
  <si>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</si>
  <si>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</si>
  <si>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</si>
  <si>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</si>
  <si>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</si>
  <si>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</si>
  <si>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</si>
  <si>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</si>
  <si>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</si>
  <si>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</si>
  <si>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</si>
  <si>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</si>
  <si>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</si>
  <si>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</si>
  <si>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</si>
  <si>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</si>
  <si>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</si>
  <si>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</si>
  <si>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</si>
  <si>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</si>
  <si>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</si>
  <si>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</si>
  <si>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</si>
  <si>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</si>
  <si>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</si>
  <si>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</si>
  <si>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</si>
  <si>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</si>
  <si>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</si>
  <si>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</si>
  <si>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</si>
  <si>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</si>
  <si>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</si>
  <si>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</si>
  <si>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</si>
  <si>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</si>
  <si>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</si>
  <si>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</si>
  <si>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</si>
  <si>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</si>
  <si>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</si>
  <si>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</si>
  <si>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</si>
  <si>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</si>
  <si>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</si>
  <si>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</si>
  <si>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</si>
  <si>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</si>
  <si>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</si>
  <si>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</si>
  <si>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</si>
  <si>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</si>
  <si>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</si>
  <si>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</si>
  <si>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</si>
  <si>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</si>
  <si>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</si>
  <si>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</si>
  <si>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</si>
  <si>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</si>
  <si>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</si>
  <si>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</si>
  <si>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</si>
  <si>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</si>
  <si>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</si>
  <si>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</si>
  <si>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</si>
  <si>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</si>
  <si>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</si>
  <si>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</si>
  <si>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</si>
  <si>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</si>
  <si>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</si>
  <si>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</si>
  <si>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</si>
  <si>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</si>
  <si>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</si>
  <si>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</si>
  <si>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</si>
  <si>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</si>
  <si>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</si>
  <si>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</si>
  <si>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</si>
  <si>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</si>
  <si>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</si>
  <si>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</si>
  <si>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</si>
  <si>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</si>
  <si>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</si>
  <si>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</si>
  <si>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</si>
  <si>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</si>
  <si>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</si>
  <si>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</si>
  <si>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</si>
  <si>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</si>
  <si>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</si>
  <si>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</si>
  <si>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</si>
  <si>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</si>
  <si>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</si>
  <si>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</si>
  <si>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</si>
  <si>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</si>
  <si>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</si>
  <si>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</si>
  <si>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</si>
  <si>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</si>
  <si>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</si>
  <si>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</si>
  <si>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</si>
  <si>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</si>
  <si>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</si>
  <si>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</si>
  <si>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</si>
  <si>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</si>
  <si>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</si>
  <si>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</si>
  <si>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</si>
  <si>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</si>
  <si>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</si>
  <si>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</si>
  <si>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</si>
  <si>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</si>
  <si>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</si>
  <si>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</si>
  <si>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</si>
  <si>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</si>
  <si>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</si>
  <si>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</si>
  <si>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</si>
  <si>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</si>
  <si>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</si>
  <si>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</si>
  <si>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</si>
  <si>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</si>
  <si>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</si>
  <si>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</si>
  <si>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</si>
  <si>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</si>
  <si>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</si>
  <si>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</si>
  <si>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</si>
  <si>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</si>
  <si>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</si>
  <si>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</si>
  <si>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</si>
  <si>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</si>
  <si>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</si>
  <si>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</si>
  <si>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</si>
  <si>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</si>
  <si>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</si>
  <si>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</si>
  <si>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</si>
  <si>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</si>
  <si>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</si>
  <si>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</si>
  <si>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</si>
  <si>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</si>
  <si>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</si>
  <si>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</si>
  <si>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</si>
  <si>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</si>
  <si>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</si>
  <si>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</si>
  <si>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</si>
  <si>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</si>
  <si>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</si>
  <si>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</si>
  <si>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</si>
  <si>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</si>
  <si>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</si>
  <si>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</si>
  <si>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</si>
  <si>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</si>
  <si>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</si>
  <si>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</si>
  <si>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</si>
  <si>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</si>
  <si>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</si>
  <si>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</si>
  <si>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</si>
  <si>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</si>
  <si>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</si>
  <si>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</si>
  <si>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</si>
  <si>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</si>
  <si>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</si>
  <si>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</si>
  <si>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</si>
  <si>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</si>
  <si>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</si>
  <si>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</si>
  <si>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</si>
  <si>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</si>
  <si>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</si>
  <si>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</si>
  <si>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</si>
  <si>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</si>
  <si>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</si>
  <si>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</si>
  <si>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</si>
  <si>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</si>
  <si>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</si>
  <si>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</si>
  <si>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</si>
  <si>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</si>
  <si>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</si>
  <si>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</si>
  <si>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</si>
  <si>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</si>
  <si>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</si>
  <si>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</si>
  <si>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</si>
  <si>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</si>
  <si>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</si>
  <si>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</si>
  <si>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</si>
  <si>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</si>
  <si>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</si>
  <si>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</si>
  <si>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</si>
  <si>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</si>
  <si>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</si>
  <si>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</si>
  <si>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</si>
  <si>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</si>
  <si>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</si>
  <si>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</si>
  <si>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</si>
  <si>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</si>
  <si>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</si>
  <si>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</si>
  <si>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</si>
  <si>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</si>
  <si>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</si>
  <si>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</si>
  <si>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</si>
  <si>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</si>
  <si>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</si>
  <si>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</si>
  <si>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</si>
  <si>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</si>
  <si>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</si>
  <si>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</si>
  <si>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</si>
  <si>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</si>
  <si>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</si>
  <si>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</si>
  <si>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</si>
  <si>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</si>
  <si>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</si>
  <si>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</si>
  <si>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</si>
  <si>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</si>
  <si>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</si>
  <si>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</si>
  <si>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</si>
  <si>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</si>
  <si>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</si>
  <si>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</si>
  <si>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</si>
  <si>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</si>
  <si>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</si>
  <si>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</si>
  <si>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</si>
  <si>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</si>
  <si>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</si>
  <si>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</si>
  <si>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</si>
  <si>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</si>
  <si>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</si>
  <si>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</si>
  <si>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</si>
  <si>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</si>
  <si>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</si>
  <si>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</si>
  <si>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</si>
  <si>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</si>
  <si>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</si>
  <si>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</si>
  <si>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</si>
  <si>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</si>
  <si>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</si>
  <si>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</si>
  <si>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</si>
  <si>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</si>
  <si>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</si>
  <si>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</si>
  <si>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</si>
  <si>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</si>
  <si>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</si>
  <si>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</si>
  <si>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</si>
  <si>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</si>
  <si>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</si>
  <si>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</si>
  <si>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</si>
  <si>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</si>
  <si>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</si>
  <si>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</si>
  <si>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</si>
  <si>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</si>
  <si>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</si>
  <si>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</si>
  <si>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</si>
  <si>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</si>
  <si>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</si>
  <si>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</si>
  <si>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</si>
  <si>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</si>
  <si>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</si>
  <si>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</si>
  <si>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</si>
  <si>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</si>
  <si>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</si>
  <si>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</si>
  <si>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</si>
  <si>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</si>
  <si>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</si>
  <si>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</si>
  <si>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</si>
  <si>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</si>
  <si>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</si>
  <si>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</si>
  <si>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</si>
  <si>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</si>
  <si>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</si>
  <si>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</si>
  <si>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</si>
  <si>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</si>
  <si>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</si>
  <si>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</si>
  <si>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</si>
  <si>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</si>
  <si>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</si>
  <si>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</si>
  <si>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</si>
  <si>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</si>
  <si>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</si>
  <si>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</si>
  <si>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</si>
  <si>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</si>
  <si>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</si>
  <si>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</si>
  <si>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</si>
  <si>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</si>
  <si>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</si>
  <si>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</si>
  <si>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</si>
  <si>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</si>
  <si>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</si>
  <si>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</si>
  <si>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</si>
  <si>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</si>
  <si>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</si>
  <si>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</si>
  <si>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</si>
  <si>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</si>
  <si>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</si>
  <si>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</si>
  <si>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</si>
  <si>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</si>
  <si>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</si>
  <si>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</si>
  <si>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</si>
  <si>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</si>
  <si>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</si>
  <si>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</si>
  <si>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</si>
  <si>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</si>
  <si>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</si>
  <si>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</si>
  <si>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</si>
  <si>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</si>
  <si>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</si>
  <si>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</si>
  <si>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</si>
  <si>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</si>
  <si>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</si>
  <si>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</si>
  <si>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</si>
  <si>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</si>
  <si>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</si>
  <si>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</si>
  <si>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</si>
  <si>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</si>
  <si>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</si>
  <si>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</si>
  <si>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</si>
  <si>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</si>
  <si>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</si>
  <si>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</si>
  <si>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</si>
  <si>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</si>
  <si>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</si>
  <si>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</si>
  <si>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</si>
  <si>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</si>
  <si>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</si>
  <si>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</si>
  <si>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</si>
  <si>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</si>
  <si>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</si>
  <si>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</si>
  <si>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</si>
  <si>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</si>
  <si>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</si>
  <si>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</si>
  <si>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</si>
  <si>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</si>
  <si>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</si>
  <si>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</si>
  <si>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</si>
  <si>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</si>
  <si>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</si>
  <si>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</si>
  <si>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</si>
  <si>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</si>
  <si>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</si>
  <si>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</si>
  <si>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</si>
  <si>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</si>
  <si>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</si>
  <si>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</si>
  <si>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</si>
  <si>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</si>
  <si>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</si>
  <si>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</si>
  <si>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</si>
  <si>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</si>
  <si>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</si>
  <si>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</si>
  <si>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</si>
  <si>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</si>
  <si>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</si>
  <si>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</si>
  <si>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</si>
  <si>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</si>
  <si>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</si>
  <si>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</si>
  <si>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</si>
  <si>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</si>
  <si>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</si>
  <si>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</si>
  <si>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</si>
  <si>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</si>
  <si>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</si>
  <si>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</si>
  <si>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</si>
  <si>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</si>
  <si>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</si>
  <si>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</si>
  <si>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</si>
  <si>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</si>
  <si>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</si>
  <si>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</si>
  <si>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</si>
  <si>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</si>
  <si>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</si>
  <si>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</si>
  <si>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</si>
  <si>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</si>
  <si>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</si>
  <si>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</si>
  <si>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</si>
  <si>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</si>
  <si>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</si>
  <si>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</si>
  <si>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</si>
  <si>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</si>
  <si>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</si>
  <si>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</si>
  <si>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</si>
  <si>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</si>
  <si>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</si>
  <si>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</si>
  <si>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</si>
  <si>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</si>
  <si>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</si>
  <si>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</si>
  <si>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</si>
  <si>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</si>
  <si>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</si>
  <si>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</si>
  <si>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</si>
  <si>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</si>
  <si>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</si>
  <si>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</si>
  <si>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</si>
  <si>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</si>
  <si>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</si>
  <si>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</si>
  <si>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</si>
  <si>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</si>
  <si>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</si>
  <si>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</si>
  <si>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</si>
  <si>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</si>
  <si>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</si>
  <si>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</si>
  <si>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</si>
  <si>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</si>
  <si>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</si>
  <si>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</si>
  <si>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</si>
  <si>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</si>
  <si>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</si>
  <si>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</si>
  <si>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</si>
  <si>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</si>
  <si>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</si>
  <si>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</si>
  <si>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</si>
  <si>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</si>
  <si>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</si>
  <si>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</si>
  <si>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</si>
  <si>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</si>
  <si>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</si>
  <si>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</si>
  <si>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</si>
  <si>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</si>
  <si>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</si>
  <si>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</si>
  <si>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</si>
  <si>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</si>
  <si>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</si>
  <si>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</si>
  <si>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</si>
  <si>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</si>
  <si>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</si>
  <si>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</si>
  <si>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</si>
  <si>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</si>
  <si>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</si>
  <si>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</si>
  <si>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</si>
  <si>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</si>
  <si>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</si>
  <si>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</si>
  <si>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</si>
  <si>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</si>
  <si>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</si>
  <si>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</si>
  <si>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</si>
  <si>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</si>
  <si>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</si>
  <si>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</si>
  <si>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</si>
  <si>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</si>
  <si>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</si>
  <si>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</si>
  <si>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</si>
  <si>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</si>
  <si>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</si>
  <si>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</si>
  <si>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</si>
  <si>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</si>
  <si>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</si>
  <si>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</si>
  <si>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</si>
  <si>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</si>
  <si>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</si>
  <si>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</si>
  <si>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</si>
  <si>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</si>
  <si>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</si>
  <si>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</si>
  <si>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</si>
  <si>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</si>
  <si>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</si>
  <si>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</si>
  <si>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</si>
  <si>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</si>
  <si>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</si>
  <si>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</si>
  <si>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</si>
  <si>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</si>
  <si>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</si>
  <si>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</si>
  <si>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</si>
  <si>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</si>
  <si>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</si>
  <si>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</si>
  <si>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</si>
  <si>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</si>
  <si>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</si>
  <si>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</si>
  <si>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</si>
  <si>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</si>
  <si>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</si>
  <si>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</si>
  <si>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</si>
  <si>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</si>
  <si>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</si>
  <si>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</si>
  <si>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</si>
  <si>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</si>
  <si>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</si>
  <si>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</si>
  <si>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</si>
  <si>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</si>
  <si>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</si>
  <si>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</si>
  <si>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</si>
  <si>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</si>
  <si>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</si>
  <si>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</si>
  <si>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</si>
  <si>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</si>
  <si>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</si>
  <si>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</si>
  <si>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</si>
  <si>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</si>
  <si>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</si>
  <si>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</si>
  <si>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</si>
  <si>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</si>
  <si>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</si>
  <si>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</si>
  <si>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</si>
  <si>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</si>
  <si>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</si>
  <si>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</si>
  <si>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</si>
  <si>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</si>
  <si>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</si>
  <si>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</si>
  <si>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</si>
  <si>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</si>
  <si>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</si>
  <si>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</si>
  <si>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</si>
  <si>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</si>
  <si>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</si>
  <si>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</si>
  <si>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</si>
  <si>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</si>
  <si>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</si>
  <si>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</si>
  <si>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</si>
  <si>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</si>
  <si>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</si>
  <si>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</si>
  <si>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</si>
  <si>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</si>
  <si>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</si>
  <si>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</si>
  <si>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</si>
  <si>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</si>
  <si>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</si>
  <si>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</si>
  <si>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</si>
  <si>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</si>
  <si>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</si>
  <si>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</si>
  <si>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</si>
  <si>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</si>
  <si>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</si>
  <si>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</si>
  <si>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</si>
  <si>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</si>
  <si>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</si>
  <si>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</si>
  <si>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</si>
  <si>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</si>
  <si>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</si>
  <si>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</si>
  <si>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</si>
  <si>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</si>
  <si>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</si>
  <si>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</si>
  <si>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</si>
  <si>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</si>
  <si>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</si>
  <si>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</si>
  <si>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</si>
  <si>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</si>
  <si>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</si>
  <si>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</si>
  <si>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</si>
  <si>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</si>
  <si>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</si>
  <si>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</si>
  <si>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</si>
  <si>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</si>
  <si>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</si>
  <si>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</si>
  <si>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</si>
  <si>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</si>
  <si>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</si>
  <si>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</si>
  <si>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</si>
  <si>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</si>
  <si>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</si>
  <si>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</si>
  <si>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</si>
  <si>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</si>
  <si>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</si>
  <si>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</si>
  <si>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</si>
  <si>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</si>
  <si>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</si>
  <si>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</si>
  <si>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</si>
  <si>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</si>
  <si>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</si>
  <si>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</si>
  <si>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</si>
  <si>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</si>
  <si>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</si>
  <si>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</si>
  <si>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</si>
  <si>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</si>
  <si>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</si>
  <si>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</si>
  <si>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</si>
  <si>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</si>
  <si>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</si>
  <si>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</si>
  <si>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</si>
  <si>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</si>
  <si>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</si>
  <si>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</si>
  <si>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</si>
  <si>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</si>
  <si>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</si>
  <si>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</si>
  <si>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</si>
  <si>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</si>
  <si>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</si>
  <si>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</si>
  <si>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</si>
  <si>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</si>
  <si>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</si>
  <si>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</si>
  <si>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</si>
  <si>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</si>
  <si>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</si>
  <si>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</si>
  <si>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</si>
  <si>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</si>
  <si>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</si>
  <si>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</si>
  <si>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</si>
  <si>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</si>
  <si>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</si>
  <si>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</si>
  <si>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</si>
  <si>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</si>
  <si>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</si>
  <si>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</si>
  <si>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</si>
  <si>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</si>
  <si>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</si>
  <si>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</si>
  <si>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</si>
  <si>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</si>
  <si>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</si>
  <si>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</si>
  <si>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</si>
  <si>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</si>
  <si>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</si>
  <si>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</si>
  <si>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</si>
  <si>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</si>
  <si>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</si>
  <si>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</si>
  <si>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</si>
  <si>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</si>
  <si>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</si>
  <si>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</si>
  <si>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</si>
  <si>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</si>
  <si>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</si>
  <si>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</si>
  <si>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</si>
  <si>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</si>
  <si>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</si>
  <si>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</si>
  <si>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</si>
  <si>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</si>
  <si>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</si>
  <si>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</si>
  <si>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</si>
  <si>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</si>
  <si>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</si>
  <si>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</si>
  <si>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</si>
  <si>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</si>
  <si>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</si>
  <si>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</si>
  <si>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</si>
  <si>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</si>
  <si>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</si>
  <si>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</si>
  <si>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</si>
  <si>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</si>
  <si>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</si>
  <si>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</si>
  <si>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</si>
  <si>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</si>
  <si>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</si>
  <si>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</si>
  <si>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</si>
  <si>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</si>
  <si>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</si>
  <si>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</si>
  <si>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</si>
  <si>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</si>
  <si>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</si>
  <si>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</si>
  <si>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</si>
  <si>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</si>
  <si>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</si>
  <si>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</si>
  <si>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</si>
  <si>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</si>
  <si>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</si>
  <si>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</si>
  <si>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</si>
  <si>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</si>
  <si>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</si>
  <si>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</si>
  <si>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</si>
  <si>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</si>
  <si>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</si>
  <si>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</si>
  <si>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</si>
  <si>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</si>
  <si>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</si>
  <si>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</si>
  <si>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</si>
  <si>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</si>
  <si>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</si>
  <si>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</si>
  <si>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</si>
  <si>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</si>
  <si>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</si>
  <si>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</si>
  <si>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</si>
  <si>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</si>
  <si>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</si>
  <si>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</si>
  <si>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</si>
  <si>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</si>
  <si>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</si>
  <si>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</si>
  <si>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</si>
  <si>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</si>
  <si>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</si>
  <si>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</si>
  <si>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</si>
  <si>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</si>
  <si>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</si>
  <si>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</si>
  <si>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</si>
  <si>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</si>
  <si>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</si>
  <si>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</si>
  <si>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</si>
  <si>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</si>
  <si>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</si>
  <si>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</si>
  <si>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</si>
  <si>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</si>
  <si>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</si>
  <si>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</si>
  <si>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</si>
  <si>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</si>
  <si>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</si>
  <si>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</si>
  <si>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</si>
  <si>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</si>
  <si>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</si>
  <si>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</si>
  <si>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</si>
  <si>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</si>
  <si>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</si>
  <si>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</si>
  <si>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</si>
  <si>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</si>
  <si>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</si>
  <si>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</si>
  <si>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</si>
  <si>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</si>
  <si>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</si>
  <si>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</si>
  <si>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</si>
  <si>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</si>
  <si>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</si>
  <si>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</si>
  <si>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</si>
  <si>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</si>
  <si>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</si>
  <si>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</si>
  <si>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</si>
  <si>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</si>
  <si>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</si>
  <si>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</si>
  <si>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</si>
  <si>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</si>
  <si>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</si>
  <si>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</si>
  <si>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</si>
  <si>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</si>
  <si>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</si>
  <si>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</si>
  <si>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</si>
  <si>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</si>
  <si>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</si>
  <si>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</si>
  <si>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</si>
  <si>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</si>
  <si>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</si>
  <si>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</si>
  <si>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</si>
  <si>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</si>
  <si>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</si>
  <si>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</si>
  <si>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</si>
  <si>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</si>
  <si>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</si>
  <si>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</si>
  <si>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</si>
  <si>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</si>
  <si>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</si>
  <si>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</si>
  <si>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</si>
  <si>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</si>
  <si>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</si>
  <si>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</si>
  <si>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</si>
  <si>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</si>
  <si>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</si>
  <si>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</si>
  <si>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</si>
  <si>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</si>
  <si>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</si>
  <si>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</si>
  <si>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</si>
  <si>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</si>
  <si>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</si>
  <si>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</si>
  <si>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</si>
  <si>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</si>
  <si>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</si>
  <si>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</si>
  <si>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</si>
  <si>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</si>
  <si>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</si>
  <si>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</si>
  <si>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</si>
  <si>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</si>
  <si>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</si>
  <si>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</si>
  <si>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</si>
  <si>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</si>
  <si>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</si>
  <si>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</si>
  <si>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</si>
  <si>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</si>
  <si>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</si>
  <si>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</si>
  <si>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</si>
  <si>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</si>
  <si>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</si>
  <si>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</si>
  <si>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</si>
  <si>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</si>
  <si>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</si>
  <si>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</si>
  <si>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</si>
  <si>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</si>
  <si>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</si>
  <si>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</si>
  <si>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</si>
  <si>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</si>
  <si>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</si>
  <si>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</si>
  <si>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</si>
  <si>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</si>
  <si>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</si>
  <si>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</si>
  <si>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</si>
  <si>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</si>
  <si>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</si>
  <si>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</si>
  <si>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</si>
  <si>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</si>
  <si>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</si>
  <si>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</si>
  <si>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</si>
  <si>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</si>
  <si>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</si>
  <si>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</si>
  <si>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</si>
  <si>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</si>
  <si>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</si>
  <si>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</si>
  <si>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</si>
  <si>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</si>
  <si>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</si>
  <si>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</si>
  <si>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</si>
  <si>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</si>
  <si>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</si>
  <si>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</si>
  <si>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</si>
  <si>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</si>
  <si>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</si>
  <si>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</si>
  <si>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</si>
  <si>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</si>
  <si>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</si>
  <si>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</si>
  <si>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</si>
  <si>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</si>
  <si>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</si>
  <si>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</si>
  <si>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</si>
  <si>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</si>
  <si>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</si>
  <si>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</si>
  <si>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</si>
  <si>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</si>
  <si>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</si>
  <si>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</si>
  <si>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</si>
  <si>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</si>
  <si>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</si>
  <si>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</si>
  <si>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</si>
  <si>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</si>
  <si>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</si>
  <si>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</si>
  <si>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</si>
  <si>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</si>
  <si>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</si>
  <si>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</si>
  <si>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</si>
  <si>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</si>
  <si>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</si>
  <si>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</si>
  <si>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</si>
  <si>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</si>
  <si>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</si>
  <si>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</si>
  <si>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</si>
  <si>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</si>
  <si>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</si>
  <si>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</si>
  <si>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</si>
  <si>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</si>
  <si>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</si>
  <si>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</si>
  <si>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</si>
  <si>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</si>
  <si>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</si>
  <si>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</si>
  <si>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</si>
  <si>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</si>
  <si>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</si>
  <si>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</si>
  <si>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</si>
  <si>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</si>
  <si>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</si>
  <si>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</si>
  <si>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</si>
  <si>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</si>
  <si>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</si>
  <si>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</si>
  <si>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</si>
  <si>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</si>
  <si>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</si>
  <si>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</si>
  <si>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</si>
  <si>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</si>
  <si>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</si>
  <si>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</si>
  <si>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</si>
  <si>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</si>
  <si>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</si>
  <si>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</si>
  <si>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</si>
  <si>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</si>
  <si>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</si>
  <si>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</si>
  <si>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</si>
  <si>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</si>
  <si>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</si>
  <si>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</si>
  <si>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</si>
  <si>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</si>
  <si>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</si>
  <si>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</si>
  <si>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</si>
  <si>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</si>
  <si>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</si>
  <si>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</si>
  <si>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</si>
  <si>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</si>
  <si>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</si>
  <si>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</si>
  <si>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</si>
  <si>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</si>
  <si>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</si>
  <si>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</si>
  <si>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</si>
  <si>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</si>
  <si>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</si>
  <si>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</si>
  <si>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</si>
  <si>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</si>
  <si>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</si>
  <si>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</si>
  <si>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</si>
  <si>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</si>
  <si>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</si>
  <si>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</si>
  <si>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</si>
  <si>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</si>
  <si>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</si>
  <si>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</si>
  <si>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</si>
  <si>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</si>
  <si>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</si>
  <si>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</si>
  <si>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</si>
  <si>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</si>
  <si>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</si>
  <si>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</si>
  <si>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</si>
  <si>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</si>
  <si>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</si>
  <si>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</si>
  <si>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</si>
  <si>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</si>
  <si>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</si>
  <si>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</si>
  <si>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</si>
  <si>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</si>
  <si>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</si>
  <si>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</si>
  <si>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</si>
  <si>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</si>
  <si>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</si>
  <si>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</si>
  <si>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</si>
  <si>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</si>
  <si>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</si>
  <si>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</si>
  <si>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</si>
  <si>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</si>
  <si>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</si>
  <si>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</si>
  <si>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</si>
  <si>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</si>
  <si>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</si>
  <si>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</si>
  <si>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</si>
  <si>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</si>
  <si>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</si>
  <si>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</si>
  <si>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</si>
  <si>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</si>
  <si>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</si>
  <si>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</si>
  <si>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</si>
  <si>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</si>
  <si>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</si>
  <si>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</si>
  <si>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</si>
  <si>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</si>
  <si>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</si>
  <si>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</si>
  <si>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</si>
  <si>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</si>
  <si>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</si>
  <si>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</si>
  <si>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</si>
  <si>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</si>
  <si>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</si>
  <si>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</si>
  <si>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</si>
  <si>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</si>
  <si>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</si>
  <si>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</si>
  <si>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</si>
  <si>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</si>
  <si>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</si>
  <si>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</si>
  <si>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</si>
  <si>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</si>
  <si>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</si>
  <si>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</si>
  <si>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</si>
  <si>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</si>
  <si>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</si>
  <si>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</si>
  <si>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</si>
  <si>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</si>
  <si>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</si>
  <si>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</si>
  <si>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</si>
  <si>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</si>
  <si>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</si>
  <si>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</si>
  <si>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</si>
  <si>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</si>
  <si>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</si>
  <si>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</si>
  <si>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</si>
  <si>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</si>
  <si>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</si>
  <si>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</si>
  <si>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</si>
  <si>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</si>
  <si>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</si>
  <si>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</si>
  <si>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</si>
  <si>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</si>
  <si>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</si>
  <si>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</si>
  <si>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</si>
  <si>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</si>
  <si>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</si>
  <si>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</si>
  <si>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</si>
  <si>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</si>
  <si>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</si>
  <si>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</si>
  <si>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</si>
  <si>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</si>
  <si>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</si>
  <si>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</si>
  <si>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</si>
  <si>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</si>
  <si>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</si>
  <si>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</si>
  <si>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</si>
  <si>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</si>
  <si>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</si>
  <si>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</si>
  <si>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</si>
  <si>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</si>
  <si>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</si>
  <si>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</si>
  <si>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</si>
  <si>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</si>
  <si>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</si>
  <si>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</si>
  <si>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</si>
  <si>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</si>
  <si>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</si>
  <si>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</si>
  <si>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</si>
  <si>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</si>
  <si>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</si>
  <si>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</si>
  <si>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</si>
  <si>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</si>
  <si>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</si>
  <si>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</si>
  <si>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</si>
  <si>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</si>
  <si>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</si>
  <si>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</si>
  <si>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</si>
  <si>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</si>
  <si>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</si>
  <si>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</si>
  <si>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</si>
  <si>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</si>
  <si>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</si>
  <si>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</si>
  <si>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</si>
  <si>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</si>
  <si>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</si>
  <si>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</si>
  <si>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</si>
  <si>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</si>
  <si>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</si>
  <si>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</si>
  <si>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</si>
  <si>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</si>
  <si>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</si>
  <si>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</si>
  <si>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</si>
  <si>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</si>
  <si>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</si>
  <si>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</si>
  <si>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</si>
  <si>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</si>
  <si>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</si>
  <si>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</si>
  <si>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</si>
  <si>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</si>
  <si>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</si>
  <si>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</si>
  <si>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</si>
  <si>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</si>
  <si>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</si>
  <si>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</si>
  <si>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</si>
  <si>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</si>
  <si>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</si>
  <si>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</si>
  <si>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</si>
  <si>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</si>
  <si>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</si>
  <si>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</si>
  <si>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</si>
  <si>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</si>
  <si>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</si>
  <si>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</si>
  <si>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</si>
  <si>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</si>
  <si>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</si>
  <si>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</si>
  <si>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</si>
  <si>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</si>
  <si>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</si>
  <si>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</si>
  <si>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</si>
  <si>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</si>
  <si>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</si>
  <si>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</si>
  <si>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</si>
  <si>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</si>
  <si>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</si>
  <si>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</si>
  <si>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</si>
  <si>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</si>
  <si>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</si>
  <si>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</si>
  <si>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</si>
  <si>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</si>
  <si>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</si>
  <si>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</si>
  <si>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</si>
  <si>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</si>
  <si>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</si>
  <si>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</si>
  <si>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</si>
  <si>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</si>
  <si>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</si>
  <si>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</si>
  <si>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</si>
  <si>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</si>
  <si>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</si>
  <si>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</si>
  <si>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</si>
  <si>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</si>
  <si>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</si>
  <si>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</si>
  <si>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</si>
  <si>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</si>
  <si>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</si>
  <si>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</si>
  <si>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</si>
  <si>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</si>
  <si>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</si>
  <si>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</si>
  <si>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</si>
  <si>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</si>
  <si>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</si>
  <si>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</si>
  <si>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</si>
  <si>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</si>
  <si>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</si>
  <si>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</si>
  <si>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</si>
  <si>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</si>
  <si>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</si>
  <si>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</si>
  <si>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</si>
  <si>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</si>
  <si>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</si>
  <si>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</si>
  <si>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</si>
  <si>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</si>
  <si>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</si>
  <si>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</si>
  <si>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</si>
  <si>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</si>
  <si>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</si>
  <si>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</si>
  <si>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</si>
  <si>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</si>
  <si>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</si>
  <si>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</si>
  <si>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</si>
  <si>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</si>
  <si>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</si>
  <si>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</si>
  <si>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</si>
  <si>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</si>
  <si>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</si>
  <si>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</si>
  <si>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</si>
  <si>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</si>
  <si>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</si>
  <si>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</si>
  <si>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</si>
  <si>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</si>
  <si>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</si>
  <si>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</si>
  <si>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</si>
  <si>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</si>
  <si>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</si>
  <si>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</si>
  <si>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</si>
  <si>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</si>
  <si>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</si>
  <si>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</si>
  <si>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</si>
  <si>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</si>
  <si>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</si>
  <si>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</si>
  <si>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</si>
  <si>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</si>
  <si>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</si>
  <si>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</si>
  <si>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</si>
  <si>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</si>
  <si>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</si>
  <si>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</si>
  <si>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</si>
  <si>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</si>
  <si>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</si>
  <si>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</si>
  <si>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</si>
  <si>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</si>
  <si>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</si>
  <si>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</si>
  <si>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</si>
  <si>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</si>
  <si>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</si>
  <si>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</si>
  <si>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</si>
  <si>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</si>
  <si>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</si>
  <si>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</si>
  <si>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</si>
  <si>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</si>
  <si>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</si>
  <si>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</si>
  <si>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</si>
  <si>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</si>
  <si>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</si>
  <si>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</si>
  <si>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</si>
  <si>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</si>
  <si>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</si>
  <si>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</si>
  <si>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</si>
  <si>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</si>
  <si>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</si>
  <si>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</si>
  <si>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</si>
  <si>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</si>
  <si>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</si>
  <si>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</si>
  <si>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</si>
  <si>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</si>
  <si>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</si>
  <si>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</si>
  <si>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</si>
  <si>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</si>
  <si>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</si>
  <si>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</si>
  <si>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</si>
  <si>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</si>
  <si>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</si>
  <si>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</si>
  <si>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</si>
  <si>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</si>
  <si>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</si>
  <si>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</si>
  <si>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</si>
  <si>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</si>
  <si>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</si>
  <si>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</si>
  <si>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</si>
  <si>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</si>
  <si>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</si>
  <si>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</si>
  <si>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</si>
  <si>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</si>
  <si>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</si>
  <si>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</si>
  <si>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</si>
  <si>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</si>
  <si>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</si>
  <si>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</si>
  <si>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</si>
  <si>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</si>
  <si>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</si>
  <si>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</si>
  <si>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</si>
  <si>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</si>
  <si>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</si>
  <si>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</si>
  <si>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</si>
  <si>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</si>
  <si>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</si>
  <si>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</si>
  <si>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</si>
  <si>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</si>
  <si>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</si>
  <si>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</si>
  <si>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</si>
  <si>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</si>
  <si>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</si>
  <si>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</si>
  <si>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</si>
  <si>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</si>
  <si>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</si>
  <si>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</si>
  <si>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</si>
  <si>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</si>
  <si>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</si>
  <si>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</si>
  <si>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</si>
  <si>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</si>
  <si>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</si>
  <si>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</si>
  <si>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</si>
  <si>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</si>
  <si>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</si>
  <si>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</si>
  <si>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</si>
  <si>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</si>
  <si>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</si>
  <si>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</si>
  <si>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</si>
  <si>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</si>
  <si>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</si>
  <si>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</si>
  <si>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</si>
  <si>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</si>
  <si>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</si>
  <si>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</si>
  <si>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</si>
  <si>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</si>
  <si>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</si>
  <si>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</si>
  <si>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</si>
  <si>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</si>
  <si>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</si>
  <si>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</si>
  <si>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</si>
  <si>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</si>
  <si>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</si>
  <si>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</si>
  <si>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</si>
  <si>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</si>
  <si>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</si>
  <si>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</si>
  <si>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</si>
  <si>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</si>
  <si>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</si>
  <si>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</si>
  <si>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</si>
  <si>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</si>
  <si>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</si>
  <si>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</si>
  <si>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</si>
  <si>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</si>
  <si>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</si>
  <si>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</si>
  <si>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</si>
  <si>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</si>
  <si>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</si>
  <si>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</si>
  <si>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</si>
  <si>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</si>
  <si>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</si>
  <si>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</si>
  <si>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</si>
  <si>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</si>
  <si>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</si>
  <si>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</si>
  <si>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</si>
  <si>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</si>
  <si>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</si>
  <si>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</si>
  <si>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</si>
  <si>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</si>
  <si>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</si>
  <si>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</si>
  <si>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</si>
  <si>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</si>
  <si>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</si>
  <si>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</si>
  <si>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</si>
  <si>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</si>
  <si>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</si>
  <si>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</si>
  <si>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</si>
  <si>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</si>
  <si>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</si>
  <si>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</si>
  <si>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</si>
  <si>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</si>
  <si>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</si>
  <si>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</si>
  <si>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</si>
  <si>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</si>
  <si>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</si>
  <si>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</si>
  <si>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</si>
  <si>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</si>
  <si>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</si>
  <si>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</si>
  <si>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</si>
  <si>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</si>
  <si>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</si>
  <si>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</si>
  <si>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</si>
  <si>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</si>
  <si>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</si>
  <si>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</si>
  <si>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</si>
  <si>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</si>
  <si>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</si>
  <si>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</si>
  <si>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</si>
  <si>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</si>
  <si>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</si>
  <si>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</si>
  <si>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</si>
  <si>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</si>
  <si>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</si>
  <si>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</si>
  <si>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</si>
  <si>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</si>
  <si>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</si>
  <si>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</si>
  <si>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</si>
  <si>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</si>
  <si>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</si>
  <si>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</si>
  <si>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</si>
  <si>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</si>
  <si>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</si>
  <si>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</si>
  <si>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</si>
  <si>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</si>
  <si>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</si>
  <si>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</si>
  <si>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</si>
  <si>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</si>
  <si>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</si>
  <si>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</si>
  <si>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</si>
  <si>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</si>
  <si>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</si>
  <si>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</si>
  <si>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</si>
  <si>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</si>
  <si>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</si>
  <si>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</si>
  <si>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</si>
  <si>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</si>
  <si>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</si>
  <si>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</si>
  <si>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</si>
  <si>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</si>
  <si>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</si>
  <si>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</si>
  <si>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</si>
  <si>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</si>
  <si>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</si>
  <si>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</si>
  <si>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</si>
  <si>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</si>
  <si>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</si>
  <si>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</si>
  <si>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</si>
  <si>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</si>
  <si>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</si>
  <si>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</si>
  <si>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</si>
  <si>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</si>
  <si>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</si>
  <si>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</si>
  <si>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</si>
  <si>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</si>
  <si>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</si>
  <si>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</si>
  <si>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</si>
  <si>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</si>
  <si>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</si>
  <si>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</si>
  <si>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</si>
  <si>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</si>
  <si>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</si>
  <si>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</si>
  <si>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</si>
  <si>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</si>
  <si>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</si>
  <si>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</si>
  <si>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</si>
  <si>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</si>
  <si>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</si>
  <si>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</si>
  <si>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</si>
  <si>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</si>
  <si>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</si>
  <si>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</si>
  <si>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</si>
  <si>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</si>
  <si>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</si>
  <si>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</si>
  <si>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</si>
  <si>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</si>
  <si>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</si>
  <si>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</si>
  <si>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</si>
  <si>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</si>
  <si>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</si>
  <si>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</si>
  <si>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</si>
  <si>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</si>
  <si>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</si>
  <si>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</si>
  <si>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</si>
  <si>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</si>
  <si>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</si>
  <si>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</si>
  <si>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</si>
  <si>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</si>
  <si>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</si>
  <si>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</si>
  <si>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</si>
  <si>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</si>
  <si>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</si>
  <si>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</si>
  <si>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</si>
  <si>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</si>
  <si>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</si>
  <si>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</si>
  <si>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</si>
  <si>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</si>
  <si>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</si>
  <si>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</si>
  <si>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</si>
  <si>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</si>
  <si>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</si>
  <si>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</si>
  <si>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</si>
  <si>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</si>
  <si>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</si>
  <si>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</si>
  <si>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</si>
  <si>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</si>
  <si>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</si>
  <si>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</si>
  <si>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</si>
  <si>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</si>
  <si>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</si>
  <si>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</si>
  <si>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</si>
  <si>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</si>
  <si>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</si>
  <si>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</si>
  <si>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</si>
  <si>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</si>
  <si>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</si>
  <si>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</si>
  <si>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</si>
  <si>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</si>
  <si>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</si>
  <si>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</si>
  <si>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</si>
  <si>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</si>
  <si>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</si>
  <si>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</si>
  <si>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</si>
  <si>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</si>
  <si>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</si>
  <si>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</si>
  <si>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</si>
  <si>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</si>
  <si>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</si>
  <si>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</si>
  <si>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</si>
  <si>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</si>
  <si>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</si>
  <si>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</si>
  <si>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</si>
  <si>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</si>
  <si>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</si>
  <si>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</si>
  <si>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</si>
  <si>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</si>
  <si>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</si>
  <si>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</si>
  <si>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</si>
  <si>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</si>
  <si>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</si>
  <si>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</si>
  <si>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</si>
  <si>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</si>
  <si>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</si>
  <si>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</si>
  <si>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</si>
  <si>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</si>
  <si>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</si>
  <si>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</si>
  <si>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</si>
  <si>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</si>
  <si>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</si>
  <si>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</si>
  <si>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</si>
  <si>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</si>
  <si>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</si>
  <si>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</si>
  <si>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</si>
  <si>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</si>
  <si>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</si>
  <si>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</si>
  <si>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</si>
  <si>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</si>
  <si>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</si>
  <si>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</si>
  <si>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</si>
  <si>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</si>
  <si>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</si>
  <si>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</si>
  <si>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</si>
  <si>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</si>
  <si>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</si>
  <si>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</si>
  <si>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</si>
  <si>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</si>
  <si>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</si>
  <si>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</si>
  <si>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</si>
  <si>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</si>
  <si>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</si>
  <si>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</si>
  <si>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</si>
  <si>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</si>
  <si>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</si>
  <si>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</si>
  <si>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</si>
  <si>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</si>
  <si>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</si>
  <si>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</si>
  <si>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</si>
  <si>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</si>
  <si>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</si>
  <si>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</si>
  <si>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</si>
  <si>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</si>
  <si>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</si>
  <si>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</si>
  <si>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</si>
  <si>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</si>
  <si>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</si>
  <si>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</si>
  <si>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</si>
  <si>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</si>
  <si>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</si>
  <si>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</si>
  <si>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</si>
  <si>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</si>
  <si>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</si>
  <si>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</si>
  <si>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</si>
  <si>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</si>
  <si>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</si>
  <si>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</si>
  <si>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</si>
  <si>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</si>
  <si>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</si>
  <si>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</si>
  <si>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</si>
  <si>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</si>
  <si>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</si>
  <si>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</si>
  <si>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</si>
  <si>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</si>
  <si>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</si>
  <si>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</si>
  <si>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</si>
  <si>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</si>
  <si>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</si>
  <si>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</si>
  <si>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</si>
  <si>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</si>
  <si>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</si>
  <si>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</si>
  <si>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</si>
  <si>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</si>
  <si>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</si>
  <si>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</si>
  <si>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</si>
  <si>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</si>
  <si>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</si>
  <si>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</si>
  <si>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</si>
  <si>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</si>
  <si>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</si>
  <si>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</si>
  <si>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</si>
  <si>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</si>
  <si>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</si>
  <si>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</si>
  <si>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</si>
  <si>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</si>
  <si>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</si>
  <si>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</si>
  <si>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</si>
  <si>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</si>
  <si>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</si>
  <si>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</si>
  <si>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</si>
  <si>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</si>
  <si>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</si>
  <si>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</si>
  <si>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</si>
  <si>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</si>
  <si>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</si>
  <si>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</si>
  <si>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</si>
  <si>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</si>
  <si>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</si>
  <si>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</si>
  <si>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</si>
  <si>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</si>
  <si>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</si>
  <si>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</si>
  <si>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</si>
  <si>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</si>
  <si>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</si>
  <si>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</si>
  <si>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</si>
  <si>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</si>
  <si>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</si>
  <si>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</si>
  <si>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</si>
  <si>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</si>
  <si>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</si>
  <si>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</si>
  <si>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</si>
  <si>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</si>
  <si>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</si>
  <si>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</si>
  <si>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</si>
  <si>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</si>
  <si>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</si>
  <si>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</si>
  <si>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</si>
  <si>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</si>
  <si>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</si>
  <si>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</si>
  <si>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</si>
  <si>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</si>
  <si>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</si>
  <si>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</si>
  <si>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</si>
  <si>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</si>
  <si>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</si>
  <si>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</si>
  <si>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</si>
  <si>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</si>
  <si>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</si>
  <si>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</si>
  <si>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</si>
  <si>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</si>
  <si>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</si>
  <si>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</si>
  <si>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</si>
  <si>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</si>
  <si>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</si>
  <si>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</si>
  <si>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</si>
  <si>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</si>
  <si>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</si>
  <si>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</si>
  <si>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</si>
  <si>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</si>
  <si>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</si>
  <si>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</si>
  <si>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</si>
  <si>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</si>
  <si>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</si>
  <si>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</si>
  <si>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</si>
  <si>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</si>
  <si>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</si>
  <si>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</si>
  <si>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</si>
  <si>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</si>
  <si>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</si>
  <si>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</si>
  <si>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</si>
  <si>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</si>
  <si>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</si>
  <si>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</si>
  <si>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</si>
  <si>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</si>
  <si>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</si>
  <si>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</si>
  <si>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</si>
  <si>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</si>
  <si>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</si>
  <si>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</si>
  <si>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</si>
  <si>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</si>
  <si>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</si>
  <si>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</si>
  <si>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</si>
  <si>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</si>
  <si>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</si>
  <si>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</si>
  <si>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</si>
  <si>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</si>
  <si>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</si>
  <si>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</si>
  <si>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</si>
  <si>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</si>
  <si>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</si>
  <si>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</si>
  <si>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</si>
  <si>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</si>
  <si>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</si>
  <si>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</si>
  <si>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</si>
  <si>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</si>
  <si>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</si>
  <si>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</si>
  <si>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</si>
  <si>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</si>
  <si>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</si>
  <si>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</si>
  <si>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</si>
  <si>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</si>
  <si>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</si>
  <si>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</si>
  <si>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</si>
  <si>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</si>
  <si>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</si>
  <si>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</si>
  <si>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</si>
  <si>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</si>
  <si>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</si>
  <si>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</si>
  <si>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</si>
  <si>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</si>
  <si>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</si>
  <si>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</si>
  <si>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</si>
  <si>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</si>
  <si>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</si>
  <si>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</si>
  <si>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</si>
  <si>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</si>
  <si>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</si>
  <si>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</si>
  <si>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</si>
  <si>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</si>
  <si>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</si>
  <si>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</si>
  <si>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</si>
  <si>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</si>
  <si>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</si>
  <si>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</si>
  <si>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</si>
  <si>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</si>
  <si>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</si>
  <si>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</si>
  <si>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</si>
  <si>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</si>
  <si>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</si>
  <si>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</si>
  <si>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</si>
  <si>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</si>
  <si>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</si>
  <si>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</si>
  <si>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</si>
  <si>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</si>
  <si>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</si>
  <si>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</si>
  <si>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</si>
  <si>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</si>
  <si>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</si>
  <si>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</si>
  <si>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</si>
  <si>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</si>
  <si>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</si>
  <si>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</si>
  <si>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</si>
  <si>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</si>
  <si>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</si>
  <si>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</si>
  <si>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</si>
  <si>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</si>
  <si>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</si>
  <si>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</si>
  <si>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</si>
  <si>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</si>
  <si>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</si>
  <si>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</si>
  <si>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</si>
  <si>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</si>
  <si>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</si>
  <si>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</si>
  <si>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</si>
  <si>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</si>
  <si>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</si>
  <si>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</si>
  <si>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</si>
  <si>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</si>
  <si>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</si>
  <si>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</si>
  <si>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</si>
  <si>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</si>
  <si>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</si>
  <si>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</si>
  <si>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</si>
  <si>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</si>
  <si>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</si>
  <si>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</si>
  <si>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</si>
  <si>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</si>
  <si>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</si>
  <si>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</si>
  <si>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</si>
  <si>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</si>
  <si>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</si>
  <si>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</si>
  <si>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</si>
  <si>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</si>
  <si>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</si>
  <si>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</si>
  <si>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</si>
  <si>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</si>
  <si>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</si>
  <si>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</si>
  <si>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</si>
  <si>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</si>
  <si>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</si>
  <si>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</si>
  <si>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</si>
  <si>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</si>
  <si>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</si>
  <si>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</si>
  <si>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</si>
  <si>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</si>
  <si>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</si>
  <si>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</si>
  <si>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</si>
  <si>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</si>
  <si>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</si>
  <si>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</si>
  <si>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</si>
  <si>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</si>
  <si>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</si>
  <si>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</si>
  <si>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</si>
  <si>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</si>
  <si>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</si>
  <si>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</si>
  <si>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</si>
  <si>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</si>
  <si>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</si>
  <si>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</si>
  <si>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</si>
  <si>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</si>
  <si>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</si>
  <si>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</si>
  <si>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</si>
  <si>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</si>
  <si>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</si>
  <si>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</si>
  <si>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</si>
  <si>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</si>
  <si>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</si>
  <si>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</si>
  <si>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</si>
  <si>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</si>
  <si>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</si>
  <si>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</si>
  <si>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</si>
  <si>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</si>
  <si>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</si>
  <si>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</si>
  <si>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</si>
  <si>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</si>
  <si>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</si>
  <si>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</si>
  <si>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</si>
  <si>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</si>
  <si>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</si>
  <si>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</si>
  <si>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</si>
  <si>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</si>
  <si>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</si>
  <si>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</si>
  <si>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</si>
  <si>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</si>
  <si>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</si>
  <si>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</si>
  <si>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</si>
  <si>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</si>
  <si>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</si>
  <si>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</si>
  <si>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</si>
  <si>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</si>
  <si>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</si>
  <si>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</si>
  <si>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</si>
  <si>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</si>
  <si>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</si>
  <si>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</si>
  <si>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</si>
  <si>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</si>
  <si>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</si>
  <si>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</si>
  <si>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</si>
  <si>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</si>
  <si>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</si>
  <si>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</si>
  <si>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</si>
  <si>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</si>
  <si>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</si>
  <si>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</si>
  <si>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</si>
  <si>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</si>
  <si>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</si>
  <si>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</si>
  <si>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</si>
  <si>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</si>
  <si>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</si>
  <si>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</si>
  <si>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</si>
  <si>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</si>
  <si>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</si>
  <si>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</si>
  <si>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</si>
  <si>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</si>
  <si>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</si>
  <si>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</si>
  <si>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</si>
  <si>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</si>
  <si>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</si>
  <si>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</si>
  <si>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</si>
  <si>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</si>
  <si>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</si>
  <si>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</si>
  <si>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</si>
  <si>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</si>
  <si>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</si>
  <si>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</si>
  <si>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</si>
  <si>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</si>
  <si>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</si>
  <si>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</si>
  <si>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</si>
  <si>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</si>
  <si>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</si>
  <si>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</si>
  <si>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</si>
  <si>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</si>
  <si>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</si>
  <si>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</si>
  <si>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</si>
  <si>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</si>
  <si>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</si>
  <si>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</si>
  <si>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</si>
  <si>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</si>
  <si>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</si>
  <si>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</si>
  <si>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</si>
  <si>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</si>
  <si>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</si>
  <si>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</si>
  <si>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</si>
  <si>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</si>
  <si>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</si>
  <si>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</si>
  <si>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</si>
  <si>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</si>
  <si>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</si>
  <si>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</si>
  <si>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</si>
  <si>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</si>
  <si>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</si>
  <si>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</si>
  <si>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</si>
  <si>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</si>
  <si>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</si>
  <si>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</si>
  <si>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</si>
  <si>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</si>
  <si>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</si>
  <si>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</si>
  <si>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</si>
  <si>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</si>
  <si>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</si>
  <si>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</si>
  <si>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</si>
  <si>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</si>
  <si>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</si>
  <si>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</si>
  <si>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</si>
  <si>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</si>
  <si>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</si>
  <si>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</si>
  <si>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</si>
  <si>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</si>
  <si>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</si>
  <si>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</si>
  <si>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</si>
  <si>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</si>
  <si>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</si>
  <si>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</si>
  <si>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</si>
  <si>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</si>
  <si>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</si>
  <si>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</si>
  <si>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</si>
  <si>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</si>
  <si>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</si>
  <si>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</si>
  <si>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</si>
  <si>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</si>
  <si>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</si>
  <si>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</si>
  <si>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</si>
  <si>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</si>
  <si>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</si>
  <si>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</si>
  <si>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</si>
  <si>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</si>
  <si>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</si>
  <si>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</si>
  <si>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</si>
  <si>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</si>
  <si>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</si>
  <si>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</si>
  <si>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</si>
  <si>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</si>
  <si>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</si>
  <si>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</si>
  <si>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</si>
  <si>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</si>
  <si>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</si>
  <si>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</si>
  <si>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</si>
  <si>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</si>
  <si>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</si>
  <si>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</si>
  <si>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</si>
  <si>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</si>
  <si>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</si>
  <si>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</si>
  <si>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</si>
  <si>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</si>
  <si>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</si>
  <si>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</si>
  <si>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</si>
  <si>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</si>
  <si>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</si>
  <si>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</si>
  <si>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</si>
  <si>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</si>
  <si>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</si>
  <si>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</si>
  <si>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</si>
  <si>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</si>
  <si>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</si>
  <si>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</si>
  <si>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</si>
  <si>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</si>
  <si>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</si>
  <si>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</si>
  <si>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</si>
  <si>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</si>
  <si>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</si>
  <si>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</si>
  <si>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</si>
  <si>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</si>
  <si>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</si>
  <si>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</si>
  <si>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</si>
  <si>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</si>
  <si>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</si>
  <si>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</si>
  <si>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</si>
  <si>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</si>
  <si>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</si>
  <si>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</si>
  <si>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</si>
  <si>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</si>
  <si>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</si>
  <si>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</si>
  <si>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</si>
  <si>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</si>
  <si>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</si>
  <si>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</si>
  <si>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</si>
  <si>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</si>
  <si>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</si>
  <si>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</si>
  <si>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</si>
  <si>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</si>
  <si>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</si>
  <si>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</si>
  <si>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</si>
  <si>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</si>
  <si>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</si>
  <si>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</si>
  <si>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</si>
  <si>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</si>
  <si>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</si>
  <si>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</si>
  <si>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</si>
  <si>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</si>
  <si>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</si>
  <si>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</si>
  <si>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</si>
  <si>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</si>
  <si>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</si>
  <si>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</si>
  <si>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</si>
  <si>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</si>
  <si>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</si>
  <si>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</si>
  <si>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</si>
  <si>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</si>
  <si>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</si>
  <si>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</si>
  <si>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</si>
  <si>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</si>
  <si>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</si>
  <si>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</si>
  <si>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</si>
  <si>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</si>
  <si>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</si>
  <si>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</si>
  <si>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</si>
  <si>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</si>
  <si>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</si>
  <si>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</si>
  <si>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</si>
  <si>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</si>
  <si>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</si>
  <si>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</si>
  <si>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</si>
  <si>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</si>
  <si>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</si>
  <si>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</si>
  <si>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</si>
  <si>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</si>
  <si>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</si>
  <si>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</si>
  <si>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</si>
  <si>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</si>
  <si>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</si>
  <si>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</si>
  <si>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</si>
  <si>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</si>
  <si>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</si>
  <si>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</si>
  <si>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</si>
  <si>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</si>
  <si>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</si>
  <si>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</si>
  <si>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</si>
  <si>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</si>
  <si>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</si>
  <si>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</si>
  <si>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</si>
  <si>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</si>
  <si>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</si>
  <si>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</si>
  <si>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</si>
  <si>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</si>
  <si>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</si>
  <si>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</si>
  <si>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</si>
  <si>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</si>
  <si>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</si>
  <si>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</si>
  <si>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</si>
  <si>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</si>
  <si>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</si>
  <si>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</si>
  <si>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</si>
  <si>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</si>
  <si>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</si>
  <si>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</si>
  <si>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</si>
  <si>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</si>
  <si>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</si>
  <si>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</si>
  <si>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</si>
  <si>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</si>
  <si>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</si>
  <si>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</si>
  <si>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</si>
  <si>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</si>
  <si>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</si>
  <si>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</si>
  <si>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</si>
  <si>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</si>
  <si>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</si>
  <si>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</si>
  <si>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</si>
  <si>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</si>
  <si>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</si>
  <si>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</si>
  <si>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</si>
  <si>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</si>
  <si>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</si>
  <si>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</si>
  <si>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</si>
  <si>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</si>
  <si>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</si>
  <si>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</si>
  <si>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</si>
  <si>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</si>
  <si>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</si>
  <si>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</si>
  <si>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</si>
  <si>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</si>
  <si>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</si>
  <si>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</si>
  <si>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</si>
  <si>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</si>
  <si>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</si>
  <si>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</si>
  <si>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</si>
  <si>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</si>
  <si>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</si>
  <si>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</si>
  <si>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</si>
  <si>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</si>
  <si>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</si>
  <si>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</si>
  <si>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</si>
  <si>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</si>
  <si>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</si>
  <si>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</si>
  <si>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</si>
  <si>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</si>
  <si>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</si>
  <si>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</si>
  <si>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</si>
  <si>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</si>
  <si>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</si>
  <si>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</si>
  <si>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</si>
  <si>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</si>
  <si>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</si>
  <si>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</si>
  <si>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</si>
  <si>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</si>
  <si>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</si>
  <si>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</si>
  <si>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</si>
  <si>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</si>
  <si>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</si>
  <si>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</si>
  <si>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</si>
  <si>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</si>
  <si>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</si>
  <si>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</si>
  <si>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</si>
  <si>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</si>
  <si>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</si>
  <si>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</si>
  <si>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</si>
  <si>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</si>
  <si>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</si>
  <si>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</si>
  <si>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</si>
  <si>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</si>
  <si>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</si>
  <si>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</si>
  <si>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</si>
  <si>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</si>
  <si>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</si>
  <si>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</si>
  <si>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</si>
  <si>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</si>
  <si>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</si>
  <si>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</si>
  <si>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</si>
  <si>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</si>
  <si>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</si>
  <si>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</si>
  <si>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</si>
  <si>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</si>
  <si>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</si>
  <si>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</si>
  <si>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</si>
  <si>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</si>
  <si>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</si>
  <si>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</si>
  <si>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</si>
  <si>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</si>
  <si>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</si>
  <si>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</si>
  <si>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</si>
  <si>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</si>
  <si>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</si>
  <si>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</si>
  <si>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</si>
  <si>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</si>
  <si>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</si>
  <si>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</si>
  <si>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</si>
  <si>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</si>
  <si>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</si>
  <si>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</si>
  <si>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</si>
  <si>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</si>
  <si>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</si>
  <si>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</si>
  <si>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</si>
  <si>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</si>
  <si>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</si>
  <si>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</si>
  <si>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</si>
  <si>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</si>
  <si>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</si>
  <si>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</si>
  <si>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</si>
  <si>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</si>
  <si>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</si>
  <si>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</si>
  <si>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</si>
  <si>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</si>
  <si>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</si>
  <si>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</si>
  <si>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</si>
  <si>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</si>
  <si>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</si>
  <si>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</si>
  <si>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</si>
  <si>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</si>
  <si>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</si>
  <si>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</si>
  <si>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</si>
  <si>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</si>
  <si>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</si>
  <si>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</si>
  <si>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</si>
  <si>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</si>
  <si>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</si>
  <si>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</si>
  <si>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</si>
  <si>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</si>
  <si>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</si>
  <si>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</si>
  <si>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</si>
  <si>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</si>
  <si>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</si>
  <si>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</si>
  <si>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</si>
  <si>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</si>
  <si>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</si>
  <si>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</si>
  <si>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</si>
  <si>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</si>
  <si>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</si>
  <si>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</si>
  <si>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</si>
  <si>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</si>
  <si>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</si>
  <si>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</si>
  <si>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</si>
  <si>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</si>
  <si>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</si>
  <si>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</si>
  <si>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</si>
  <si>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</si>
  <si>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</si>
  <si>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</si>
  <si>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</si>
  <si>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</si>
  <si>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</si>
  <si>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</si>
  <si>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</si>
  <si>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</si>
  <si>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</si>
  <si>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</si>
  <si>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</si>
  <si>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</si>
  <si>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</si>
  <si>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</si>
  <si>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</si>
  <si>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</si>
  <si>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</si>
  <si>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</si>
  <si>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</si>
  <si>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</si>
  <si>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</si>
  <si>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</si>
  <si>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</si>
  <si>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</si>
  <si>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</si>
  <si>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</si>
  <si>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</si>
  <si>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</si>
  <si>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</si>
  <si>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</si>
  <si>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</si>
  <si>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</si>
  <si>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</si>
  <si>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</si>
  <si>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</si>
  <si>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</si>
  <si>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</si>
  <si>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</si>
  <si>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</si>
  <si>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</si>
  <si>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</si>
  <si>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</si>
  <si>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</si>
  <si>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</si>
  <si>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</si>
  <si>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</si>
  <si>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</si>
  <si>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</si>
  <si>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</si>
  <si>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</si>
  <si>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</si>
  <si>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</si>
  <si>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</si>
  <si>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</si>
  <si>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</si>
  <si>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</si>
  <si>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</si>
  <si>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</si>
  <si>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</si>
  <si>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</si>
  <si>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</si>
  <si>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</si>
  <si>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</si>
  <si>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</si>
  <si>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</si>
  <si>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</si>
  <si>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</si>
  <si>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</si>
  <si>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</si>
  <si>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</si>
  <si>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</si>
  <si>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</si>
  <si>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</si>
  <si>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</si>
  <si>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</si>
  <si>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</si>
  <si>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</si>
  <si>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</si>
  <si>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</si>
  <si>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</si>
  <si>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</si>
  <si>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</si>
  <si>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</si>
  <si>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</si>
  <si>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</si>
  <si>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</si>
  <si>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</si>
  <si>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</si>
  <si>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</si>
  <si>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</si>
  <si>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</si>
  <si>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</si>
  <si>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</si>
  <si>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</si>
  <si>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</si>
  <si>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</si>
  <si>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</si>
  <si>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</si>
  <si>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</si>
  <si>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</si>
  <si>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</si>
  <si>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</si>
  <si>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</si>
  <si>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</si>
  <si>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</si>
  <si>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</si>
  <si>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</si>
  <si>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</si>
  <si>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</si>
  <si>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</si>
  <si>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</si>
  <si>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</si>
  <si>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</si>
  <si>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</si>
  <si>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</si>
  <si>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</si>
  <si>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</si>
  <si>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</si>
  <si>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</si>
  <si>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</si>
  <si>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</si>
  <si>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</si>
  <si>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</si>
  <si>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</si>
  <si>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</si>
  <si>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</si>
  <si>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</si>
  <si>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</si>
  <si>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</si>
  <si>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</si>
  <si>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</si>
  <si>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</si>
  <si>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</si>
  <si>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</si>
  <si>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</si>
  <si>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</si>
  <si>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</si>
  <si>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</si>
  <si>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</si>
  <si>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</si>
  <si>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</si>
  <si>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</si>
  <si>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</si>
  <si>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</si>
  <si>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</si>
  <si>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</si>
  <si>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</si>
  <si>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</si>
  <si>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</si>
  <si>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</si>
  <si>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</si>
  <si>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</si>
  <si>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</si>
  <si>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</si>
  <si>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</si>
  <si>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</si>
  <si>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</si>
  <si>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</si>
  <si>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</si>
  <si>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</si>
  <si>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</si>
  <si>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</si>
  <si>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</si>
  <si>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</si>
  <si>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</si>
  <si>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</si>
  <si>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</si>
  <si>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</si>
  <si>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</si>
  <si>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</si>
  <si>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</si>
  <si>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</si>
  <si>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</si>
  <si>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</si>
  <si>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</si>
  <si>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</si>
  <si>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</si>
  <si>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</si>
  <si>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</si>
  <si>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</si>
  <si>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</si>
  <si>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</si>
  <si>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</si>
  <si>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</si>
  <si>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</si>
  <si>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</si>
  <si>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</si>
  <si>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</si>
  <si>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</si>
  <si>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</si>
  <si>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</si>
  <si>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</si>
  <si>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</si>
  <si>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</si>
  <si>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</si>
  <si>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</si>
  <si>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</si>
  <si>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</si>
  <si>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</si>
  <si>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</si>
  <si>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</si>
  <si>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</si>
  <si>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</si>
  <si>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</si>
  <si>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</si>
  <si>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</si>
  <si>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</si>
  <si>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</si>
  <si>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</si>
  <si>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</si>
  <si>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</si>
  <si>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</si>
  <si>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</si>
  <si>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</si>
  <si>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</si>
  <si>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</si>
  <si>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</si>
  <si>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</si>
  <si>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</si>
  <si>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</si>
  <si>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</si>
  <si>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</si>
  <si>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</si>
  <si>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</si>
  <si>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</si>
  <si>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</si>
  <si>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</si>
  <si>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</si>
  <si>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</si>
  <si>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</si>
  <si>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</si>
  <si>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</si>
  <si>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</si>
  <si>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</si>
  <si>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</si>
  <si>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</si>
  <si>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</si>
  <si>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</si>
  <si>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</si>
  <si>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</si>
  <si>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</si>
  <si>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</si>
  <si>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</si>
  <si>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</si>
  <si>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</si>
  <si>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</si>
  <si>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</si>
  <si>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</si>
  <si>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</si>
  <si>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</si>
  <si>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</si>
  <si>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</si>
  <si>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</si>
  <si>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</si>
  <si>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</si>
  <si>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</si>
  <si>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</si>
  <si>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</si>
  <si>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</si>
  <si>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</si>
  <si>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</si>
  <si>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</si>
  <si>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</si>
  <si>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</si>
  <si>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</si>
  <si>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</si>
  <si>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</si>
  <si>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</si>
  <si>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</si>
  <si>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</si>
  <si>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</si>
  <si>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</si>
  <si>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</si>
  <si>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</si>
  <si>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</si>
  <si>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</si>
  <si>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</si>
  <si>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</si>
  <si>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</si>
  <si>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</si>
  <si>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</si>
  <si>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</si>
  <si>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</si>
  <si>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</si>
  <si>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</si>
  <si>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</si>
  <si>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</si>
  <si>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</si>
  <si>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</si>
  <si>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</si>
  <si>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</si>
  <si>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</si>
  <si>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</si>
  <si>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</si>
  <si>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</si>
  <si>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</si>
  <si>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</si>
  <si>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</si>
  <si>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</si>
  <si>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</si>
  <si>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</si>
  <si>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</si>
  <si>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</si>
  <si>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</si>
  <si>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</si>
  <si>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</si>
  <si>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</si>
  <si>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</si>
  <si>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</si>
  <si>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</si>
  <si>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</si>
  <si>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</si>
  <si>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</si>
  <si>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</si>
  <si>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</si>
  <si>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</si>
  <si>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</si>
  <si>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</si>
  <si>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</si>
  <si>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</si>
  <si>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</si>
  <si>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</si>
  <si>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</si>
  <si>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</si>
  <si>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</si>
  <si>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</si>
  <si>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</si>
  <si>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</si>
  <si>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</si>
  <si>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</si>
  <si>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</si>
  <si>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</si>
  <si>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</si>
  <si>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</si>
  <si>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</si>
  <si>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</si>
  <si>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</si>
  <si>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</si>
  <si>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</si>
  <si>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</si>
  <si>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</si>
  <si>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</si>
  <si>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</si>
  <si>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</si>
  <si>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</si>
  <si>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</si>
  <si>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</si>
  <si>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</si>
  <si>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</si>
  <si>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</si>
  <si>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</si>
  <si>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</si>
  <si>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</si>
  <si>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</si>
  <si>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</si>
  <si>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</si>
  <si>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</si>
  <si>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</si>
  <si>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</si>
  <si>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</si>
  <si>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</si>
  <si>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</si>
  <si>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</si>
  <si>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</si>
  <si>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</si>
  <si>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</si>
  <si>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</si>
  <si>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</si>
  <si>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</si>
  <si>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</si>
  <si>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</si>
  <si>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</si>
  <si>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</si>
  <si>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</si>
  <si>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</si>
  <si>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</si>
  <si>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</si>
  <si>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</si>
  <si>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</si>
  <si>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</si>
  <si>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</si>
  <si>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</si>
  <si>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</si>
  <si>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</si>
  <si>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</si>
  <si>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</si>
  <si>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</si>
  <si>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</si>
  <si>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</si>
  <si>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</si>
  <si>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</si>
  <si>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</si>
  <si>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</si>
  <si>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</si>
  <si>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</si>
  <si>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</si>
  <si>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</si>
  <si>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</si>
  <si>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</si>
  <si>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</si>
  <si>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</si>
  <si>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</si>
  <si>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</si>
  <si>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</si>
  <si>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</si>
  <si>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</si>
  <si>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</si>
  <si>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</si>
  <si>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</si>
  <si>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</si>
  <si>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</si>
  <si>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</si>
  <si>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</si>
  <si>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</si>
  <si>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</si>
  <si>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</si>
  <si>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</si>
  <si>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</si>
  <si>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</si>
  <si>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</si>
  <si>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</si>
  <si>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</si>
  <si>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</si>
  <si>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</si>
  <si>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</si>
  <si>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</si>
  <si>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</si>
  <si>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</si>
  <si>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</si>
  <si>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</si>
  <si>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</si>
  <si>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</si>
  <si>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</si>
  <si>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</si>
  <si>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</si>
  <si>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</si>
  <si>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</si>
  <si>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</si>
  <si>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</si>
  <si>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</si>
  <si>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</si>
  <si>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</si>
  <si>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</si>
  <si>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</si>
  <si>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</si>
  <si>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</si>
  <si>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</si>
  <si>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</si>
  <si>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</si>
  <si>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</si>
  <si>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</si>
  <si>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</si>
  <si>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</si>
  <si>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</si>
  <si>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</si>
  <si>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</si>
  <si>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</si>
  <si>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</si>
  <si>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</si>
  <si>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</si>
  <si>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</si>
  <si>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</si>
  <si>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</si>
  <si>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</si>
  <si>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</si>
  <si>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</si>
  <si>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</si>
  <si>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</si>
  <si>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</si>
  <si>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</si>
  <si>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</si>
  <si>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</si>
  <si>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</si>
  <si>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</si>
  <si>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</si>
  <si>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</si>
  <si>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</si>
  <si>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</si>
  <si>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</si>
  <si>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</si>
  <si>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</si>
  <si>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</si>
  <si>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</si>
  <si>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</si>
  <si>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</si>
  <si>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</si>
  <si>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</si>
  <si>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</si>
  <si>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</si>
  <si>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</si>
  <si>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</si>
  <si>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</si>
  <si>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</si>
  <si>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</si>
  <si>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</si>
  <si>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</si>
  <si>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</si>
  <si>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</si>
  <si>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</si>
  <si>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</si>
  <si>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</si>
  <si>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</si>
  <si>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</si>
  <si>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</si>
  <si>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</si>
  <si>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</si>
  <si>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</si>
  <si>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</si>
  <si>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</si>
  <si>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</si>
  <si>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</si>
  <si>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</si>
  <si>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</si>
  <si>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</si>
  <si>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</si>
  <si>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</si>
  <si>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</si>
  <si>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</si>
  <si>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</si>
  <si>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</si>
  <si>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</si>
  <si>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</si>
  <si>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</si>
  <si>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</si>
  <si>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</si>
  <si>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</si>
  <si>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</si>
  <si>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</si>
  <si>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</si>
  <si>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</si>
  <si>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</si>
  <si>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</si>
  <si>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</si>
  <si>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</si>
  <si>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</si>
  <si>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</si>
  <si>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</si>
  <si>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</si>
  <si>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</si>
  <si>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</si>
  <si>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</si>
  <si>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</si>
  <si>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</si>
  <si>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</si>
  <si>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</si>
  <si>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</si>
  <si>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</si>
  <si>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</si>
  <si>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</si>
  <si>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</si>
  <si>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</si>
  <si>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</si>
  <si>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</si>
  <si>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</si>
  <si>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</si>
  <si>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</si>
  <si>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</si>
  <si>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</si>
  <si>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</si>
  <si>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</si>
  <si>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</si>
  <si>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</si>
  <si>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</si>
  <si>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</si>
  <si>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</si>
  <si>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</si>
  <si>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</si>
  <si>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</si>
  <si>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</si>
  <si>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</si>
  <si>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</si>
  <si>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</si>
  <si>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</si>
  <si>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</si>
  <si>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</si>
  <si>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</si>
  <si>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</si>
  <si>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</si>
  <si>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</si>
  <si>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</si>
  <si>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</si>
  <si>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</si>
  <si>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</si>
  <si>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</si>
  <si>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</si>
  <si>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</si>
  <si>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</si>
  <si>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</si>
  <si>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</si>
  <si>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</si>
  <si>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</si>
  <si>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</si>
  <si>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</si>
  <si>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</si>
  <si>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</si>
  <si>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</si>
  <si>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</si>
  <si>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</si>
  <si>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</si>
  <si>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</si>
  <si>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</si>
  <si>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</si>
  <si>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</si>
  <si>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</si>
  <si>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</si>
  <si>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</si>
  <si>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</si>
  <si>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</si>
  <si>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</si>
  <si>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</si>
  <si>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</si>
  <si>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</si>
  <si>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</si>
  <si>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</si>
  <si>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</si>
  <si>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</si>
  <si>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</si>
  <si>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</si>
  <si>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</si>
  <si>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</si>
  <si>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</si>
  <si>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</si>
  <si>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</si>
  <si>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</si>
  <si>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</si>
  <si>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</si>
  <si>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</si>
  <si>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</si>
  <si>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</si>
  <si>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</si>
  <si>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</si>
  <si>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</si>
  <si>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</si>
  <si>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</si>
  <si>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</si>
  <si>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</si>
  <si>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</si>
  <si>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</si>
  <si>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</si>
  <si>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</si>
  <si>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</si>
  <si>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</si>
  <si>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</si>
  <si>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</si>
  <si>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</si>
  <si>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</si>
  <si>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</si>
  <si>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</si>
  <si>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</si>
  <si>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</si>
  <si>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</si>
  <si>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</si>
  <si>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</si>
  <si>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</si>
  <si>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</si>
  <si>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</si>
  <si>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</si>
  <si>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</si>
  <si>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</si>
  <si>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</si>
  <si>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</si>
  <si>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</si>
  <si>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</si>
  <si>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</si>
  <si>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</si>
  <si>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</si>
  <si>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</si>
  <si>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</si>
  <si>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</si>
  <si>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</si>
  <si>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</si>
  <si>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</si>
  <si>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</si>
  <si>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</si>
  <si>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</si>
  <si>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</si>
  <si>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</si>
  <si>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</si>
  <si>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</si>
  <si>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</si>
  <si>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</si>
  <si>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</si>
  <si>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</si>
  <si>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</si>
  <si>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</si>
  <si>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</si>
  <si>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</si>
  <si>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</si>
  <si>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</si>
  <si>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</si>
  <si>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</si>
  <si>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</si>
  <si>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</si>
  <si>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</si>
  <si>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</si>
  <si>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</si>
  <si>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</si>
  <si>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</si>
  <si>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</si>
  <si>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</si>
  <si>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</si>
  <si>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</si>
  <si>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</si>
  <si>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</si>
  <si>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</si>
  <si>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</si>
  <si>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</si>
  <si>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</si>
  <si>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</si>
  <si>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</si>
  <si>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</si>
  <si>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</si>
  <si>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</si>
  <si>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</si>
  <si>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</si>
  <si>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</si>
  <si>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</si>
  <si>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</si>
  <si>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</si>
  <si>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</si>
  <si>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</si>
  <si>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</si>
  <si>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</si>
  <si>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</si>
  <si>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</si>
  <si>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</si>
  <si>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</si>
  <si>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</si>
  <si>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</si>
  <si>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</si>
  <si>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</si>
  <si>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</si>
  <si>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</si>
  <si>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</si>
  <si>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</si>
  <si>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</si>
  <si>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</si>
  <si>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</si>
  <si>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</si>
  <si>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</si>
  <si>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</si>
  <si>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</si>
  <si>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</si>
  <si>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</si>
  <si>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</si>
  <si>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</si>
  <si>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</si>
  <si>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</si>
  <si>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</si>
  <si>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</si>
  <si>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</si>
  <si>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</si>
  <si>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</si>
  <si>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</si>
  <si>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</si>
  <si>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</si>
  <si>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</si>
  <si>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</si>
  <si>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</si>
  <si>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</si>
  <si>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</si>
  <si>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</si>
  <si>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</si>
  <si>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</si>
  <si>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</si>
  <si>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</si>
  <si>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</si>
  <si>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</si>
  <si>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</si>
  <si>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</si>
  <si>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</si>
  <si>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</si>
  <si>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</si>
  <si>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</si>
  <si>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</si>
  <si>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</si>
  <si>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</si>
  <si>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</si>
  <si>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</si>
  <si>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</si>
  <si>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</si>
  <si>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</si>
  <si>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</si>
  <si>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</si>
  <si>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</si>
  <si>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</si>
  <si>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</si>
  <si>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</si>
  <si>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</si>
  <si>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</si>
  <si>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</si>
  <si>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</si>
  <si>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</si>
  <si>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</si>
  <si>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</si>
  <si>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</si>
  <si>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</si>
  <si>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</si>
  <si>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</si>
  <si>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</si>
  <si>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</si>
  <si>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</si>
  <si>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</si>
  <si>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</si>
  <si>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</si>
  <si>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</si>
  <si>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</si>
  <si>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</si>
  <si>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</si>
  <si>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</si>
  <si>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</si>
  <si>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</si>
  <si>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</si>
  <si>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</si>
  <si>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</si>
  <si>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</si>
  <si>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</si>
  <si>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</si>
  <si>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</si>
  <si>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</si>
  <si>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</si>
  <si>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</si>
  <si>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</si>
  <si>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</si>
  <si>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</si>
  <si>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</si>
  <si>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</si>
  <si>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</si>
  <si>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</si>
  <si>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</si>
  <si>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</si>
  <si>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</si>
  <si>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</si>
  <si>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</si>
  <si>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</si>
  <si>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</si>
  <si>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</si>
  <si>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</si>
  <si>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</si>
  <si>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</si>
  <si>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</si>
  <si>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</si>
  <si>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</si>
  <si>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</si>
  <si>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</si>
  <si>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</si>
  <si>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</si>
  <si>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</si>
  <si>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</si>
  <si>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</si>
  <si>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</si>
  <si>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</si>
  <si>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</si>
  <si>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</si>
  <si>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</si>
  <si>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</si>
  <si>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</si>
  <si>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</si>
  <si>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</si>
  <si>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</si>
  <si>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</si>
  <si>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</si>
  <si>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</si>
  <si>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</si>
  <si>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</si>
  <si>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</si>
  <si>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</si>
  <si>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</si>
  <si>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</si>
  <si>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</si>
  <si>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</si>
  <si>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</si>
  <si>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</si>
  <si>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</si>
  <si>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</si>
  <si>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</si>
  <si>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</si>
  <si>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</si>
  <si>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</si>
  <si>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</si>
  <si>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</si>
  <si>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</si>
  <si>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</si>
  <si>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</si>
  <si>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</si>
  <si>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</si>
  <si>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</si>
  <si>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</si>
  <si>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</si>
  <si>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</si>
  <si>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</si>
  <si>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</si>
  <si>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</si>
  <si>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</si>
  <si>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</si>
  <si>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</si>
  <si>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</si>
  <si>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</si>
  <si>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</si>
  <si>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</si>
  <si>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</si>
  <si>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</si>
  <si>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</si>
  <si>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</si>
  <si>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</si>
  <si>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</si>
  <si>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</si>
  <si>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</si>
  <si>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</si>
  <si>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</si>
  <si>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</si>
  <si>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</si>
  <si>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</si>
  <si>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</si>
  <si>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</si>
  <si>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</si>
  <si>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</si>
  <si>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</si>
  <si>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</si>
  <si>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</si>
  <si>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</si>
  <si>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</si>
  <si>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</si>
  <si>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</si>
  <si>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</si>
  <si>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</si>
  <si>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</si>
  <si>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</si>
  <si>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</si>
  <si>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</si>
  <si>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</si>
  <si>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</si>
  <si>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</si>
  <si>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</si>
  <si>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</si>
  <si>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</si>
  <si>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</si>
  <si>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</si>
  <si>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</si>
  <si>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</si>
  <si>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</si>
  <si>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</si>
  <si>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</si>
  <si>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</si>
  <si>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</si>
  <si>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</si>
  <si>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</si>
  <si>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</si>
  <si>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</si>
  <si>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</si>
  <si>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</si>
  <si>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</si>
  <si>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</si>
  <si>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</si>
  <si>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</si>
  <si>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</si>
  <si>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</si>
  <si>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</si>
  <si>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</si>
  <si>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</si>
  <si>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</si>
  <si>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</si>
  <si>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</si>
  <si>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</si>
  <si>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</si>
  <si>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</si>
  <si>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</si>
  <si>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</si>
  <si>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</si>
  <si>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</si>
  <si>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</si>
  <si>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</si>
  <si>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</si>
  <si>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</si>
  <si>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</si>
  <si>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</si>
  <si>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</si>
  <si>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</si>
  <si>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</si>
  <si>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</si>
  <si>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</si>
  <si>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</si>
  <si>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</si>
  <si>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</si>
  <si>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</si>
  <si>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</si>
  <si>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</si>
  <si>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</si>
  <si>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</si>
  <si>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</si>
  <si>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</si>
  <si>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</si>
  <si>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</si>
  <si>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</si>
  <si>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</si>
  <si>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</si>
  <si>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</si>
  <si>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</si>
  <si>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</si>
  <si>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</si>
  <si>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</si>
  <si>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</si>
  <si>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</si>
  <si>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</si>
  <si>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</si>
  <si>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</si>
  <si>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</si>
  <si>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</si>
  <si>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</si>
  <si>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</si>
  <si>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</si>
  <si>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</si>
  <si>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</si>
  <si>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</si>
  <si>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</si>
  <si>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</si>
  <si>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</si>
  <si>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</si>
  <si>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</si>
  <si>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</si>
  <si>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</si>
  <si>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</si>
  <si>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</si>
  <si>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</si>
  <si>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</si>
  <si>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</si>
  <si>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</si>
  <si>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</si>
  <si>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</si>
  <si>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</si>
  <si>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</si>
  <si>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</si>
  <si>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</si>
  <si>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</si>
  <si>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</si>
  <si>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</si>
  <si>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</si>
  <si>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</si>
  <si>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</si>
  <si>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</si>
  <si>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</si>
  <si>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</si>
  <si>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</si>
  <si>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</si>
  <si>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</si>
  <si>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</si>
  <si>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</si>
  <si>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</si>
  <si>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</si>
  <si>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</si>
  <si>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</si>
  <si>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</si>
  <si>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</si>
  <si>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</si>
  <si>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</si>
  <si>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</si>
  <si>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</si>
  <si>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</si>
  <si>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</si>
  <si>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</si>
  <si>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</si>
  <si>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</si>
  <si>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</si>
  <si>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</si>
  <si>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</si>
  <si>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</si>
  <si>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</si>
  <si>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</si>
  <si>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</si>
  <si>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</si>
  <si>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</si>
  <si>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</si>
  <si>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</si>
  <si>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</si>
  <si>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</si>
  <si>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</si>
  <si>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</si>
  <si>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</si>
  <si>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</si>
  <si>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</si>
  <si>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</si>
  <si>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</si>
  <si>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</si>
  <si>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</si>
  <si>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</si>
  <si>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</si>
  <si>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</si>
  <si>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</si>
  <si>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</si>
  <si>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</si>
  <si>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</si>
  <si>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</si>
  <si>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</si>
  <si>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</si>
  <si>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</si>
  <si>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</si>
  <si>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</si>
  <si>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</si>
  <si>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</si>
  <si>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</si>
  <si>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</si>
  <si>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</si>
  <si>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</si>
  <si>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</si>
  <si>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</si>
  <si>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</si>
  <si>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</si>
  <si>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</si>
  <si>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</si>
  <si>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</si>
  <si>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</si>
  <si>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</si>
  <si>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</si>
  <si>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</si>
  <si>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</si>
  <si>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</si>
  <si>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</si>
  <si>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</si>
  <si>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</si>
  <si>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</si>
  <si>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</si>
  <si>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</si>
  <si>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</si>
  <si>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</si>
  <si>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</si>
  <si>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</si>
  <si>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</si>
  <si>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</si>
  <si>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</si>
  <si>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</si>
  <si>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</si>
  <si>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</si>
  <si>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</si>
  <si>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</si>
  <si>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</si>
  <si>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</si>
  <si>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</si>
  <si>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</si>
  <si>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</si>
  <si>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</si>
  <si>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</si>
  <si>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</si>
  <si>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</si>
  <si>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</si>
  <si>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</si>
  <si>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</si>
  <si>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</si>
  <si>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</si>
  <si>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</si>
  <si>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</si>
  <si>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</si>
  <si>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</si>
  <si>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</si>
  <si>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</si>
  <si>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</si>
  <si>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</si>
  <si>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</si>
  <si>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</si>
  <si>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</si>
  <si>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</si>
  <si>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</si>
  <si>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</si>
  <si>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</si>
  <si>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</si>
  <si>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</si>
  <si>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</si>
  <si>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</si>
  <si>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</si>
  <si>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</si>
  <si>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</si>
  <si>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</si>
  <si>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</si>
  <si>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</si>
  <si>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</si>
  <si>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</si>
  <si>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</si>
  <si>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</si>
  <si>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</si>
  <si>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</si>
  <si>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Ponto1</t>
  </si>
  <si>
    <t>Ponto2</t>
  </si>
  <si>
    <t>Ponto3</t>
  </si>
  <si>
    <t>Ponto4</t>
  </si>
  <si>
    <t>Ponto5</t>
  </si>
  <si>
    <t>Ponto6</t>
  </si>
  <si>
    <t>Ponto7</t>
  </si>
  <si>
    <t>Distâncias de condução do Bing Maps (km) / Velocidade média do veículo</t>
  </si>
  <si>
    <t>V1</t>
  </si>
  <si>
    <t>Escola1</t>
  </si>
  <si>
    <t>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</si>
</sst>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000000"/>
    <numFmt numFmtId="166" formatCode="hh:mm"/>
  </numFmts>
  <fonts count="30"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8" fillId="38" borderId="16" xfId="0" applyFont="1" applyFill="1" applyBorder="1"/>
    <xf numFmtId="0" fontId="28" fillId="38" borderId="0" xfId="0" applyFont="1" applyFill="1" applyBorder="1"/>
    <xf numFmtId="2" fontId="28" fillId="38" borderId="0" xfId="0" applyNumberFormat="1" applyFont="1" applyFill="1" applyBorder="1"/>
    <xf numFmtId="164" fontId="28" fillId="38" borderId="0" xfId="0" applyNumberFormat="1" applyFont="1" applyFill="1" applyBorder="1"/>
    <xf numFmtId="0" fontId="28" fillId="38" borderId="1" xfId="0" applyFont="1" applyFill="1" applyBorder="1"/>
    <xf numFmtId="2" fontId="28" fillId="38" borderId="1" xfId="0" applyNumberFormat="1" applyFont="1" applyFill="1" applyBorder="1"/>
    <xf numFmtId="164" fontId="28" fillId="38" borderId="1" xfId="0" applyNumberFormat="1" applyFont="1" applyFill="1" applyBorder="1"/>
    <xf numFmtId="0" fontId="28" fillId="39" borderId="15" xfId="0" applyFont="1" applyFill="1" applyBorder="1"/>
    <xf numFmtId="0" fontId="28" fillId="38" borderId="15" xfId="0" applyFont="1" applyFill="1" applyBorder="1"/>
    <xf numFmtId="2" fontId="28" fillId="38" borderId="15" xfId="0" applyNumberFormat="1" applyFont="1" applyFill="1" applyBorder="1"/>
    <xf numFmtId="164" fontId="28" fillId="38" borderId="15" xfId="0" applyNumberFormat="1" applyFont="1" applyFill="1" applyBorder="1"/>
    <xf numFmtId="0" fontId="28" fillId="40" borderId="15" xfId="0" applyFont="1" applyFill="1" applyBorder="1"/>
    <xf numFmtId="2" fontId="29"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164" fontId="22" fillId="36" borderId="21" xfId="0" applyNumberFormat="1" applyFont="1" applyFill="1" applyBorder="1"/>
    <xf numFmtId="2" fontId="22" fillId="37" borderId="1" xfId="0" applyNumberFormat="1" applyFont="1" applyFill="1" applyBorder="1"/>
    <xf numFmtId="0" fontId="28" fillId="39" borderId="1" xfId="0" applyFont="1" applyFill="1" applyBorder="1"/>
    <xf numFmtId="166" fontId="21" fillId="0" borderId="0" xfId="0" applyNumberFormat="1" applyFont="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6" borderId="21" xfId="0" applyNumberFormat="1" applyFont="1" applyFill="1" applyBorder="1"/>
    <xf numFmtId="166" fontId="22" fillId="36" borderId="18"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6" borderId="21" xfId="0" applyNumberFormat="1" applyFont="1" applyFill="1" applyBorder="1"/>
    <xf numFmtId="166" fontId="22" fillId="34" borderId="16" xfId="0" applyNumberFormat="1" applyFont="1" applyFill="1" applyBorder="1"/>
    <xf numFmtId="166" fontId="28" fillId="38" borderId="0" xfId="0" applyNumberFormat="1" applyFont="1" applyFill="1" applyBorder="1"/>
    <xf numFmtId="166" fontId="28" fillId="38" borderId="1" xfId="0" applyNumberFormat="1" applyFont="1" applyFill="1" applyBorder="1"/>
    <xf numFmtId="166" fontId="28" fillId="38" borderId="15"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0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4" sqref="C4"/>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8</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B3739-D208-40B1-A858-65A2CB0A1621}">
  <dimension ref="A1:L10"/>
  <sheetViews>
    <sheetView topLeftCell="B1" workbookViewId="0">
      <selection activeCell="G9" sqref="G9"/>
    </sheetView>
  </sheetViews>
  <sheetFormatPr defaultRowHeight="15" x14ac:dyDescent="0.25"/>
  <cols>
    <col min="1" max="1" width="15.7109375" bestFit="1" customWidth="1"/>
    <col min="2" max="2" width="8.8554687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65"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1119</v>
      </c>
      <c r="C2" s="27"/>
      <c r="D2" s="61">
        <v>-10.349356500000001</v>
      </c>
      <c r="E2" s="61">
        <v>-48.297334300000003</v>
      </c>
      <c r="F2" s="70">
        <v>0</v>
      </c>
      <c r="G2" s="70">
        <v>0.99930555555555556</v>
      </c>
      <c r="H2" s="34" t="s">
        <v>1628</v>
      </c>
      <c r="I2" s="35">
        <v>0</v>
      </c>
      <c r="J2" s="34">
        <v>0</v>
      </c>
      <c r="K2" s="34">
        <v>0</v>
      </c>
      <c r="L2" s="34">
        <v>0</v>
      </c>
    </row>
    <row r="3" spans="1:12" ht="15.75" thickTop="1" x14ac:dyDescent="0.25">
      <c r="A3" s="21">
        <v>1</v>
      </c>
      <c r="B3" s="28" t="s">
        <v>4003</v>
      </c>
      <c r="C3" s="28"/>
      <c r="D3" s="66">
        <v>-10.3343136</v>
      </c>
      <c r="E3" s="66">
        <v>-48.294635599999999</v>
      </c>
      <c r="F3" s="71">
        <v>0</v>
      </c>
      <c r="G3" s="71">
        <v>0.99930555555555556</v>
      </c>
      <c r="H3" s="28" t="s">
        <v>1152</v>
      </c>
      <c r="I3" s="31">
        <v>0</v>
      </c>
      <c r="J3" s="28">
        <v>0</v>
      </c>
      <c r="K3" s="28">
        <v>5</v>
      </c>
      <c r="L3" s="28">
        <v>0</v>
      </c>
    </row>
    <row r="4" spans="1:12" x14ac:dyDescent="0.25">
      <c r="A4" s="23">
        <v>2</v>
      </c>
      <c r="B4" s="29" t="s">
        <v>4004</v>
      </c>
      <c r="C4" s="29"/>
      <c r="D4" s="67">
        <v>-10.3352001</v>
      </c>
      <c r="E4" s="67">
        <v>-48.294421</v>
      </c>
      <c r="F4" s="72">
        <v>0</v>
      </c>
      <c r="G4" s="72">
        <v>0.99930555555555556</v>
      </c>
      <c r="H4" s="29" t="s">
        <v>1152</v>
      </c>
      <c r="I4" s="32">
        <v>0</v>
      </c>
      <c r="J4" s="29">
        <v>0</v>
      </c>
      <c r="K4" s="29">
        <v>2</v>
      </c>
      <c r="L4" s="29">
        <v>0</v>
      </c>
    </row>
    <row r="5" spans="1:12" x14ac:dyDescent="0.25">
      <c r="A5" s="23">
        <v>3</v>
      </c>
      <c r="B5" s="30" t="s">
        <v>4005</v>
      </c>
      <c r="C5" s="30"/>
      <c r="D5" s="68">
        <v>-10.338366499999999</v>
      </c>
      <c r="E5" s="68">
        <v>-48.299785399999998</v>
      </c>
      <c r="F5" s="73">
        <v>0</v>
      </c>
      <c r="G5" s="73">
        <v>0.99930555555555556</v>
      </c>
      <c r="H5" s="30" t="s">
        <v>1152</v>
      </c>
      <c r="I5" s="33">
        <v>0</v>
      </c>
      <c r="J5" s="30">
        <v>0</v>
      </c>
      <c r="K5" s="30">
        <v>3</v>
      </c>
      <c r="L5" s="30">
        <v>0</v>
      </c>
    </row>
    <row r="6" spans="1:12" x14ac:dyDescent="0.25">
      <c r="A6" s="23">
        <v>4</v>
      </c>
      <c r="B6" s="29" t="s">
        <v>4006</v>
      </c>
      <c r="C6" s="29"/>
      <c r="D6" s="67">
        <v>-10.3338395</v>
      </c>
      <c r="E6" s="67">
        <v>-48.293009499999997</v>
      </c>
      <c r="F6" s="72">
        <v>0</v>
      </c>
      <c r="G6" s="72">
        <v>0.99930555555555556</v>
      </c>
      <c r="H6" s="29" t="s">
        <v>1152</v>
      </c>
      <c r="I6" s="32">
        <v>0</v>
      </c>
      <c r="J6" s="29">
        <v>0</v>
      </c>
      <c r="K6" s="29">
        <v>2</v>
      </c>
      <c r="L6" s="29">
        <v>0</v>
      </c>
    </row>
    <row r="7" spans="1:12" x14ac:dyDescent="0.25">
      <c r="A7" s="23">
        <v>5</v>
      </c>
      <c r="B7" s="30" t="s">
        <v>4007</v>
      </c>
      <c r="C7" s="30"/>
      <c r="D7" s="68">
        <v>-10.3343136</v>
      </c>
      <c r="E7" s="68">
        <v>-48.294635599999999</v>
      </c>
      <c r="F7" s="73">
        <v>0</v>
      </c>
      <c r="G7" s="73">
        <v>0.99930555555555556</v>
      </c>
      <c r="H7" s="30" t="s">
        <v>1152</v>
      </c>
      <c r="I7" s="33">
        <v>0</v>
      </c>
      <c r="J7" s="30">
        <v>0</v>
      </c>
      <c r="K7" s="30">
        <v>5</v>
      </c>
      <c r="L7" s="30">
        <v>0</v>
      </c>
    </row>
    <row r="8" spans="1:12" x14ac:dyDescent="0.25">
      <c r="A8" s="23">
        <v>6</v>
      </c>
      <c r="B8" s="29" t="s">
        <v>4008</v>
      </c>
      <c r="C8" s="29"/>
      <c r="D8" s="67">
        <v>-10.3352001</v>
      </c>
      <c r="E8" s="67">
        <v>-48.294421</v>
      </c>
      <c r="F8" s="72">
        <v>0</v>
      </c>
      <c r="G8" s="72">
        <v>0.99930555555555556</v>
      </c>
      <c r="H8" s="29" t="s">
        <v>1152</v>
      </c>
      <c r="I8" s="32">
        <v>0</v>
      </c>
      <c r="J8" s="29">
        <v>0</v>
      </c>
      <c r="K8" s="29">
        <v>5</v>
      </c>
      <c r="L8" s="29">
        <v>0</v>
      </c>
    </row>
    <row r="9" spans="1:12" x14ac:dyDescent="0.25">
      <c r="A9" s="23">
        <v>7</v>
      </c>
      <c r="B9" s="30" t="s">
        <v>4009</v>
      </c>
      <c r="C9" s="30"/>
      <c r="D9" s="68">
        <v>-10.3419097</v>
      </c>
      <c r="E9" s="68">
        <v>-48.288843900000003</v>
      </c>
      <c r="F9" s="73">
        <v>0</v>
      </c>
      <c r="G9" s="73">
        <v>0.99930555555555556</v>
      </c>
      <c r="H9" s="30" t="s">
        <v>1152</v>
      </c>
      <c r="I9" s="33">
        <v>0</v>
      </c>
      <c r="J9" s="30">
        <v>0</v>
      </c>
      <c r="K9" s="30">
        <v>1</v>
      </c>
      <c r="L9" s="30">
        <v>0</v>
      </c>
    </row>
    <row r="10" spans="1:12" x14ac:dyDescent="0.25">
      <c r="A10" s="22">
        <v>8</v>
      </c>
      <c r="B10" s="60" t="s">
        <v>4012</v>
      </c>
      <c r="C10" s="60"/>
      <c r="D10" s="69">
        <v>-10.345169800000001</v>
      </c>
      <c r="E10" s="69">
        <v>-48.282046800000003</v>
      </c>
      <c r="F10" s="74">
        <v>0</v>
      </c>
      <c r="G10" s="74">
        <v>0.99930555555555556</v>
      </c>
      <c r="H10" s="60" t="s">
        <v>1152</v>
      </c>
      <c r="I10" s="62">
        <v>0</v>
      </c>
      <c r="J10" s="60">
        <v>23</v>
      </c>
      <c r="K10" s="60">
        <v>0</v>
      </c>
      <c r="L10" s="60">
        <v>0</v>
      </c>
    </row>
  </sheetData>
  <conditionalFormatting sqref="A2">
    <cfRule type="expression" dxfId="102" priority="1" stopIfTrue="1">
      <formula>ISBLANK(A2)</formula>
    </cfRule>
  </conditionalFormatting>
  <conditionalFormatting sqref="B2">
    <cfRule type="expression" dxfId="101" priority="2" stopIfTrue="1">
      <formula>ISBLANK(B2)</formula>
    </cfRule>
  </conditionalFormatting>
  <conditionalFormatting sqref="F2">
    <cfRule type="cellIs" dxfId="100" priority="3" stopIfTrue="1" operator="greaterThan">
      <formula>G2-$I$2</formula>
    </cfRule>
  </conditionalFormatting>
  <conditionalFormatting sqref="G2">
    <cfRule type="cellIs" dxfId="99" priority="4" stopIfTrue="1" operator="lessThan">
      <formula>F2+$I$2</formula>
    </cfRule>
  </conditionalFormatting>
  <conditionalFormatting sqref="I2">
    <cfRule type="cellIs" dxfId="98" priority="5" stopIfTrue="1" operator="greaterThan">
      <formula>G2-F2 + 0.0001</formula>
    </cfRule>
  </conditionalFormatting>
  <conditionalFormatting sqref="A3">
    <cfRule type="expression" dxfId="97" priority="6" stopIfTrue="1">
      <formula>ISBLANK(A3)</formula>
    </cfRule>
  </conditionalFormatting>
  <conditionalFormatting sqref="B3">
    <cfRule type="expression" dxfId="96" priority="7" stopIfTrue="1">
      <formula>ISBLANK(B3)</formula>
    </cfRule>
  </conditionalFormatting>
  <conditionalFormatting sqref="F3">
    <cfRule type="cellIs" dxfId="95" priority="8" stopIfTrue="1" operator="greaterThan">
      <formula>G3-$I$3</formula>
    </cfRule>
  </conditionalFormatting>
  <conditionalFormatting sqref="G3">
    <cfRule type="cellIs" dxfId="94" priority="9" stopIfTrue="1" operator="lessThan">
      <formula>F3+$I$3</formula>
    </cfRule>
  </conditionalFormatting>
  <conditionalFormatting sqref="H3">
    <cfRule type="cellIs" dxfId="93" priority="10" stopIfTrue="1" operator="equal">
      <formula>"Pode ser visitado"</formula>
    </cfRule>
    <cfRule type="cellIs" dxfId="92" priority="11" stopIfTrue="1" operator="equal">
      <formula>"Não visite"</formula>
    </cfRule>
  </conditionalFormatting>
  <conditionalFormatting sqref="I3">
    <cfRule type="cellIs" dxfId="91" priority="12" stopIfTrue="1" operator="greaterThan">
      <formula>G3-F3 + 0.0001</formula>
    </cfRule>
  </conditionalFormatting>
  <conditionalFormatting sqref="A4">
    <cfRule type="expression" dxfId="90" priority="13" stopIfTrue="1">
      <formula>ISBLANK(A4)</formula>
    </cfRule>
  </conditionalFormatting>
  <conditionalFormatting sqref="B4">
    <cfRule type="expression" dxfId="89" priority="14" stopIfTrue="1">
      <formula>ISBLANK(B4)</formula>
    </cfRule>
  </conditionalFormatting>
  <conditionalFormatting sqref="F4">
    <cfRule type="cellIs" dxfId="88" priority="15" stopIfTrue="1" operator="greaterThan">
      <formula>G4-$I$4</formula>
    </cfRule>
  </conditionalFormatting>
  <conditionalFormatting sqref="G4">
    <cfRule type="cellIs" dxfId="87" priority="16" stopIfTrue="1" operator="lessThan">
      <formula>F4+$I$4</formula>
    </cfRule>
  </conditionalFormatting>
  <conditionalFormatting sqref="H4">
    <cfRule type="cellIs" dxfId="86" priority="17" stopIfTrue="1" operator="equal">
      <formula>"Pode ser visitado"</formula>
    </cfRule>
    <cfRule type="cellIs" dxfId="85" priority="18" stopIfTrue="1" operator="equal">
      <formula>"Não visite"</formula>
    </cfRule>
  </conditionalFormatting>
  <conditionalFormatting sqref="I4">
    <cfRule type="cellIs" dxfId="84" priority="19" stopIfTrue="1" operator="greaterThan">
      <formula>G4-F4 + 0.0001</formula>
    </cfRule>
  </conditionalFormatting>
  <conditionalFormatting sqref="A5">
    <cfRule type="expression" dxfId="83" priority="20" stopIfTrue="1">
      <formula>ISBLANK(A5)</formula>
    </cfRule>
  </conditionalFormatting>
  <conditionalFormatting sqref="B5">
    <cfRule type="expression" dxfId="82" priority="21" stopIfTrue="1">
      <formula>ISBLANK(B5)</formula>
    </cfRule>
  </conditionalFormatting>
  <conditionalFormatting sqref="F5">
    <cfRule type="cellIs" dxfId="81" priority="22" stopIfTrue="1" operator="greaterThan">
      <formula>G5-$I$5</formula>
    </cfRule>
  </conditionalFormatting>
  <conditionalFormatting sqref="G5">
    <cfRule type="cellIs" dxfId="80" priority="23" stopIfTrue="1" operator="lessThan">
      <formula>F5+$I$5</formula>
    </cfRule>
  </conditionalFormatting>
  <conditionalFormatting sqref="H5">
    <cfRule type="cellIs" dxfId="79" priority="24" stopIfTrue="1" operator="equal">
      <formula>"Pode ser visitado"</formula>
    </cfRule>
  </conditionalFormatting>
  <conditionalFormatting sqref="H5">
    <cfRule type="cellIs" dxfId="78" priority="25" stopIfTrue="1" operator="equal">
      <formula>"Não visite"</formula>
    </cfRule>
  </conditionalFormatting>
  <conditionalFormatting sqref="I5">
    <cfRule type="cellIs" dxfId="77" priority="26" stopIfTrue="1" operator="greaterThan">
      <formula>G5-F5 + 0.0001</formula>
    </cfRule>
  </conditionalFormatting>
  <conditionalFormatting sqref="A6">
    <cfRule type="expression" dxfId="76" priority="27" stopIfTrue="1">
      <formula>ISBLANK(A6)</formula>
    </cfRule>
  </conditionalFormatting>
  <conditionalFormatting sqref="B6">
    <cfRule type="expression" dxfId="75" priority="28" stopIfTrue="1">
      <formula>ISBLANK(B6)</formula>
    </cfRule>
  </conditionalFormatting>
  <conditionalFormatting sqref="F6">
    <cfRule type="cellIs" dxfId="74" priority="29" stopIfTrue="1" operator="greaterThan">
      <formula>G6-$I$6</formula>
    </cfRule>
  </conditionalFormatting>
  <conditionalFormatting sqref="G6">
    <cfRule type="cellIs" dxfId="73" priority="30" stopIfTrue="1" operator="lessThan">
      <formula>F6+$I$6</formula>
    </cfRule>
  </conditionalFormatting>
  <conditionalFormatting sqref="H6">
    <cfRule type="cellIs" dxfId="72" priority="31" stopIfTrue="1" operator="equal">
      <formula>"Pode ser visitado"</formula>
    </cfRule>
  </conditionalFormatting>
  <conditionalFormatting sqref="H6">
    <cfRule type="cellIs" dxfId="71" priority="32" stopIfTrue="1" operator="equal">
      <formula>"Não visite"</formula>
    </cfRule>
  </conditionalFormatting>
  <conditionalFormatting sqref="I6">
    <cfRule type="cellIs" dxfId="70" priority="33" stopIfTrue="1" operator="greaterThan">
      <formula>G6-F6 + 0.0001</formula>
    </cfRule>
  </conditionalFormatting>
  <conditionalFormatting sqref="A7">
    <cfRule type="expression" dxfId="69" priority="34" stopIfTrue="1">
      <formula>ISBLANK(A7)</formula>
    </cfRule>
  </conditionalFormatting>
  <conditionalFormatting sqref="B7">
    <cfRule type="expression" dxfId="68" priority="35" stopIfTrue="1">
      <formula>ISBLANK(B7)</formula>
    </cfRule>
  </conditionalFormatting>
  <conditionalFormatting sqref="F7">
    <cfRule type="cellIs" dxfId="67" priority="36" stopIfTrue="1" operator="greaterThan">
      <formula>G7-$I$7</formula>
    </cfRule>
  </conditionalFormatting>
  <conditionalFormatting sqref="G7">
    <cfRule type="cellIs" dxfId="66" priority="37" stopIfTrue="1" operator="lessThan">
      <formula>F7+$I$7</formula>
    </cfRule>
  </conditionalFormatting>
  <conditionalFormatting sqref="H7">
    <cfRule type="cellIs" dxfId="65" priority="38" stopIfTrue="1" operator="equal">
      <formula>"Pode ser visitado"</formula>
    </cfRule>
  </conditionalFormatting>
  <conditionalFormatting sqref="H7">
    <cfRule type="cellIs" dxfId="64" priority="39" stopIfTrue="1" operator="equal">
      <formula>"Não visite"</formula>
    </cfRule>
  </conditionalFormatting>
  <conditionalFormatting sqref="I7">
    <cfRule type="cellIs" dxfId="63" priority="40" stopIfTrue="1" operator="greaterThan">
      <formula>G7-F7 + 0.0001</formula>
    </cfRule>
  </conditionalFormatting>
  <conditionalFormatting sqref="A8">
    <cfRule type="expression" dxfId="62" priority="41" stopIfTrue="1">
      <formula>ISBLANK(A8)</formula>
    </cfRule>
  </conditionalFormatting>
  <conditionalFormatting sqref="B8">
    <cfRule type="expression" dxfId="61" priority="42" stopIfTrue="1">
      <formula>ISBLANK(B8)</formula>
    </cfRule>
  </conditionalFormatting>
  <conditionalFormatting sqref="F8">
    <cfRule type="cellIs" dxfId="60" priority="43" stopIfTrue="1" operator="greaterThan">
      <formula>G8-$I$8</formula>
    </cfRule>
  </conditionalFormatting>
  <conditionalFormatting sqref="G8">
    <cfRule type="cellIs" dxfId="59" priority="44" stopIfTrue="1" operator="lessThan">
      <formula>F8+$I$8</formula>
    </cfRule>
  </conditionalFormatting>
  <conditionalFormatting sqref="H8">
    <cfRule type="cellIs" dxfId="58" priority="45" stopIfTrue="1" operator="equal">
      <formula>"Pode ser visitado"</formula>
    </cfRule>
  </conditionalFormatting>
  <conditionalFormatting sqref="H8">
    <cfRule type="cellIs" dxfId="57" priority="46" stopIfTrue="1" operator="equal">
      <formula>"Não visite"</formula>
    </cfRule>
  </conditionalFormatting>
  <conditionalFormatting sqref="I8">
    <cfRule type="cellIs" dxfId="56" priority="47" stopIfTrue="1" operator="greaterThan">
      <formula>G8-F8 + 0.0001</formula>
    </cfRule>
  </conditionalFormatting>
  <conditionalFormatting sqref="A9">
    <cfRule type="expression" dxfId="55" priority="48" stopIfTrue="1">
      <formula>ISBLANK(A9)</formula>
    </cfRule>
  </conditionalFormatting>
  <conditionalFormatting sqref="B9">
    <cfRule type="expression" dxfId="54" priority="49" stopIfTrue="1">
      <formula>ISBLANK(B9)</formula>
    </cfRule>
  </conditionalFormatting>
  <conditionalFormatting sqref="F9">
    <cfRule type="cellIs" dxfId="53" priority="50" stopIfTrue="1" operator="greaterThan">
      <formula>G9-$I$9</formula>
    </cfRule>
  </conditionalFormatting>
  <conditionalFormatting sqref="G9">
    <cfRule type="cellIs" dxfId="52" priority="51" stopIfTrue="1" operator="lessThan">
      <formula>F9+$I$9</formula>
    </cfRule>
  </conditionalFormatting>
  <conditionalFormatting sqref="H9">
    <cfRule type="cellIs" dxfId="51" priority="52" stopIfTrue="1" operator="equal">
      <formula>"Pode ser visitado"</formula>
    </cfRule>
  </conditionalFormatting>
  <conditionalFormatting sqref="H9">
    <cfRule type="cellIs" dxfId="50" priority="53" stopIfTrue="1" operator="equal">
      <formula>"Não visite"</formula>
    </cfRule>
  </conditionalFormatting>
  <conditionalFormatting sqref="I9">
    <cfRule type="cellIs" dxfId="49" priority="54" stopIfTrue="1" operator="greaterThan">
      <formula>G9-F9 + 0.0001</formula>
    </cfRule>
  </conditionalFormatting>
  <conditionalFormatting sqref="A10">
    <cfRule type="expression" dxfId="48" priority="55" stopIfTrue="1">
      <formula>ISBLANK(A10)</formula>
    </cfRule>
  </conditionalFormatting>
  <conditionalFormatting sqref="B10">
    <cfRule type="expression" dxfId="47" priority="56" stopIfTrue="1">
      <formula>ISBLANK(B10)</formula>
    </cfRule>
  </conditionalFormatting>
  <conditionalFormatting sqref="F10">
    <cfRule type="cellIs" dxfId="46" priority="57" stopIfTrue="1" operator="greaterThan">
      <formula>G10-$I$10</formula>
    </cfRule>
  </conditionalFormatting>
  <conditionalFormatting sqref="G10">
    <cfRule type="cellIs" dxfId="45" priority="58" stopIfTrue="1" operator="lessThan">
      <formula>F10+$I$10</formula>
    </cfRule>
  </conditionalFormatting>
  <conditionalFormatting sqref="H10">
    <cfRule type="cellIs" dxfId="44" priority="59" stopIfTrue="1" operator="equal">
      <formula>"Pode ser visitado"</formula>
    </cfRule>
  </conditionalFormatting>
  <conditionalFormatting sqref="H10">
    <cfRule type="cellIs" dxfId="43" priority="60" stopIfTrue="1" operator="equal">
      <formula>"Não visite"</formula>
    </cfRule>
  </conditionalFormatting>
  <conditionalFormatting sqref="I10">
    <cfRule type="cellIs" dxfId="42" priority="61" stopIfTrue="1" operator="greaterThan">
      <formula>G10-F10 + 0.0001</formula>
    </cfRule>
  </conditionalFormatting>
  <conditionalFormatting sqref="J3:J10">
    <cfRule type="cellIs" dxfId="41" priority="62" stopIfTrue="1" operator="lessThan">
      <formula>0</formula>
    </cfRule>
  </conditionalFormatting>
  <conditionalFormatting sqref="B2:B10">
    <cfRule type="duplicateValues" dxfId="40" priority="63"/>
  </conditionalFormatting>
  <dataValidations count="10">
    <dataValidation type="decimal" operator="greaterThan" allowBlank="1" showInputMessage="1" showErrorMessage="1" error="Insira um valor não negativo" sqref="K2" xr:uid="{9EAFDA79-7FCB-47A7-94F9-4FE92BF915FB}">
      <formula1>-0.0001</formula1>
    </dataValidation>
    <dataValidation type="list" allowBlank="1" showInputMessage="1" showErrorMessage="1" sqref="H3 H4 H5 H6 H7 H8 H9 H10" xr:uid="{343FCD66-F252-47A4-A3E8-43E6F2104827}">
      <formula1>"Deve ser visitado,Pode ser visitado,Não visite"</formula1>
    </dataValidation>
    <dataValidation type="decimal" operator="greaterThan" allowBlank="1" showInputMessage="1" showErrorMessage="1" error="Insira um valor não negativo" sqref="K3" xr:uid="{A8185746-D4C0-4CBC-8F8F-E6998AEDEF19}">
      <formula1>-0.0001</formula1>
    </dataValidation>
    <dataValidation type="decimal" operator="greaterThan" allowBlank="1" showInputMessage="1" showErrorMessage="1" error="Insira um valor não negativo" sqref="K4" xr:uid="{4A68D338-A87D-4326-B55C-0F7FA3759A30}">
      <formula1>-0.0001</formula1>
    </dataValidation>
    <dataValidation type="decimal" operator="greaterThan" allowBlank="1" showInputMessage="1" showErrorMessage="1" error="Insira um valor não negativo" sqref="K5" xr:uid="{DE392719-592D-4B56-996D-91E34296BD34}">
      <formula1>-0.0001</formula1>
    </dataValidation>
    <dataValidation type="decimal" operator="greaterThan" allowBlank="1" showInputMessage="1" showErrorMessage="1" error="Insira um valor não negativo" sqref="K6" xr:uid="{D42FFC66-590B-483B-BB7B-F5B653AF3844}">
      <formula1>-0.0001</formula1>
    </dataValidation>
    <dataValidation type="decimal" operator="greaterThan" allowBlank="1" showInputMessage="1" showErrorMessage="1" error="Insira um valor não negativo" sqref="K7" xr:uid="{F6AB183A-B8EA-4F8B-A82F-19721566DAD6}">
      <formula1>-0.0001</formula1>
    </dataValidation>
    <dataValidation type="decimal" operator="greaterThan" allowBlank="1" showInputMessage="1" showErrorMessage="1" error="Insira um valor não negativo" sqref="K8" xr:uid="{46A5E1E9-99EB-4CB2-B896-F45D2CBB86FD}">
      <formula1>-0.0001</formula1>
    </dataValidation>
    <dataValidation type="decimal" operator="greaterThan" allowBlank="1" showInputMessage="1" showErrorMessage="1" error="Insira um valor não negativo" sqref="K9" xr:uid="{9F638A4F-203D-43EC-BFC5-7B7D04173B98}">
      <formula1>-0.0001</formula1>
    </dataValidation>
    <dataValidation type="decimal" operator="greaterThan" allowBlank="1" showInputMessage="1" showErrorMessage="1" error="Insira um valor não negativo" sqref="K10" xr:uid="{9E7D540E-EDCA-4658-9BDA-43E49A266A88}">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6E2E-E126-4290-BCB3-1F0DB636CAB1}">
  <dimension ref="A1:F82"/>
  <sheetViews>
    <sheetView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4010</v>
      </c>
    </row>
    <row r="2" spans="1:6" x14ac:dyDescent="0.25">
      <c r="A2" s="20" t="s">
        <v>1119</v>
      </c>
      <c r="B2" s="20" t="s">
        <v>1119</v>
      </c>
      <c r="C2" s="36">
        <v>0</v>
      </c>
      <c r="D2" s="37">
        <v>0</v>
      </c>
    </row>
    <row r="3" spans="1:6" x14ac:dyDescent="0.25">
      <c r="A3" s="23" t="s">
        <v>1119</v>
      </c>
      <c r="B3" s="23" t="s">
        <v>4003</v>
      </c>
      <c r="C3" s="38">
        <v>2.7709999999999999</v>
      </c>
      <c r="D3" s="24">
        <f xml:space="preserve"> C3 / (24 * 'VRP Solver Console'!C11)</f>
        <v>1.9243055555555554E-3</v>
      </c>
    </row>
    <row r="4" spans="1:6" x14ac:dyDescent="0.25">
      <c r="A4" s="23" t="s">
        <v>1119</v>
      </c>
      <c r="B4" s="23" t="s">
        <v>4004</v>
      </c>
      <c r="C4" s="39">
        <v>2.6930000000000001</v>
      </c>
      <c r="D4" s="25">
        <f xml:space="preserve"> C4 / (24 * 'VRP Solver Console'!C11)</f>
        <v>1.8701388888888888E-3</v>
      </c>
    </row>
    <row r="5" spans="1:6" x14ac:dyDescent="0.25">
      <c r="A5" s="23" t="s">
        <v>1119</v>
      </c>
      <c r="B5" s="23" t="s">
        <v>4005</v>
      </c>
      <c r="C5" s="38">
        <v>1.9390000000000001</v>
      </c>
      <c r="D5" s="24">
        <f xml:space="preserve"> C5 / (24 * 'VRP Solver Console'!C11)</f>
        <v>1.3465277777777779E-3</v>
      </c>
    </row>
    <row r="6" spans="1:6" x14ac:dyDescent="0.25">
      <c r="A6" s="23" t="s">
        <v>1119</v>
      </c>
      <c r="B6" s="23" t="s">
        <v>4006</v>
      </c>
      <c r="C6" s="39">
        <v>2.9350000000000001</v>
      </c>
      <c r="D6" s="25">
        <f xml:space="preserve"> C6 / (24 * 'VRP Solver Console'!C11)</f>
        <v>2.0381944444444445E-3</v>
      </c>
    </row>
    <row r="7" spans="1:6" x14ac:dyDescent="0.25">
      <c r="A7" s="23" t="s">
        <v>1119</v>
      </c>
      <c r="B7" s="23" t="s">
        <v>4007</v>
      </c>
      <c r="C7" s="38">
        <v>2.7709999999999999</v>
      </c>
      <c r="D7" s="24">
        <f xml:space="preserve"> C7 / (24 * 'VRP Solver Console'!C11)</f>
        <v>1.9243055555555554E-3</v>
      </c>
    </row>
    <row r="8" spans="1:6" x14ac:dyDescent="0.25">
      <c r="A8" s="23" t="s">
        <v>1119</v>
      </c>
      <c r="B8" s="23" t="s">
        <v>4008</v>
      </c>
      <c r="C8" s="39">
        <v>2.6930000000000001</v>
      </c>
      <c r="D8" s="25">
        <f xml:space="preserve"> C8 / (24 * 'VRP Solver Console'!C11)</f>
        <v>1.8701388888888888E-3</v>
      </c>
    </row>
    <row r="9" spans="1:6" x14ac:dyDescent="0.25">
      <c r="A9" s="23" t="s">
        <v>1119</v>
      </c>
      <c r="B9" s="23" t="s">
        <v>4009</v>
      </c>
      <c r="C9" s="38">
        <v>1.7629999999999999</v>
      </c>
      <c r="D9" s="24">
        <f xml:space="preserve"> C9 / (24 * 'VRP Solver Console'!C11)</f>
        <v>1.2243055555555555E-3</v>
      </c>
    </row>
    <row r="10" spans="1:6" x14ac:dyDescent="0.25">
      <c r="A10" s="23" t="s">
        <v>1119</v>
      </c>
      <c r="B10" s="23" t="s">
        <v>4012</v>
      </c>
      <c r="C10" s="39">
        <v>1.8959999999999999</v>
      </c>
      <c r="D10" s="25">
        <f xml:space="preserve"> C10 / (24 * 'VRP Solver Console'!C11)</f>
        <v>1.3166666666666665E-3</v>
      </c>
    </row>
    <row r="11" spans="1:6" x14ac:dyDescent="0.25">
      <c r="A11" s="23" t="s">
        <v>4003</v>
      </c>
      <c r="B11" s="23" t="s">
        <v>1119</v>
      </c>
      <c r="C11" s="38">
        <v>1.988</v>
      </c>
      <c r="D11" s="24">
        <f xml:space="preserve"> C11 / (24 * 'VRP Solver Console'!C11)</f>
        <v>1.3805555555555554E-3</v>
      </c>
    </row>
    <row r="12" spans="1:6" x14ac:dyDescent="0.25">
      <c r="A12" s="23" t="s">
        <v>4003</v>
      </c>
      <c r="B12" s="23" t="s">
        <v>4003</v>
      </c>
      <c r="C12" s="39">
        <v>0</v>
      </c>
      <c r="D12" s="25">
        <v>0</v>
      </c>
    </row>
    <row r="13" spans="1:6" x14ac:dyDescent="0.25">
      <c r="A13" s="23" t="s">
        <v>4003</v>
      </c>
      <c r="B13" s="23" t="s">
        <v>4004</v>
      </c>
      <c r="C13" s="38">
        <v>9.9000000000000005E-2</v>
      </c>
      <c r="D13" s="24">
        <f xml:space="preserve"> C13 / (24 * 'VRP Solver Console'!C11)</f>
        <v>6.8750000000000004E-5</v>
      </c>
    </row>
    <row r="14" spans="1:6" x14ac:dyDescent="0.25">
      <c r="A14" s="23" t="s">
        <v>4003</v>
      </c>
      <c r="B14" s="23" t="s">
        <v>4005</v>
      </c>
      <c r="C14" s="39">
        <v>1.266</v>
      </c>
      <c r="D14" s="25">
        <f xml:space="preserve"> C14 / (24 * 'VRP Solver Console'!C11)</f>
        <v>8.7916666666666666E-4</v>
      </c>
    </row>
    <row r="15" spans="1:6" x14ac:dyDescent="0.25">
      <c r="A15" s="23" t="s">
        <v>4003</v>
      </c>
      <c r="B15" s="23" t="s">
        <v>4006</v>
      </c>
      <c r="C15" s="38">
        <v>0.21199999999999999</v>
      </c>
      <c r="D15" s="24">
        <f xml:space="preserve"> C15 / (24 * 'VRP Solver Console'!C11)</f>
        <v>1.4722222222222223E-4</v>
      </c>
    </row>
    <row r="16" spans="1:6" x14ac:dyDescent="0.25">
      <c r="A16" s="23" t="s">
        <v>4003</v>
      </c>
      <c r="B16" s="23" t="s">
        <v>4007</v>
      </c>
      <c r="C16" s="39">
        <v>0</v>
      </c>
      <c r="D16" s="25">
        <f xml:space="preserve"> C16 / (24 * 'VRP Solver Console'!C11)</f>
        <v>0</v>
      </c>
    </row>
    <row r="17" spans="1:4" x14ac:dyDescent="0.25">
      <c r="A17" s="23" t="s">
        <v>4003</v>
      </c>
      <c r="B17" s="23" t="s">
        <v>4008</v>
      </c>
      <c r="C17" s="38">
        <v>9.9000000000000005E-2</v>
      </c>
      <c r="D17" s="24">
        <f xml:space="preserve"> C17 / (24 * 'VRP Solver Console'!C11)</f>
        <v>6.8750000000000004E-5</v>
      </c>
    </row>
    <row r="18" spans="1:4" x14ac:dyDescent="0.25">
      <c r="A18" s="23" t="s">
        <v>4003</v>
      </c>
      <c r="B18" s="23" t="s">
        <v>4009</v>
      </c>
      <c r="C18" s="39">
        <v>1.4710000000000001</v>
      </c>
      <c r="D18" s="25">
        <f xml:space="preserve"> C18 / (24 * 'VRP Solver Console'!C11)</f>
        <v>1.0215277777777779E-3</v>
      </c>
    </row>
    <row r="19" spans="1:4" x14ac:dyDescent="0.25">
      <c r="A19" s="23" t="s">
        <v>4003</v>
      </c>
      <c r="B19" s="23" t="s">
        <v>4012</v>
      </c>
      <c r="C19" s="38">
        <v>2.33</v>
      </c>
      <c r="D19" s="24">
        <f xml:space="preserve"> C19 / (24 * 'VRP Solver Console'!C11)</f>
        <v>1.6180555555555555E-3</v>
      </c>
    </row>
    <row r="20" spans="1:4" x14ac:dyDescent="0.25">
      <c r="A20" s="23" t="s">
        <v>4004</v>
      </c>
      <c r="B20" s="23" t="s">
        <v>1119</v>
      </c>
      <c r="C20" s="39">
        <v>1.9530000000000001</v>
      </c>
      <c r="D20" s="25">
        <f xml:space="preserve"> C20 / (24 * 'VRP Solver Console'!C11)</f>
        <v>1.35625E-3</v>
      </c>
    </row>
    <row r="21" spans="1:4" x14ac:dyDescent="0.25">
      <c r="A21" s="23" t="s">
        <v>4004</v>
      </c>
      <c r="B21" s="23" t="s">
        <v>4003</v>
      </c>
      <c r="C21" s="38">
        <v>9.9000000000000005E-2</v>
      </c>
      <c r="D21" s="24">
        <f xml:space="preserve"> C21 / (24 * 'VRP Solver Console'!C11)</f>
        <v>6.8750000000000004E-5</v>
      </c>
    </row>
    <row r="22" spans="1:4" x14ac:dyDescent="0.25">
      <c r="A22" s="23" t="s">
        <v>4004</v>
      </c>
      <c r="B22" s="23" t="s">
        <v>4004</v>
      </c>
      <c r="C22" s="39">
        <v>0</v>
      </c>
      <c r="D22" s="25">
        <v>0</v>
      </c>
    </row>
    <row r="23" spans="1:4" x14ac:dyDescent="0.25">
      <c r="A23" s="23" t="s">
        <v>4004</v>
      </c>
      <c r="B23" s="23" t="s">
        <v>4005</v>
      </c>
      <c r="C23" s="38">
        <v>1.2310000000000001</v>
      </c>
      <c r="D23" s="24">
        <f xml:space="preserve"> C23 / (24 * 'VRP Solver Console'!C11)</f>
        <v>8.5486111111111114E-4</v>
      </c>
    </row>
    <row r="24" spans="1:4" x14ac:dyDescent="0.25">
      <c r="A24" s="23" t="s">
        <v>4004</v>
      </c>
      <c r="B24" s="23" t="s">
        <v>4006</v>
      </c>
      <c r="C24" s="39">
        <v>0.312</v>
      </c>
      <c r="D24" s="25">
        <f xml:space="preserve"> C24 / (24 * 'VRP Solver Console'!C11)</f>
        <v>2.1666666666666666E-4</v>
      </c>
    </row>
    <row r="25" spans="1:4" x14ac:dyDescent="0.25">
      <c r="A25" s="23" t="s">
        <v>4004</v>
      </c>
      <c r="B25" s="23" t="s">
        <v>4007</v>
      </c>
      <c r="C25" s="38">
        <v>9.9000000000000005E-2</v>
      </c>
      <c r="D25" s="24">
        <f xml:space="preserve"> C25 / (24 * 'VRP Solver Console'!C11)</f>
        <v>6.8750000000000004E-5</v>
      </c>
    </row>
    <row r="26" spans="1:4" x14ac:dyDescent="0.25">
      <c r="A26" s="23" t="s">
        <v>4004</v>
      </c>
      <c r="B26" s="23" t="s">
        <v>4008</v>
      </c>
      <c r="C26" s="39">
        <v>0</v>
      </c>
      <c r="D26" s="25">
        <f xml:space="preserve"> C26 / (24 * 'VRP Solver Console'!C11)</f>
        <v>0</v>
      </c>
    </row>
    <row r="27" spans="1:4" x14ac:dyDescent="0.25">
      <c r="A27" s="23" t="s">
        <v>4004</v>
      </c>
      <c r="B27" s="23" t="s">
        <v>4009</v>
      </c>
      <c r="C27" s="38">
        <v>1.248</v>
      </c>
      <c r="D27" s="24">
        <f xml:space="preserve"> C27 / (24 * 'VRP Solver Console'!C11)</f>
        <v>8.6666666666666663E-4</v>
      </c>
    </row>
    <row r="28" spans="1:4" x14ac:dyDescent="0.25">
      <c r="A28" s="23" t="s">
        <v>4004</v>
      </c>
      <c r="B28" s="23" t="s">
        <v>4012</v>
      </c>
      <c r="C28" s="39">
        <v>2.1680000000000001</v>
      </c>
      <c r="D28" s="25">
        <f xml:space="preserve"> C28 / (24 * 'VRP Solver Console'!C11)</f>
        <v>1.5055555555555556E-3</v>
      </c>
    </row>
    <row r="29" spans="1:4" x14ac:dyDescent="0.25">
      <c r="A29" s="23" t="s">
        <v>4005</v>
      </c>
      <c r="B29" s="23" t="s">
        <v>1119</v>
      </c>
      <c r="C29" s="38">
        <v>1.9750000000000001</v>
      </c>
      <c r="D29" s="24">
        <f xml:space="preserve"> C29 / (24 * 'VRP Solver Console'!C11)</f>
        <v>1.3715277777777779E-3</v>
      </c>
    </row>
    <row r="30" spans="1:4" x14ac:dyDescent="0.25">
      <c r="A30" s="23" t="s">
        <v>4005</v>
      </c>
      <c r="B30" s="23" t="s">
        <v>4003</v>
      </c>
      <c r="C30" s="39">
        <v>1.03</v>
      </c>
      <c r="D30" s="25">
        <f xml:space="preserve"> C30 / (24 * 'VRP Solver Console'!C11)</f>
        <v>7.1527777777777779E-4</v>
      </c>
    </row>
    <row r="31" spans="1:4" x14ac:dyDescent="0.25">
      <c r="A31" s="23" t="s">
        <v>4005</v>
      </c>
      <c r="B31" s="23" t="s">
        <v>4004</v>
      </c>
      <c r="C31" s="38">
        <v>0.95199999999999996</v>
      </c>
      <c r="D31" s="24">
        <f xml:space="preserve"> C31 / (24 * 'VRP Solver Console'!C11)</f>
        <v>6.6111111111111112E-4</v>
      </c>
    </row>
    <row r="32" spans="1:4" x14ac:dyDescent="0.25">
      <c r="A32" s="23" t="s">
        <v>4005</v>
      </c>
      <c r="B32" s="23" t="s">
        <v>4005</v>
      </c>
      <c r="C32" s="39">
        <v>0</v>
      </c>
      <c r="D32" s="25">
        <v>0</v>
      </c>
    </row>
    <row r="33" spans="1:4" x14ac:dyDescent="0.25">
      <c r="A33" s="23" t="s">
        <v>4005</v>
      </c>
      <c r="B33" s="23" t="s">
        <v>4006</v>
      </c>
      <c r="C33" s="38">
        <v>1.194</v>
      </c>
      <c r="D33" s="24">
        <f xml:space="preserve"> C33 / (24 * 'VRP Solver Console'!C11)</f>
        <v>8.2916666666666664E-4</v>
      </c>
    </row>
    <row r="34" spans="1:4" x14ac:dyDescent="0.25">
      <c r="A34" s="23" t="s">
        <v>4005</v>
      </c>
      <c r="B34" s="23" t="s">
        <v>4007</v>
      </c>
      <c r="C34" s="39">
        <v>1.03</v>
      </c>
      <c r="D34" s="25">
        <f xml:space="preserve"> C34 / (24 * 'VRP Solver Console'!C11)</f>
        <v>7.1527777777777779E-4</v>
      </c>
    </row>
    <row r="35" spans="1:4" x14ac:dyDescent="0.25">
      <c r="A35" s="23" t="s">
        <v>4005</v>
      </c>
      <c r="B35" s="23" t="s">
        <v>4008</v>
      </c>
      <c r="C35" s="38">
        <v>0.95199999999999996</v>
      </c>
      <c r="D35" s="24">
        <f xml:space="preserve"> C35 / (24 * 'VRP Solver Console'!C11)</f>
        <v>6.6111111111111112E-4</v>
      </c>
    </row>
    <row r="36" spans="1:4" x14ac:dyDescent="0.25">
      <c r="A36" s="23" t="s">
        <v>4005</v>
      </c>
      <c r="B36" s="23" t="s">
        <v>4009</v>
      </c>
      <c r="C36" s="39">
        <v>2.1930000000000001</v>
      </c>
      <c r="D36" s="25">
        <f xml:space="preserve"> C36 / (24 * 'VRP Solver Console'!C11)</f>
        <v>1.5229166666666668E-3</v>
      </c>
    </row>
    <row r="37" spans="1:4" x14ac:dyDescent="0.25">
      <c r="A37" s="23" t="s">
        <v>4005</v>
      </c>
      <c r="B37" s="23" t="s">
        <v>4012</v>
      </c>
      <c r="C37" s="38">
        <v>3.7280000000000002</v>
      </c>
      <c r="D37" s="24">
        <f xml:space="preserve"> C37 / (24 * 'VRP Solver Console'!C11)</f>
        <v>2.5888888888888888E-3</v>
      </c>
    </row>
    <row r="38" spans="1:4" x14ac:dyDescent="0.25">
      <c r="A38" s="23" t="s">
        <v>4006</v>
      </c>
      <c r="B38" s="23" t="s">
        <v>1119</v>
      </c>
      <c r="C38" s="39">
        <v>2.226</v>
      </c>
      <c r="D38" s="25">
        <f xml:space="preserve"> C38 / (24 * 'VRP Solver Console'!C11)</f>
        <v>1.5458333333333333E-3</v>
      </c>
    </row>
    <row r="39" spans="1:4" x14ac:dyDescent="0.25">
      <c r="A39" s="23" t="s">
        <v>4006</v>
      </c>
      <c r="B39" s="23" t="s">
        <v>4003</v>
      </c>
      <c r="C39" s="38">
        <v>0.21199999999999999</v>
      </c>
      <c r="D39" s="24">
        <f xml:space="preserve"> C39 / (24 * 'VRP Solver Console'!C11)</f>
        <v>1.4722222222222223E-4</v>
      </c>
    </row>
    <row r="40" spans="1:4" x14ac:dyDescent="0.25">
      <c r="A40" s="23" t="s">
        <v>4006</v>
      </c>
      <c r="B40" s="23" t="s">
        <v>4004</v>
      </c>
      <c r="C40" s="39">
        <v>0.312</v>
      </c>
      <c r="D40" s="25">
        <f xml:space="preserve"> C40 / (24 * 'VRP Solver Console'!C11)</f>
        <v>2.1666666666666666E-4</v>
      </c>
    </row>
    <row r="41" spans="1:4" x14ac:dyDescent="0.25">
      <c r="A41" s="23" t="s">
        <v>4006</v>
      </c>
      <c r="B41" s="23" t="s">
        <v>4005</v>
      </c>
      <c r="C41" s="38">
        <v>1.504</v>
      </c>
      <c r="D41" s="24">
        <f xml:space="preserve"> C41 / (24 * 'VRP Solver Console'!C11)</f>
        <v>1.0444444444444444E-3</v>
      </c>
    </row>
    <row r="42" spans="1:4" x14ac:dyDescent="0.25">
      <c r="A42" s="23" t="s">
        <v>4006</v>
      </c>
      <c r="B42" s="23" t="s">
        <v>4006</v>
      </c>
      <c r="C42" s="39">
        <v>0</v>
      </c>
      <c r="D42" s="25">
        <v>0</v>
      </c>
    </row>
    <row r="43" spans="1:4" x14ac:dyDescent="0.25">
      <c r="A43" s="23" t="s">
        <v>4006</v>
      </c>
      <c r="B43" s="23" t="s">
        <v>4007</v>
      </c>
      <c r="C43" s="38">
        <v>0.21199999999999999</v>
      </c>
      <c r="D43" s="24">
        <f xml:space="preserve"> C43 / (24 * 'VRP Solver Console'!C11)</f>
        <v>1.4722222222222223E-4</v>
      </c>
    </row>
    <row r="44" spans="1:4" x14ac:dyDescent="0.25">
      <c r="A44" s="23" t="s">
        <v>4006</v>
      </c>
      <c r="B44" s="23" t="s">
        <v>4008</v>
      </c>
      <c r="C44" s="39">
        <v>0.312</v>
      </c>
      <c r="D44" s="25">
        <f xml:space="preserve"> C44 / (24 * 'VRP Solver Console'!C11)</f>
        <v>2.1666666666666666E-4</v>
      </c>
    </row>
    <row r="45" spans="1:4" x14ac:dyDescent="0.25">
      <c r="A45" s="23" t="s">
        <v>4006</v>
      </c>
      <c r="B45" s="23" t="s">
        <v>4009</v>
      </c>
      <c r="C45" s="38">
        <v>1.2889999999999999</v>
      </c>
      <c r="D45" s="24">
        <f xml:space="preserve"> C45 / (24 * 'VRP Solver Console'!C11)</f>
        <v>8.9513888888888879E-4</v>
      </c>
    </row>
    <row r="46" spans="1:4" x14ac:dyDescent="0.25">
      <c r="A46" s="23" t="s">
        <v>4006</v>
      </c>
      <c r="B46" s="23" t="s">
        <v>4012</v>
      </c>
      <c r="C46" s="39">
        <v>2.1480000000000001</v>
      </c>
      <c r="D46" s="25">
        <f xml:space="preserve"> C46 / (24 * 'VRP Solver Console'!C11)</f>
        <v>1.4916666666666667E-3</v>
      </c>
    </row>
    <row r="47" spans="1:4" x14ac:dyDescent="0.25">
      <c r="A47" s="23" t="s">
        <v>4007</v>
      </c>
      <c r="B47" s="23" t="s">
        <v>1119</v>
      </c>
      <c r="C47" s="38">
        <v>1.988</v>
      </c>
      <c r="D47" s="24">
        <f xml:space="preserve"> C47 / (24 * 'VRP Solver Console'!C11)</f>
        <v>1.3805555555555554E-3</v>
      </c>
    </row>
    <row r="48" spans="1:4" x14ac:dyDescent="0.25">
      <c r="A48" s="23" t="s">
        <v>4007</v>
      </c>
      <c r="B48" s="23" t="s">
        <v>4003</v>
      </c>
      <c r="C48" s="39">
        <v>0</v>
      </c>
      <c r="D48" s="25">
        <f xml:space="preserve"> C48 / (24 * 'VRP Solver Console'!C11)</f>
        <v>0</v>
      </c>
    </row>
    <row r="49" spans="1:4" x14ac:dyDescent="0.25">
      <c r="A49" s="23" t="s">
        <v>4007</v>
      </c>
      <c r="B49" s="23" t="s">
        <v>4004</v>
      </c>
      <c r="C49" s="38">
        <v>9.9000000000000005E-2</v>
      </c>
      <c r="D49" s="24">
        <f xml:space="preserve"> C49 / (24 * 'VRP Solver Console'!C11)</f>
        <v>6.8750000000000004E-5</v>
      </c>
    </row>
    <row r="50" spans="1:4" x14ac:dyDescent="0.25">
      <c r="A50" s="23" t="s">
        <v>4007</v>
      </c>
      <c r="B50" s="23" t="s">
        <v>4005</v>
      </c>
      <c r="C50" s="39">
        <v>1.266</v>
      </c>
      <c r="D50" s="25">
        <f xml:space="preserve"> C50 / (24 * 'VRP Solver Console'!C11)</f>
        <v>8.7916666666666666E-4</v>
      </c>
    </row>
    <row r="51" spans="1:4" x14ac:dyDescent="0.25">
      <c r="A51" s="23" t="s">
        <v>4007</v>
      </c>
      <c r="B51" s="23" t="s">
        <v>4006</v>
      </c>
      <c r="C51" s="38">
        <v>0.21199999999999999</v>
      </c>
      <c r="D51" s="24">
        <f xml:space="preserve"> C51 / (24 * 'VRP Solver Console'!C11)</f>
        <v>1.4722222222222223E-4</v>
      </c>
    </row>
    <row r="52" spans="1:4" x14ac:dyDescent="0.25">
      <c r="A52" s="23" t="s">
        <v>4007</v>
      </c>
      <c r="B52" s="23" t="s">
        <v>4007</v>
      </c>
      <c r="C52" s="39">
        <v>0</v>
      </c>
      <c r="D52" s="25">
        <v>0</v>
      </c>
    </row>
    <row r="53" spans="1:4" x14ac:dyDescent="0.25">
      <c r="A53" s="23" t="s">
        <v>4007</v>
      </c>
      <c r="B53" s="23" t="s">
        <v>4008</v>
      </c>
      <c r="C53" s="38">
        <v>9.9000000000000005E-2</v>
      </c>
      <c r="D53" s="24">
        <f xml:space="preserve"> C53 / (24 * 'VRP Solver Console'!C11)</f>
        <v>6.8750000000000004E-5</v>
      </c>
    </row>
    <row r="54" spans="1:4" x14ac:dyDescent="0.25">
      <c r="A54" s="23" t="s">
        <v>4007</v>
      </c>
      <c r="B54" s="23" t="s">
        <v>4009</v>
      </c>
      <c r="C54" s="39">
        <v>1.4710000000000001</v>
      </c>
      <c r="D54" s="25">
        <f xml:space="preserve"> C54 / (24 * 'VRP Solver Console'!C11)</f>
        <v>1.0215277777777779E-3</v>
      </c>
    </row>
    <row r="55" spans="1:4" x14ac:dyDescent="0.25">
      <c r="A55" s="23" t="s">
        <v>4007</v>
      </c>
      <c r="B55" s="23" t="s">
        <v>4012</v>
      </c>
      <c r="C55" s="38">
        <v>2.33</v>
      </c>
      <c r="D55" s="24">
        <f xml:space="preserve"> C55 / (24 * 'VRP Solver Console'!C11)</f>
        <v>1.6180555555555555E-3</v>
      </c>
    </row>
    <row r="56" spans="1:4" x14ac:dyDescent="0.25">
      <c r="A56" s="23" t="s">
        <v>4008</v>
      </c>
      <c r="B56" s="23" t="s">
        <v>1119</v>
      </c>
      <c r="C56" s="39">
        <v>1.9530000000000001</v>
      </c>
      <c r="D56" s="25">
        <f xml:space="preserve"> C56 / (24 * 'VRP Solver Console'!C11)</f>
        <v>1.35625E-3</v>
      </c>
    </row>
    <row r="57" spans="1:4" x14ac:dyDescent="0.25">
      <c r="A57" s="23" t="s">
        <v>4008</v>
      </c>
      <c r="B57" s="23" t="s">
        <v>4003</v>
      </c>
      <c r="C57" s="38">
        <v>9.9000000000000005E-2</v>
      </c>
      <c r="D57" s="24">
        <f xml:space="preserve"> C57 / (24 * 'VRP Solver Console'!C11)</f>
        <v>6.8750000000000004E-5</v>
      </c>
    </row>
    <row r="58" spans="1:4" x14ac:dyDescent="0.25">
      <c r="A58" s="23" t="s">
        <v>4008</v>
      </c>
      <c r="B58" s="23" t="s">
        <v>4004</v>
      </c>
      <c r="C58" s="39">
        <v>0</v>
      </c>
      <c r="D58" s="25">
        <f xml:space="preserve"> C58 / (24 * 'VRP Solver Console'!C11)</f>
        <v>0</v>
      </c>
    </row>
    <row r="59" spans="1:4" x14ac:dyDescent="0.25">
      <c r="A59" s="23" t="s">
        <v>4008</v>
      </c>
      <c r="B59" s="23" t="s">
        <v>4005</v>
      </c>
      <c r="C59" s="38">
        <v>1.2310000000000001</v>
      </c>
      <c r="D59" s="24">
        <f xml:space="preserve"> C59 / (24 * 'VRP Solver Console'!C11)</f>
        <v>8.5486111111111114E-4</v>
      </c>
    </row>
    <row r="60" spans="1:4" x14ac:dyDescent="0.25">
      <c r="A60" s="23" t="s">
        <v>4008</v>
      </c>
      <c r="B60" s="23" t="s">
        <v>4006</v>
      </c>
      <c r="C60" s="39">
        <v>0.312</v>
      </c>
      <c r="D60" s="25">
        <f xml:space="preserve"> C60 / (24 * 'VRP Solver Console'!C11)</f>
        <v>2.1666666666666666E-4</v>
      </c>
    </row>
    <row r="61" spans="1:4" x14ac:dyDescent="0.25">
      <c r="A61" s="23" t="s">
        <v>4008</v>
      </c>
      <c r="B61" s="23" t="s">
        <v>4007</v>
      </c>
      <c r="C61" s="38">
        <v>9.9000000000000005E-2</v>
      </c>
      <c r="D61" s="24">
        <f xml:space="preserve"> C61 / (24 * 'VRP Solver Console'!C11)</f>
        <v>6.8750000000000004E-5</v>
      </c>
    </row>
    <row r="62" spans="1:4" x14ac:dyDescent="0.25">
      <c r="A62" s="23" t="s">
        <v>4008</v>
      </c>
      <c r="B62" s="23" t="s">
        <v>4008</v>
      </c>
      <c r="C62" s="39">
        <v>0</v>
      </c>
      <c r="D62" s="25">
        <v>0</v>
      </c>
    </row>
    <row r="63" spans="1:4" x14ac:dyDescent="0.25">
      <c r="A63" s="23" t="s">
        <v>4008</v>
      </c>
      <c r="B63" s="23" t="s">
        <v>4009</v>
      </c>
      <c r="C63" s="38">
        <v>1.248</v>
      </c>
      <c r="D63" s="24">
        <f xml:space="preserve"> C63 / (24 * 'VRP Solver Console'!C11)</f>
        <v>8.6666666666666663E-4</v>
      </c>
    </row>
    <row r="64" spans="1:4" x14ac:dyDescent="0.25">
      <c r="A64" s="23" t="s">
        <v>4008</v>
      </c>
      <c r="B64" s="23" t="s">
        <v>4012</v>
      </c>
      <c r="C64" s="39">
        <v>2.1680000000000001</v>
      </c>
      <c r="D64" s="25">
        <f xml:space="preserve"> C64 / (24 * 'VRP Solver Console'!C11)</f>
        <v>1.5055555555555556E-3</v>
      </c>
    </row>
    <row r="65" spans="1:4" x14ac:dyDescent="0.25">
      <c r="A65" s="23" t="s">
        <v>4009</v>
      </c>
      <c r="B65" s="23" t="s">
        <v>1119</v>
      </c>
      <c r="C65" s="38">
        <v>2.2200000000000002</v>
      </c>
      <c r="D65" s="24">
        <f xml:space="preserve"> C65 / (24 * 'VRP Solver Console'!C11)</f>
        <v>1.5416666666666669E-3</v>
      </c>
    </row>
    <row r="66" spans="1:4" x14ac:dyDescent="0.25">
      <c r="A66" s="23" t="s">
        <v>4009</v>
      </c>
      <c r="B66" s="23" t="s">
        <v>4003</v>
      </c>
      <c r="C66" s="39">
        <v>1.3560000000000001</v>
      </c>
      <c r="D66" s="25">
        <f xml:space="preserve"> C66 / (24 * 'VRP Solver Console'!C11)</f>
        <v>9.4166666666666672E-4</v>
      </c>
    </row>
    <row r="67" spans="1:4" x14ac:dyDescent="0.25">
      <c r="A67" s="23" t="s">
        <v>4009</v>
      </c>
      <c r="B67" s="23" t="s">
        <v>4004</v>
      </c>
      <c r="C67" s="38">
        <v>1.256</v>
      </c>
      <c r="D67" s="24">
        <f xml:space="preserve"> C67 / (24 * 'VRP Solver Console'!C11)</f>
        <v>8.7222222222222226E-4</v>
      </c>
    </row>
    <row r="68" spans="1:4" x14ac:dyDescent="0.25">
      <c r="A68" s="23" t="s">
        <v>4009</v>
      </c>
      <c r="B68" s="23" t="s">
        <v>4005</v>
      </c>
      <c r="C68" s="39">
        <v>1.7869999999999999</v>
      </c>
      <c r="D68" s="25">
        <f xml:space="preserve"> C68 / (24 * 'VRP Solver Console'!C11)</f>
        <v>1.2409722222222221E-3</v>
      </c>
    </row>
    <row r="69" spans="1:4" x14ac:dyDescent="0.25">
      <c r="A69" s="23" t="s">
        <v>4009</v>
      </c>
      <c r="B69" s="23" t="s">
        <v>4006</v>
      </c>
      <c r="C69" s="38">
        <v>1.2769999999999999</v>
      </c>
      <c r="D69" s="24">
        <f xml:space="preserve"> C69 / (24 * 'VRP Solver Console'!C11)</f>
        <v>8.868055555555555E-4</v>
      </c>
    </row>
    <row r="70" spans="1:4" x14ac:dyDescent="0.25">
      <c r="A70" s="23" t="s">
        <v>4009</v>
      </c>
      <c r="B70" s="23" t="s">
        <v>4007</v>
      </c>
      <c r="C70" s="39">
        <v>1.3560000000000001</v>
      </c>
      <c r="D70" s="25">
        <f xml:space="preserve"> C70 / (24 * 'VRP Solver Console'!C11)</f>
        <v>9.4166666666666672E-4</v>
      </c>
    </row>
    <row r="71" spans="1:4" x14ac:dyDescent="0.25">
      <c r="A71" s="23" t="s">
        <v>4009</v>
      </c>
      <c r="B71" s="23" t="s">
        <v>4008</v>
      </c>
      <c r="C71" s="38">
        <v>1.256</v>
      </c>
      <c r="D71" s="24">
        <f xml:space="preserve"> C71 / (24 * 'VRP Solver Console'!C11)</f>
        <v>8.7222222222222226E-4</v>
      </c>
    </row>
    <row r="72" spans="1:4" x14ac:dyDescent="0.25">
      <c r="A72" s="23" t="s">
        <v>4009</v>
      </c>
      <c r="B72" s="23" t="s">
        <v>4009</v>
      </c>
      <c r="C72" s="39">
        <v>0</v>
      </c>
      <c r="D72" s="25">
        <v>0</v>
      </c>
    </row>
    <row r="73" spans="1:4" x14ac:dyDescent="0.25">
      <c r="A73" s="23" t="s">
        <v>4009</v>
      </c>
      <c r="B73" s="23" t="s">
        <v>4012</v>
      </c>
      <c r="C73" s="38">
        <v>1.085</v>
      </c>
      <c r="D73" s="24">
        <f xml:space="preserve"> C73 / (24 * 'VRP Solver Console'!C11)</f>
        <v>7.5347222222222222E-4</v>
      </c>
    </row>
    <row r="74" spans="1:4" x14ac:dyDescent="0.25">
      <c r="A74" s="23" t="s">
        <v>4012</v>
      </c>
      <c r="B74" s="23" t="s">
        <v>1119</v>
      </c>
      <c r="C74" s="39">
        <v>1.859</v>
      </c>
      <c r="D74" s="25">
        <f xml:space="preserve"> C74 / (24 * 'VRP Solver Console'!C11)</f>
        <v>1.2909722222222222E-3</v>
      </c>
    </row>
    <row r="75" spans="1:4" x14ac:dyDescent="0.25">
      <c r="A75" s="23" t="s">
        <v>4012</v>
      </c>
      <c r="B75" s="23" t="s">
        <v>4003</v>
      </c>
      <c r="C75" s="38">
        <v>2.2330000000000001</v>
      </c>
      <c r="D75" s="24">
        <f xml:space="preserve"> C75 / (24 * 'VRP Solver Console'!C11)</f>
        <v>1.5506944444444446E-3</v>
      </c>
    </row>
    <row r="76" spans="1:4" x14ac:dyDescent="0.25">
      <c r="A76" s="23" t="s">
        <v>4012</v>
      </c>
      <c r="B76" s="23" t="s">
        <v>4004</v>
      </c>
      <c r="C76" s="39">
        <v>2.133</v>
      </c>
      <c r="D76" s="25">
        <f xml:space="preserve"> C76 / (24 * 'VRP Solver Console'!C11)</f>
        <v>1.4812499999999999E-3</v>
      </c>
    </row>
    <row r="77" spans="1:4" x14ac:dyDescent="0.25">
      <c r="A77" s="23" t="s">
        <v>4012</v>
      </c>
      <c r="B77" s="23" t="s">
        <v>4005</v>
      </c>
      <c r="C77" s="38">
        <v>3.298</v>
      </c>
      <c r="D77" s="24">
        <f xml:space="preserve"> C77 / (24 * 'VRP Solver Console'!C11)</f>
        <v>2.2902777777777778E-3</v>
      </c>
    </row>
    <row r="78" spans="1:4" x14ac:dyDescent="0.25">
      <c r="A78" s="23" t="s">
        <v>4012</v>
      </c>
      <c r="B78" s="23" t="s">
        <v>4006</v>
      </c>
      <c r="C78" s="39">
        <v>2.1110000000000002</v>
      </c>
      <c r="D78" s="25">
        <f xml:space="preserve"> C78 / (24 * 'VRP Solver Console'!C11)</f>
        <v>1.4659722222222225E-3</v>
      </c>
    </row>
    <row r="79" spans="1:4" x14ac:dyDescent="0.25">
      <c r="A79" s="23" t="s">
        <v>4012</v>
      </c>
      <c r="B79" s="23" t="s">
        <v>4007</v>
      </c>
      <c r="C79" s="38">
        <v>2.2330000000000001</v>
      </c>
      <c r="D79" s="24">
        <f xml:space="preserve"> C79 / (24 * 'VRP Solver Console'!C11)</f>
        <v>1.5506944444444446E-3</v>
      </c>
    </row>
    <row r="80" spans="1:4" x14ac:dyDescent="0.25">
      <c r="A80" s="23" t="s">
        <v>4012</v>
      </c>
      <c r="B80" s="23" t="s">
        <v>4008</v>
      </c>
      <c r="C80" s="39">
        <v>2.133</v>
      </c>
      <c r="D80" s="25">
        <f xml:space="preserve"> C80 / (24 * 'VRP Solver Console'!C11)</f>
        <v>1.4812499999999999E-3</v>
      </c>
    </row>
    <row r="81" spans="1:4" x14ac:dyDescent="0.25">
      <c r="A81" s="23" t="s">
        <v>4012</v>
      </c>
      <c r="B81" s="23" t="s">
        <v>4009</v>
      </c>
      <c r="C81" s="38">
        <v>1.0569999999999999</v>
      </c>
      <c r="D81" s="24">
        <f xml:space="preserve"> C81 / (24 * 'VRP Solver Console'!C11)</f>
        <v>7.3402777777777778E-4</v>
      </c>
    </row>
    <row r="82" spans="1:4" x14ac:dyDescent="0.25">
      <c r="A82" s="22" t="s">
        <v>4012</v>
      </c>
      <c r="B82" s="22" t="s">
        <v>4012</v>
      </c>
      <c r="C82" s="63">
        <v>0</v>
      </c>
      <c r="D82" s="59">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69C4A-A463-45FC-9F12-C273D02A4A19}">
  <dimension ref="A1:M3"/>
  <sheetViews>
    <sheetView topLeftCell="F1" workbookViewId="0">
      <selection activeCell="F2" sqref="F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1119</v>
      </c>
      <c r="B2" s="40" t="s">
        <v>4013</v>
      </c>
      <c r="C2" s="40">
        <v>44</v>
      </c>
      <c r="D2" s="41">
        <v>0</v>
      </c>
      <c r="E2" s="41">
        <v>11.22</v>
      </c>
      <c r="F2" s="41">
        <v>1</v>
      </c>
      <c r="G2" s="41">
        <v>560</v>
      </c>
      <c r="H2" s="75">
        <v>0.33333333333333331</v>
      </c>
      <c r="I2" s="42">
        <v>0.375</v>
      </c>
      <c r="J2" s="42">
        <v>0.41666666666666669</v>
      </c>
      <c r="K2" s="40" t="s">
        <v>1119</v>
      </c>
      <c r="L2" s="43">
        <f>IFERROR(MATCH(K2,'1. Locais'!$B$2:$B$2,0) - 1," ")</f>
        <v>0</v>
      </c>
      <c r="M2" s="40">
        <v>1</v>
      </c>
    </row>
    <row r="3" spans="1:13" ht="15.75" thickTop="1" x14ac:dyDescent="0.25"/>
  </sheetData>
  <dataValidations count="6">
    <dataValidation type="decimal" operator="greaterThan" allowBlank="1" showInputMessage="1" showErrorMessage="1" error="Insira um valor não negativo" sqref="C2" xr:uid="{5FAE21D1-1508-4A98-9DC8-E10E1E517EA4}">
      <formula1>-0.0001</formula1>
    </dataValidation>
    <dataValidation type="decimal" operator="greaterThan" allowBlank="1" showInputMessage="1" showErrorMessage="1" error="Insira um valor não negativo" sqref="D2" xr:uid="{0BED3581-1FE2-4BFB-AC9A-7F8E745172BD}">
      <formula1>-0.0001</formula1>
    </dataValidation>
    <dataValidation type="decimal" operator="greaterThan" allowBlank="1" showInputMessage="1" showErrorMessage="1" error="Insira um valor não negativo" sqref="E2" xr:uid="{72708D30-E095-40E8-A70F-D7C087D6C26F}">
      <formula1>-0.0001</formula1>
    </dataValidation>
    <dataValidation type="decimal" operator="greaterThan" allowBlank="1" showInputMessage="1" showErrorMessage="1" error="Insira um valor positivo" sqref="F2" xr:uid="{6CC7649D-369D-43DC-9723-C7C7AD163348}">
      <formula1>0</formula1>
    </dataValidation>
    <dataValidation type="whole" operator="greaterThan" allowBlank="1" showInputMessage="1" showErrorMessage="1" error="Insira um valor inteiro não negativo" sqref="G2" xr:uid="{2CC60337-28F9-4665-8649-B1F2102A23BA}">
      <formula1>-1</formula1>
    </dataValidation>
    <dataValidation type="decimal" operator="greaterThan" allowBlank="1" showInputMessage="1" showErrorMessage="1" error="Insira um valor positivo" sqref="J2" xr:uid="{1DFF000E-E818-4B1A-ACCA-913BF61DD1FF}">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432AFB5-8F34-4633-90FC-0243D5AE2448}">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60395-4E97-44BB-AA36-4AB7DDF985EB}">
  <dimension ref="A1:P16"/>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-83.420700000000011</v>
      </c>
    </row>
    <row r="2" spans="1:16" s="18" customFormat="1" x14ac:dyDescent="0.25">
      <c r="A2" s="58"/>
      <c r="B2" s="58"/>
      <c r="C2" s="58"/>
      <c r="D2" s="58"/>
      <c r="E2" s="58"/>
      <c r="F2" s="58"/>
      <c r="G2" s="58"/>
      <c r="H2" s="58"/>
      <c r="I2" s="58"/>
      <c r="J2" s="58"/>
      <c r="K2" s="58"/>
      <c r="L2" s="58"/>
      <c r="M2" s="58"/>
      <c r="N2" s="58"/>
      <c r="O2" s="58"/>
      <c r="P2" s="58"/>
    </row>
    <row r="3" spans="1:16" s="18" customFormat="1" x14ac:dyDescent="0.25">
      <c r="A3" s="18" t="s">
        <v>1647</v>
      </c>
      <c r="B3" s="18" t="s">
        <v>4011</v>
      </c>
      <c r="F3" s="18" t="s">
        <v>1630</v>
      </c>
      <c r="G3" s="56">
        <f>COUNTA(B6:B14)</f>
        <v>9</v>
      </c>
      <c r="H3" s="18" t="s">
        <v>1154</v>
      </c>
      <c r="I3" s="57">
        <f ca="1">INDEX(K5:K14,G3 + 1)-(INDEX(F5:$F$14,G3+ 1) * '3. Veículos'!E2)- IF(INDIRECT("G3") &gt; 1, INDIRECT("'3. Veículos'!D2"), 0)</f>
        <v>-83.420700000000011</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depósito</v>
      </c>
      <c r="C5" s="20">
        <f ca="1">IFERROR(MATCH(INDIRECT("B5"),'1. Locais'!B2:B10, 0) - 1," ")</f>
        <v>0</v>
      </c>
      <c r="D5" s="44">
        <f ca="1">IFERROR(IF(ISNUMBER(C5),INDEX('1. Locais'!D2:D10,C5 + 1),NA()),NA())</f>
        <v>-10.349356500000001</v>
      </c>
      <c r="E5" s="44">
        <f ca="1">IFERROR(IF(ISNUMBER(C5),INDEX('1. Locais'!E2:E10,C5 + 1),NA()),NA())</f>
        <v>-48.297334300000003</v>
      </c>
      <c r="F5" s="45">
        <v>0</v>
      </c>
      <c r="G5" s="46">
        <v>0</v>
      </c>
      <c r="H5" s="76"/>
      <c r="I5" s="76">
        <f>'3. Veículos'!H2</f>
        <v>0.33333333333333331</v>
      </c>
      <c r="J5" s="46">
        <v>0</v>
      </c>
      <c r="K5" s="44">
        <v>0</v>
      </c>
      <c r="L5" s="45">
        <v>0</v>
      </c>
      <c r="M5" s="45">
        <v>0</v>
      </c>
      <c r="N5" s="45">
        <v>0</v>
      </c>
      <c r="O5" s="45">
        <f ca="1">IFERROR(IF(ISNUMBER(C5),IF(B6 = B5, 0, IF(B6 = "", 0, O6 + M6))," ")," ")</f>
        <v>23</v>
      </c>
      <c r="P5" s="44">
        <f ca="1">IFERROR(IF(ISNUMBER(C5),N5 + O5," ")," ")</f>
        <v>23</v>
      </c>
    </row>
    <row r="6" spans="1:16" x14ac:dyDescent="0.25">
      <c r="A6" s="23">
        <v>1</v>
      </c>
      <c r="B6" s="50" t="s">
        <v>4005</v>
      </c>
      <c r="C6" s="51">
        <f ca="1">IFERROR(MATCH(INDIRECT("B6"),'1. Locais'!B2:B10, 0) - 1," ")</f>
        <v>3</v>
      </c>
      <c r="D6" s="51">
        <f ca="1">IFERROR(IF(ISNUMBER(C6),INDEX('1. Locais'!D2:D10,C6 + 1),NA()),NA())</f>
        <v>-10.338366499999999</v>
      </c>
      <c r="E6" s="51">
        <f ca="1">IFERROR(IF(ISNUMBER(C6),INDEX('1. Locais'!E2:E10,C6 + 1),NA()),NA())</f>
        <v>-48.299785399999998</v>
      </c>
      <c r="F6" s="52">
        <f ca="1">IFERROR(IF(ISNUMBER(C6),INDEX('2. Distâncias'!C2:C82,C5*9+C6+ 1) +F5," ")," ")</f>
        <v>1.9390000000000001</v>
      </c>
      <c r="G6" s="53">
        <f ca="1">IFERROR(IF(ISNUMBER(C6),'3. Veículos'!F2 * INDEX('2. Distâncias'!D2:D82,C5*9+C6 + 1) +G5," ")," ")</f>
        <v>1.3465277777777779E-3</v>
      </c>
      <c r="H6" s="78">
        <f ca="1">IFERROR(IF(ISNUMBER(C6),'3. Veículos'!F2 * INDEX('2. Distâncias'!D2:D82,C5*9+C6 + 1) +I5," ")," ")</f>
        <v>0.33467986111111109</v>
      </c>
      <c r="I6" s="78">
        <f ca="1">IFERROR(IF(AND(C5&lt;&gt;C6,ISNUMBER(H6)),INDEX('1. Locais'!I2:I10,C6 + 1) + MAX(H6,INDEX('1. Locais'!F2:F10,C6 + 1))," ")," ")</f>
        <v>0.33467986111111109</v>
      </c>
      <c r="J6" s="53">
        <f ca="1">IFERROR(IF(AND(B6 = B5, B7 = ""), H6 - I5, I6 - I5)," ")</f>
        <v>1.3465277777777729E-3</v>
      </c>
      <c r="K6" s="51">
        <f ca="1">IFERROR(IF(ISNUMBER(C6),INDEX('1. Locais'!L2:L10,C6 + 1) + K5," ")," ")</f>
        <v>0</v>
      </c>
      <c r="L6" s="52">
        <f ca="1">IFERROR(IF(ISNUMBER(C6),INDEX('1. Locais'!J2:J10,C6 + 1)," ")," ")</f>
        <v>0</v>
      </c>
      <c r="M6" s="52">
        <f ca="1">IFERROR(IF(ISNUMBER(C6),INDEX('1. Locais'!K2:K10,C6 + 1)," ")," ")</f>
        <v>3</v>
      </c>
      <c r="N6" s="52">
        <f ca="1">IFERROR(IF(ISNUMBER(C6),IF(B6 = B5, 0, L6 + N5)," ")," ")</f>
        <v>0</v>
      </c>
      <c r="O6" s="52">
        <f ca="1">IFERROR(IF(ISNUMBER(C6),IF(B7 = B5, 0, IF(B7 = "", 0, O7 + M7))," ")," ")</f>
        <v>20</v>
      </c>
      <c r="P6" s="51">
        <f ca="1">IFERROR(IF(ISNUMBER(C6),N6 + O6," ")," ")</f>
        <v>20</v>
      </c>
    </row>
    <row r="7" spans="1:16" x14ac:dyDescent="0.25">
      <c r="A7" s="23">
        <v>2</v>
      </c>
      <c r="B7" s="54" t="s">
        <v>4008</v>
      </c>
      <c r="C7" s="51">
        <f ca="1">IFERROR(MATCH(INDIRECT("B7"),'1. Locais'!B2:B10, 0) - 1," ")</f>
        <v>6</v>
      </c>
      <c r="D7" s="51">
        <f ca="1">IFERROR(IF(ISNUMBER(C7),INDEX('1. Locais'!D2:D10,C7 + 1),NA()),NA())</f>
        <v>-10.3352001</v>
      </c>
      <c r="E7" s="51">
        <f ca="1">IFERROR(IF(ISNUMBER(C7),INDEX('1. Locais'!E2:E10,C7 + 1),NA()),NA())</f>
        <v>-48.294421</v>
      </c>
      <c r="F7" s="52">
        <f ca="1">IFERROR(IF(ISNUMBER(C7),INDEX('2. Distâncias'!C2:C82,C6*9+C7+ 1) +F6," ")," ")</f>
        <v>2.891</v>
      </c>
      <c r="G7" s="53">
        <f ca="1">IFERROR(IF(ISNUMBER(C7),'3. Veículos'!F2 * INDEX('2. Distâncias'!D2:D82,C6*9+C7 + 1) +G6," ")," ")</f>
        <v>2.0076388888888891E-3</v>
      </c>
      <c r="H7" s="78">
        <f ca="1">IFERROR(IF(ISNUMBER(C7),'3. Veículos'!F2 * INDEX('2. Distâncias'!D2:D82,C6*9+C7 + 1) +I6," ")," ")</f>
        <v>0.3353409722222222</v>
      </c>
      <c r="I7" s="78">
        <f ca="1">IFERROR(IF(AND(C5&lt;&gt;C7,ISNUMBER(H7)),INDEX('1. Locais'!I2:I10,C7 + 1) + MAX(H7,INDEX('1. Locais'!F2:F10,C7 + 1))," ")," ")</f>
        <v>0.3353409722222222</v>
      </c>
      <c r="J7" s="53">
        <f ca="1">IFERROR(IF(AND(B7 = B5, B8 = ""), H7 - I5, I7 - I5)," ")</f>
        <v>2.0076388888888852E-3</v>
      </c>
      <c r="K7" s="51">
        <f ca="1">IFERROR(IF(ISNUMBER(C7),INDEX('1. Locais'!L2:L10,C7 + 1) + K6," ")," ")</f>
        <v>0</v>
      </c>
      <c r="L7" s="52">
        <f ca="1">IFERROR(IF(ISNUMBER(C7),INDEX('1. Locais'!J2:J10,C7 + 1)," ")," ")</f>
        <v>0</v>
      </c>
      <c r="M7" s="52">
        <f ca="1">IFERROR(IF(ISNUMBER(C7),INDEX('1. Locais'!K2:K10,C7 + 1)," ")," ")</f>
        <v>5</v>
      </c>
      <c r="N7" s="52">
        <f ca="1">IFERROR(IF(ISNUMBER(C7),IF(B7 = B5, 0, L7 + N6)," ")," ")</f>
        <v>0</v>
      </c>
      <c r="O7" s="52">
        <f ca="1">IFERROR(IF(ISNUMBER(C7),IF(B8 = B5, 0, IF(B8 = "", 0, O8 + M8))," ")," ")</f>
        <v>15</v>
      </c>
      <c r="P7" s="51">
        <f ca="1">IFERROR(IF(ISNUMBER(C7),N7 + O7," ")," ")</f>
        <v>15</v>
      </c>
    </row>
    <row r="8" spans="1:16" x14ac:dyDescent="0.25">
      <c r="A8" s="23">
        <v>3</v>
      </c>
      <c r="B8" s="50" t="s">
        <v>4004</v>
      </c>
      <c r="C8" s="51">
        <f ca="1">IFERROR(MATCH(INDIRECT("B8"),'1. Locais'!B2:B10, 0) - 1," ")</f>
        <v>2</v>
      </c>
      <c r="D8" s="51">
        <f ca="1">IFERROR(IF(ISNUMBER(C8),INDEX('1. Locais'!D2:D10,C8 + 1),NA()),NA())</f>
        <v>-10.3352001</v>
      </c>
      <c r="E8" s="51">
        <f ca="1">IFERROR(IF(ISNUMBER(C8),INDEX('1. Locais'!E2:E10,C8 + 1),NA()),NA())</f>
        <v>-48.294421</v>
      </c>
      <c r="F8" s="52">
        <f ca="1">IFERROR(IF(ISNUMBER(C8),INDEX('2. Distâncias'!C2:C82,C7*9+C8+ 1) +F7," ")," ")</f>
        <v>2.891</v>
      </c>
      <c r="G8" s="53">
        <f ca="1">IFERROR(IF(ISNUMBER(C8),'3. Veículos'!F2 * INDEX('2. Distâncias'!D2:D82,C7*9+C8 + 1) +G7," ")," ")</f>
        <v>2.0076388888888891E-3</v>
      </c>
      <c r="H8" s="78">
        <f ca="1">IFERROR(IF(ISNUMBER(C8),'3. Veículos'!F2 * INDEX('2. Distâncias'!D2:D82,C7*9+C8 + 1) +I7," ")," ")</f>
        <v>0.3353409722222222</v>
      </c>
      <c r="I8" s="78">
        <f ca="1">IFERROR(IF(AND(C5&lt;&gt;C8,ISNUMBER(H8)),INDEX('1. Locais'!I2:I10,C8 + 1) + MAX(H8,INDEX('1. Locais'!F2:F10,C8 + 1))," ")," ")</f>
        <v>0.3353409722222222</v>
      </c>
      <c r="J8" s="53">
        <f ca="1">IFERROR(IF(AND(B8 = B5, B9 = ""), H8 - I5, I8 - I5)," ")</f>
        <v>2.0076388888888852E-3</v>
      </c>
      <c r="K8" s="51">
        <f ca="1">IFERROR(IF(ISNUMBER(C8),INDEX('1. Locais'!L2:L10,C8 + 1) + K7," ")," ")</f>
        <v>0</v>
      </c>
      <c r="L8" s="52">
        <f ca="1">IFERROR(IF(ISNUMBER(C8),INDEX('1. Locais'!J2:J10,C8 + 1)," ")," ")</f>
        <v>0</v>
      </c>
      <c r="M8" s="52">
        <f ca="1">IFERROR(IF(ISNUMBER(C8),INDEX('1. Locais'!K2:K10,C8 + 1)," ")," ")</f>
        <v>2</v>
      </c>
      <c r="N8" s="52">
        <f ca="1">IFERROR(IF(ISNUMBER(C8),IF(B8 = B5, 0, L8 + N7)," ")," ")</f>
        <v>0</v>
      </c>
      <c r="O8" s="52">
        <f ca="1">IFERROR(IF(ISNUMBER(C8),IF(B9 = B5, 0, IF(B9 = "", 0, O9 + M9))," ")," ")</f>
        <v>13</v>
      </c>
      <c r="P8" s="51">
        <f ca="1">IFERROR(IF(ISNUMBER(C8),N8 + O8," ")," ")</f>
        <v>13</v>
      </c>
    </row>
    <row r="9" spans="1:16" x14ac:dyDescent="0.25">
      <c r="A9" s="23">
        <v>4</v>
      </c>
      <c r="B9" s="54" t="s">
        <v>4007</v>
      </c>
      <c r="C9" s="51">
        <f ca="1">IFERROR(MATCH(INDIRECT("B9"),'1. Locais'!B2:B10, 0) - 1," ")</f>
        <v>5</v>
      </c>
      <c r="D9" s="51">
        <f ca="1">IFERROR(IF(ISNUMBER(C9),INDEX('1. Locais'!D2:D10,C9 + 1),NA()),NA())</f>
        <v>-10.3343136</v>
      </c>
      <c r="E9" s="51">
        <f ca="1">IFERROR(IF(ISNUMBER(C9),INDEX('1. Locais'!E2:E10,C9 + 1),NA()),NA())</f>
        <v>-48.294635599999999</v>
      </c>
      <c r="F9" s="52">
        <f ca="1">IFERROR(IF(ISNUMBER(C9),INDEX('2. Distâncias'!C2:C82,C8*9+C9+ 1) +F8," ")," ")</f>
        <v>2.99</v>
      </c>
      <c r="G9" s="53">
        <f ca="1">IFERROR(IF(ISNUMBER(C9),'3. Veículos'!F2 * INDEX('2. Distâncias'!D2:D82,C8*9+C9 + 1) +G8," ")," ")</f>
        <v>2.0763888888888889E-3</v>
      </c>
      <c r="H9" s="78">
        <f ca="1">IFERROR(IF(ISNUMBER(C9),'3. Veículos'!F2 * INDEX('2. Distâncias'!D2:D82,C8*9+C9 + 1) +I8," ")," ")</f>
        <v>0.33540972222222221</v>
      </c>
      <c r="I9" s="78">
        <f ca="1">IFERROR(IF(AND(C5&lt;&gt;C9,ISNUMBER(H9)),INDEX('1. Locais'!I2:I10,C9 + 1) + MAX(H9,INDEX('1. Locais'!F2:F10,C9 + 1))," ")," ")</f>
        <v>0.33540972222222221</v>
      </c>
      <c r="J9" s="53">
        <f ca="1">IFERROR(IF(AND(B9 = B5, B10 = ""), H9 - I5, I9 - I5)," ")</f>
        <v>2.0763888888888915E-3</v>
      </c>
      <c r="K9" s="51">
        <f ca="1">IFERROR(IF(ISNUMBER(C9),INDEX('1. Locais'!L2:L10,C9 + 1) + K8," ")," ")</f>
        <v>0</v>
      </c>
      <c r="L9" s="52">
        <f ca="1">IFERROR(IF(ISNUMBER(C9),INDEX('1. Locais'!J2:J10,C9 + 1)," ")," ")</f>
        <v>0</v>
      </c>
      <c r="M9" s="52">
        <f ca="1">IFERROR(IF(ISNUMBER(C9),INDEX('1. Locais'!K2:K10,C9 + 1)," ")," ")</f>
        <v>5</v>
      </c>
      <c r="N9" s="52">
        <f ca="1">IFERROR(IF(ISNUMBER(C9),IF(B9 = B5, 0, L9 + N8)," ")," ")</f>
        <v>0</v>
      </c>
      <c r="O9" s="52">
        <f ca="1">IFERROR(IF(ISNUMBER(C9),IF(B10 = B5, 0, IF(B10 = "", 0, O10 + M10))," ")," ")</f>
        <v>8</v>
      </c>
      <c r="P9" s="51">
        <f ca="1">IFERROR(IF(ISNUMBER(C9),N9 + O9," ")," ")</f>
        <v>8</v>
      </c>
    </row>
    <row r="10" spans="1:16" x14ac:dyDescent="0.25">
      <c r="A10" s="23">
        <v>5</v>
      </c>
      <c r="B10" s="50" t="s">
        <v>4003</v>
      </c>
      <c r="C10" s="51">
        <f ca="1">IFERROR(MATCH(INDIRECT("B10"),'1. Locais'!B2:B10, 0) - 1," ")</f>
        <v>1</v>
      </c>
      <c r="D10" s="51">
        <f ca="1">IFERROR(IF(ISNUMBER(C10),INDEX('1. Locais'!D2:D10,C10 + 1),NA()),NA())</f>
        <v>-10.3343136</v>
      </c>
      <c r="E10" s="51">
        <f ca="1">IFERROR(IF(ISNUMBER(C10),INDEX('1. Locais'!E2:E10,C10 + 1),NA()),NA())</f>
        <v>-48.294635599999999</v>
      </c>
      <c r="F10" s="52">
        <f ca="1">IFERROR(IF(ISNUMBER(C10),INDEX('2. Distâncias'!C2:C82,C9*9+C10+ 1) +F9," ")," ")</f>
        <v>2.99</v>
      </c>
      <c r="G10" s="53">
        <f ca="1">IFERROR(IF(ISNUMBER(C10),'3. Veículos'!F2 * INDEX('2. Distâncias'!D2:D82,C9*9+C10 + 1) +G9," ")," ")</f>
        <v>2.0763888888888889E-3</v>
      </c>
      <c r="H10" s="78">
        <f ca="1">IFERROR(IF(ISNUMBER(C10),'3. Veículos'!F2 * INDEX('2. Distâncias'!D2:D82,C9*9+C10 + 1) +I9," ")," ")</f>
        <v>0.33540972222222221</v>
      </c>
      <c r="I10" s="78">
        <f ca="1">IFERROR(IF(AND(C5&lt;&gt;C10,ISNUMBER(H10)),INDEX('1. Locais'!I2:I10,C10 + 1) + MAX(H10,INDEX('1. Locais'!F2:F10,C10 + 1))," ")," ")</f>
        <v>0.33540972222222221</v>
      </c>
      <c r="J10" s="53">
        <f ca="1">IFERROR(IF(AND(B10 = B5, B11 = ""), H10 - I5, I10 - I5)," ")</f>
        <v>2.0763888888888915E-3</v>
      </c>
      <c r="K10" s="51">
        <f ca="1">IFERROR(IF(ISNUMBER(C10),INDEX('1. Locais'!L2:L10,C10 + 1) + K9," ")," ")</f>
        <v>0</v>
      </c>
      <c r="L10" s="52">
        <f ca="1">IFERROR(IF(ISNUMBER(C10),INDEX('1. Locais'!J2:J10,C10 + 1)," ")," ")</f>
        <v>0</v>
      </c>
      <c r="M10" s="52">
        <f ca="1">IFERROR(IF(ISNUMBER(C10),INDEX('1. Locais'!K2:K10,C10 + 1)," ")," ")</f>
        <v>5</v>
      </c>
      <c r="N10" s="52">
        <f ca="1">IFERROR(IF(ISNUMBER(C10),IF(B10 = B5, 0, L10 + N9)," ")," ")</f>
        <v>0</v>
      </c>
      <c r="O10" s="52">
        <f ca="1">IFERROR(IF(ISNUMBER(C10),IF(B11 = B5, 0, IF(B11 = "", 0, O11 + M11))," ")," ")</f>
        <v>3</v>
      </c>
      <c r="P10" s="51">
        <f ca="1">IFERROR(IF(ISNUMBER(C10),N10 + O10," ")," ")</f>
        <v>3</v>
      </c>
    </row>
    <row r="11" spans="1:16" x14ac:dyDescent="0.25">
      <c r="A11" s="23">
        <v>6</v>
      </c>
      <c r="B11" s="54" t="s">
        <v>4006</v>
      </c>
      <c r="C11" s="51">
        <f ca="1">IFERROR(MATCH(INDIRECT("B11"),'1. Locais'!B2:B10, 0) - 1," ")</f>
        <v>4</v>
      </c>
      <c r="D11" s="51">
        <f ca="1">IFERROR(IF(ISNUMBER(C11),INDEX('1. Locais'!D2:D10,C11 + 1),NA()),NA())</f>
        <v>-10.3338395</v>
      </c>
      <c r="E11" s="51">
        <f ca="1">IFERROR(IF(ISNUMBER(C11),INDEX('1. Locais'!E2:E10,C11 + 1),NA()),NA())</f>
        <v>-48.293009499999997</v>
      </c>
      <c r="F11" s="52">
        <f ca="1">IFERROR(IF(ISNUMBER(C11),INDEX('2. Distâncias'!C2:C82,C10*9+C11+ 1) +F10," ")," ")</f>
        <v>3.2020000000000004</v>
      </c>
      <c r="G11" s="53">
        <f ca="1">IFERROR(IF(ISNUMBER(C11),'3. Veículos'!F2 * INDEX('2. Distâncias'!D2:D82,C10*9+C11 + 1) +G10," ")," ")</f>
        <v>2.2236111111111111E-3</v>
      </c>
      <c r="H11" s="78">
        <f ca="1">IFERROR(IF(ISNUMBER(C11),'3. Veículos'!F2 * INDEX('2. Distâncias'!D2:D82,C10*9+C11 + 1) +I10," ")," ")</f>
        <v>0.33555694444444445</v>
      </c>
      <c r="I11" s="78">
        <f ca="1">IFERROR(IF(AND(C5&lt;&gt;C11,ISNUMBER(H11)),INDEX('1. Locais'!I2:I10,C11 + 1) + MAX(H11,INDEX('1. Locais'!F2:F10,C11 + 1))," ")," ")</f>
        <v>0.33555694444444445</v>
      </c>
      <c r="J11" s="53">
        <f ca="1">IFERROR(IF(AND(B11 = B5, B12 = ""), H11 - I5, I11 - I5)," ")</f>
        <v>2.2236111111111345E-3</v>
      </c>
      <c r="K11" s="51">
        <f ca="1">IFERROR(IF(ISNUMBER(C11),INDEX('1. Locais'!L2:L10,C11 + 1) + K10," ")," ")</f>
        <v>0</v>
      </c>
      <c r="L11" s="52">
        <f ca="1">IFERROR(IF(ISNUMBER(C11),INDEX('1. Locais'!J2:J10,C11 + 1)," ")," ")</f>
        <v>0</v>
      </c>
      <c r="M11" s="52">
        <f ca="1">IFERROR(IF(ISNUMBER(C11),INDEX('1. Locais'!K2:K10,C11 + 1)," ")," ")</f>
        <v>2</v>
      </c>
      <c r="N11" s="52">
        <f ca="1">IFERROR(IF(ISNUMBER(C11),IF(B11 = B5, 0, L11 + N10)," ")," ")</f>
        <v>0</v>
      </c>
      <c r="O11" s="52">
        <f ca="1">IFERROR(IF(ISNUMBER(C11),IF(B12 = B5, 0, IF(B12 = "", 0, O12 + M12))," ")," ")</f>
        <v>1</v>
      </c>
      <c r="P11" s="51">
        <f ca="1">IFERROR(IF(ISNUMBER(C11),N11 + O11," ")," ")</f>
        <v>1</v>
      </c>
    </row>
    <row r="12" spans="1:16" x14ac:dyDescent="0.25">
      <c r="A12" s="23">
        <v>7</v>
      </c>
      <c r="B12" s="50" t="s">
        <v>4009</v>
      </c>
      <c r="C12" s="51">
        <f ca="1">IFERROR(MATCH(INDIRECT("B12"),'1. Locais'!B2:B10, 0) - 1," ")</f>
        <v>7</v>
      </c>
      <c r="D12" s="51">
        <f ca="1">IFERROR(IF(ISNUMBER(C12),INDEX('1. Locais'!D2:D10,C12 + 1),NA()),NA())</f>
        <v>-10.3419097</v>
      </c>
      <c r="E12" s="51">
        <f ca="1">IFERROR(IF(ISNUMBER(C12),INDEX('1. Locais'!E2:E10,C12 + 1),NA()),NA())</f>
        <v>-48.288843900000003</v>
      </c>
      <c r="F12" s="52">
        <f ca="1">IFERROR(IF(ISNUMBER(C12),INDEX('2. Distâncias'!C2:C82,C11*9+C12+ 1) +F11," ")," ")</f>
        <v>4.4910000000000005</v>
      </c>
      <c r="G12" s="53">
        <f ca="1">IFERROR(IF(ISNUMBER(C12),'3. Veículos'!F2 * INDEX('2. Distâncias'!D2:D82,C11*9+C12 + 1) +G11," ")," ")</f>
        <v>3.11875E-3</v>
      </c>
      <c r="H12" s="78">
        <f ca="1">IFERROR(IF(ISNUMBER(C12),'3. Veículos'!F2 * INDEX('2. Distâncias'!D2:D82,C11*9+C12 + 1) +I11," ")," ")</f>
        <v>0.33645208333333332</v>
      </c>
      <c r="I12" s="78">
        <f ca="1">IFERROR(IF(AND(C5&lt;&gt;C12,ISNUMBER(H12)),INDEX('1. Locais'!I2:I10,C12 + 1) + MAX(H12,INDEX('1. Locais'!F2:F10,C12 + 1))," ")," ")</f>
        <v>0.33645208333333332</v>
      </c>
      <c r="J12" s="53">
        <f ca="1">IFERROR(IF(AND(B12 = B5, B13 = ""), H12 - I5, I12 - I5)," ")</f>
        <v>3.1187500000000035E-3</v>
      </c>
      <c r="K12" s="51">
        <f ca="1">IFERROR(IF(ISNUMBER(C12),INDEX('1. Locais'!L2:L10,C12 + 1) + K11," ")," ")</f>
        <v>0</v>
      </c>
      <c r="L12" s="52">
        <f ca="1">IFERROR(IF(ISNUMBER(C12),INDEX('1. Locais'!J2:J10,C12 + 1)," ")," ")</f>
        <v>0</v>
      </c>
      <c r="M12" s="52">
        <f ca="1">IFERROR(IF(ISNUMBER(C12),INDEX('1. Locais'!K2:K10,C12 + 1)," ")," ")</f>
        <v>1</v>
      </c>
      <c r="N12" s="52">
        <f ca="1">IFERROR(IF(ISNUMBER(C12),IF(B12 = B5, 0, L12 + N11)," ")," ")</f>
        <v>0</v>
      </c>
      <c r="O12" s="52">
        <f ca="1">IFERROR(IF(ISNUMBER(C12),IF(B13 = B5, 0, IF(B13 = "", 0, O13 + M13))," ")," ")</f>
        <v>0</v>
      </c>
      <c r="P12" s="51">
        <f ca="1">IFERROR(IF(ISNUMBER(C12),N12 + O12," ")," ")</f>
        <v>0</v>
      </c>
    </row>
    <row r="13" spans="1:16" x14ac:dyDescent="0.25">
      <c r="A13" s="23">
        <v>8</v>
      </c>
      <c r="B13" s="54" t="s">
        <v>4012</v>
      </c>
      <c r="C13" s="51">
        <f ca="1">IFERROR(MATCH(INDIRECT("B13"),'1. Locais'!B2:B10, 0) - 1," ")</f>
        <v>8</v>
      </c>
      <c r="D13" s="51">
        <f ca="1">IFERROR(IF(ISNUMBER(C13),INDEX('1. Locais'!D2:D10,C13 + 1),NA()),NA())</f>
        <v>-10.345169800000001</v>
      </c>
      <c r="E13" s="51">
        <f ca="1">IFERROR(IF(ISNUMBER(C13),INDEX('1. Locais'!E2:E10,C13 + 1),NA()),NA())</f>
        <v>-48.282046800000003</v>
      </c>
      <c r="F13" s="52">
        <f ca="1">IFERROR(IF(ISNUMBER(C13),INDEX('2. Distâncias'!C2:C82,C12*9+C13+ 1) +F12," ")," ")</f>
        <v>5.5760000000000005</v>
      </c>
      <c r="G13" s="53">
        <f ca="1">IFERROR(IF(ISNUMBER(C13),'3. Veículos'!F2 * INDEX('2. Distâncias'!D2:D82,C12*9+C13 + 1) +G12," ")," ")</f>
        <v>3.8722222222222222E-3</v>
      </c>
      <c r="H13" s="78">
        <f ca="1">IFERROR(IF(ISNUMBER(C13),'3. Veículos'!F2 * INDEX('2. Distâncias'!D2:D82,C12*9+C13 + 1) +I12," ")," ")</f>
        <v>0.33720555555555554</v>
      </c>
      <c r="I13" s="78">
        <f ca="1">IFERROR(IF(AND(C5&lt;&gt;C13,ISNUMBER(H13)),INDEX('1. Locais'!I2:I10,C13 + 1) + MAX(H13,INDEX('1. Locais'!F2:F10,C13 + 1))," ")," ")</f>
        <v>0.33720555555555554</v>
      </c>
      <c r="J13" s="53">
        <f ca="1">IFERROR(IF(AND(B13 = B5, B14 = ""), H13 - I5, I13 - I5)," ")</f>
        <v>3.8722222222222213E-3</v>
      </c>
      <c r="K13" s="51">
        <f ca="1">IFERROR(IF(ISNUMBER(C13),INDEX('1. Locais'!L2:L10,C13 + 1) + K12," ")," ")</f>
        <v>0</v>
      </c>
      <c r="L13" s="52">
        <f ca="1">IFERROR(IF(ISNUMBER(C13),INDEX('1. Locais'!J2:J10,C13 + 1)," ")," ")</f>
        <v>23</v>
      </c>
      <c r="M13" s="52">
        <f ca="1">IFERROR(IF(ISNUMBER(C13),INDEX('1. Locais'!K2:K10,C13 + 1)," ")," ")</f>
        <v>0</v>
      </c>
      <c r="N13" s="52">
        <f ca="1">IFERROR(IF(ISNUMBER(C13),IF(B13 = B5, 0, L13 + N12)," ")," ")</f>
        <v>23</v>
      </c>
      <c r="O13" s="52">
        <f ca="1">IFERROR(IF(ISNUMBER(C13),IF(B14 = B5, 0, IF(B14 = "", 0, O14 + M14))," ")," ")</f>
        <v>0</v>
      </c>
      <c r="P13" s="51">
        <f ca="1">IFERROR(IF(ISNUMBER(C13),N13 + O13," ")," ")</f>
        <v>23</v>
      </c>
    </row>
    <row r="14" spans="1:16" x14ac:dyDescent="0.25">
      <c r="A14" s="22">
        <v>9</v>
      </c>
      <c r="B14" s="64" t="s">
        <v>1119</v>
      </c>
      <c r="C14" s="47">
        <f ca="1">IFERROR(MATCH(INDIRECT("B14"),'1. Locais'!B2:B10, 0) - 1," ")</f>
        <v>0</v>
      </c>
      <c r="D14" s="47">
        <f ca="1">IFERROR(IF(ISNUMBER(C14),INDEX('1. Locais'!D2:D10,C14 + 1),NA()),NA())</f>
        <v>-10.349356500000001</v>
      </c>
      <c r="E14" s="47">
        <f ca="1">IFERROR(IF(ISNUMBER(C14),INDEX('1. Locais'!E2:E10,C14 + 1),NA()),NA())</f>
        <v>-48.297334300000003</v>
      </c>
      <c r="F14" s="48">
        <f ca="1">IFERROR(IF(ISNUMBER(C14),INDEX('2. Distâncias'!C2:C82,C13*9+C14+ 1) +F13," ")," ")</f>
        <v>7.4350000000000005</v>
      </c>
      <c r="G14" s="49">
        <f ca="1">IFERROR(IF(ISNUMBER(C14),'3. Veículos'!F2 * INDEX('2. Distâncias'!D2:D82,C13*9+C14 + 1) +G13," ")," ")</f>
        <v>5.1631944444444442E-3</v>
      </c>
      <c r="H14" s="77">
        <f ca="1">IFERROR(IF(ISNUMBER(C14),'3. Veículos'!F2 * INDEX('2. Distâncias'!D2:D82,C13*9+C14 + 1) +I13," ")," ")</f>
        <v>0.33849652777777778</v>
      </c>
      <c r="I14" s="77" t="str">
        <f ca="1">IFERROR(IF(AND(C5&lt;&gt;C14,ISNUMBER(H14)),INDEX('1. Locais'!I2:I10,C14 + 1) + MAX(H14,INDEX('1. Locais'!F2:F10,C14 + 1))," ")," ")</f>
        <v xml:space="preserve"> </v>
      </c>
      <c r="J14" s="49">
        <f ca="1">IFERROR(IF(AND(B14 = B5, B15 = ""), H14 - I5, I14 - I5)," ")</f>
        <v>5.1631944444444633E-3</v>
      </c>
      <c r="K14" s="47">
        <f ca="1">IFERROR(IF(ISNUMBER(C14),INDEX('1. Locais'!L2:L10,C14 + 1) + K13," ")," ")</f>
        <v>0</v>
      </c>
      <c r="L14" s="48">
        <f ca="1">IFERROR(IF(ISNUMBER(C14),INDEX('1. Locais'!J2:J10,C14 + 1)," ")," ")</f>
        <v>0</v>
      </c>
      <c r="M14" s="48">
        <f ca="1">IFERROR(IF(ISNUMBER(C14),INDEX('1. Locais'!K2:K10,C14 + 1)," ")," ")</f>
        <v>0</v>
      </c>
      <c r="N14" s="48">
        <f ca="1">IFERROR(IF(ISNUMBER(C14),IF(B14 = B5, 0, L14 + N13)," ")," ")</f>
        <v>0</v>
      </c>
      <c r="O14" s="48">
        <f ca="1">IFERROR(IF(ISNUMBER(C14),IF(B15 = B5, 0, IF(B15 = "", 0, O15 + M15))," ")," ")</f>
        <v>0</v>
      </c>
      <c r="P14" s="47">
        <f ca="1">IFERROR(IF(ISNUMBER(C14),N14 + O14," ")," ")</f>
        <v>0</v>
      </c>
    </row>
    <row r="16" spans="1:16" x14ac:dyDescent="0.25">
      <c r="A16" s="18" t="s">
        <v>1120</v>
      </c>
    </row>
  </sheetData>
  <conditionalFormatting sqref="F6:F14">
    <cfRule type="cellIs" dxfId="10" priority="4" stopIfTrue="1" operator="equal">
      <formula>" "</formula>
    </cfRule>
  </conditionalFormatting>
  <conditionalFormatting sqref="P6:P14">
    <cfRule type="cellIs" dxfId="8" priority="3" stopIfTrue="1" operator="equal">
      <formula>" "</formula>
    </cfRule>
  </conditionalFormatting>
  <conditionalFormatting sqref="P6:P14">
    <cfRule type="cellIs" dxfId="6" priority="36" stopIfTrue="1" operator="lessThan">
      <formula>0</formula>
    </cfRule>
  </conditionalFormatting>
  <conditionalFormatting sqref="G6:G14">
    <cfRule type="cellIs" dxfId="5" priority="2" stopIfTrue="1" operator="equal">
      <formula>" "</formula>
    </cfRule>
  </conditionalFormatting>
  <conditionalFormatting sqref="J6:J14">
    <cfRule type="cellIs" dxfId="3" priority="1" stopIfTrue="1" operator="equal">
      <formula>" "</formula>
    </cfRule>
  </conditionalFormatting>
  <conditionalFormatting sqref="I3">
    <cfRule type="expression" dxfId="1" priority="39" stopIfTrue="1">
      <formula>ISERROR(I3)</formula>
    </cfRule>
  </conditionalFormatting>
  <conditionalFormatting sqref="B1">
    <cfRule type="expression" dxfId="0" priority="40"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0F3157D8-F311-4F26-A54E-10A70EA6C799}">
            <xm:f>(60 * HOUR(H5) + MINUTE(H5)) &gt;(60 * HOUR(INDEX('1. Locais'!G2:G10,C5 + 1)) +MINUTE(INDEX('1. Locais'!G2:G10,C5 + 1)))</xm:f>
            <x14:dxf>
              <fill>
                <patternFill>
                  <bgColor indexed="10"/>
                </patternFill>
              </fill>
            </x14:dxf>
          </x14:cfRule>
          <xm:sqref>H5</xm:sqref>
        </x14:conditionalFormatting>
        <x14:conditionalFormatting xmlns:xm="http://schemas.microsoft.com/office/excel/2006/main">
          <x14:cfRule type="expression" priority="6" stopIfTrue="1" id="{692CF392-1E90-4D78-9BEF-987A81B7B503}">
            <xm:f>(60 * HOUR(I5) + MINUTE(I5)) &gt;(60 * HOUR(INDEX('1. Locais'!G2:G10,C5 + 1)) +MINUTE(INDEX('1. Locais'!G2:G10,C5 + 1)))</xm:f>
            <x14:dxf>
              <fill>
                <patternFill>
                  <bgColor indexed="10"/>
                </patternFill>
              </fill>
            </x14:dxf>
          </x14:cfRule>
          <xm:sqref>I5</xm:sqref>
        </x14:conditionalFormatting>
        <x14:conditionalFormatting xmlns:xm="http://schemas.microsoft.com/office/excel/2006/main">
          <x14:cfRule type="cellIs" priority="7" stopIfTrue="1" operator="lessThan" id="{F04A39D9-D2FF-4DB0-B5E7-C34E4B6C4CCF}">
            <xm:f>INDEX('1. Locais'!F2:F10,C6 + 1)</xm:f>
            <x14:dxf>
              <fill>
                <patternFill>
                  <bgColor indexed="52"/>
                </patternFill>
              </fill>
            </x14:dxf>
          </x14:cfRule>
          <x14:cfRule type="expression" priority="8" stopIfTrue="1" id="{DBDC6A9C-9C23-4AD1-9659-8172C1ED32CB}">
            <xm:f>(60 * HOUR(H6) + MINUTE(H6)) &gt;(60 * HOUR(INDEX('1. Locais'!G2:G10,C6 + 1)) +MINUTE(INDEX('1. Locais'!G2:G10,C6 + 1)))</xm:f>
            <x14:dxf>
              <fill>
                <patternFill>
                  <bgColor indexed="10"/>
                </patternFill>
              </fill>
            </x14:dxf>
          </x14:cfRule>
          <xm:sqref>H6</xm:sqref>
        </x14:conditionalFormatting>
        <x14:conditionalFormatting xmlns:xm="http://schemas.microsoft.com/office/excel/2006/main">
          <x14:cfRule type="expression" priority="9" stopIfTrue="1" id="{5C77CC74-0449-439F-992C-E2D3EB0B2734}">
            <xm:f>(60 * HOUR(I6) + MINUTE(I6)) &gt;(60 * HOUR(INDEX('1. Locais'!G2:G10,C6 + 1)) +MINUTE(INDEX('1. Locais'!G2:G10,C6 + 1)))</xm:f>
            <x14:dxf>
              <fill>
                <patternFill>
                  <bgColor indexed="10"/>
                </patternFill>
              </fill>
            </x14:dxf>
          </x14:cfRule>
          <xm:sqref>I6</xm:sqref>
        </x14:conditionalFormatting>
        <x14:conditionalFormatting xmlns:xm="http://schemas.microsoft.com/office/excel/2006/main">
          <x14:cfRule type="cellIs" priority="10" stopIfTrue="1" operator="lessThan" id="{65AC2905-5ABB-4B54-A43F-0B989F4AB176}">
            <xm:f>INDEX('1. Locais'!F2:F10,C7 + 1)</xm:f>
            <x14:dxf>
              <fill>
                <patternFill>
                  <bgColor indexed="52"/>
                </patternFill>
              </fill>
            </x14:dxf>
          </x14:cfRule>
          <x14:cfRule type="expression" priority="11" stopIfTrue="1" id="{2B7C2F67-B1C2-42A5-B27F-34CADC17FC78}">
            <xm:f>(60 * HOUR(H7) + MINUTE(H7)) &gt;(60 * HOUR(INDEX('1. Locais'!G2:G10,C7 + 1)) +MINUTE(INDEX('1. Locais'!G2:G10,C7 + 1)))</xm:f>
            <x14:dxf>
              <fill>
                <patternFill>
                  <bgColor indexed="10"/>
                </patternFill>
              </fill>
            </x14:dxf>
          </x14:cfRule>
          <xm:sqref>H7</xm:sqref>
        </x14:conditionalFormatting>
        <x14:conditionalFormatting xmlns:xm="http://schemas.microsoft.com/office/excel/2006/main">
          <x14:cfRule type="expression" priority="12" stopIfTrue="1" id="{D1BA8761-BBD7-4C72-808E-90FFDC4EA277}">
            <xm:f>(60 * HOUR(I7) + MINUTE(I7)) &gt;(60 * HOUR(INDEX('1. Locais'!G2:G10,C7 + 1)) +MINUTE(INDEX('1. Locais'!G2:G10,C7 + 1)))</xm:f>
            <x14:dxf>
              <fill>
                <patternFill>
                  <bgColor indexed="10"/>
                </patternFill>
              </fill>
            </x14:dxf>
          </x14:cfRule>
          <xm:sqref>I7</xm:sqref>
        </x14:conditionalFormatting>
        <x14:conditionalFormatting xmlns:xm="http://schemas.microsoft.com/office/excel/2006/main">
          <x14:cfRule type="cellIs" priority="13" stopIfTrue="1" operator="lessThan" id="{5B1DF971-68B0-41F6-A420-7C40B48DAA32}">
            <xm:f>INDEX('1. Locais'!F2:F10,C8 + 1)</xm:f>
            <x14:dxf>
              <fill>
                <patternFill>
                  <bgColor indexed="52"/>
                </patternFill>
              </fill>
            </x14:dxf>
          </x14:cfRule>
          <x14:cfRule type="expression" priority="14" stopIfTrue="1" id="{9407E792-0202-484F-B07C-A900FEFE039E}">
            <xm:f>(60 * HOUR(H8) + MINUTE(H8)) &gt;(60 * HOUR(INDEX('1. Locais'!G2:G10,C8 + 1)) +MINUTE(INDEX('1. Locais'!G2:G10,C8 + 1)))</xm:f>
            <x14:dxf>
              <fill>
                <patternFill>
                  <bgColor indexed="10"/>
                </patternFill>
              </fill>
            </x14:dxf>
          </x14:cfRule>
          <xm:sqref>H8</xm:sqref>
        </x14:conditionalFormatting>
        <x14:conditionalFormatting xmlns:xm="http://schemas.microsoft.com/office/excel/2006/main">
          <x14:cfRule type="expression" priority="15" stopIfTrue="1" id="{D73E81B7-340C-46B2-86B1-A83B056792CA}">
            <xm:f>(60 * HOUR(I8) + MINUTE(I8)) &gt;(60 * HOUR(INDEX('1. Locais'!G2:G10,C8 + 1)) +MINUTE(INDEX('1. Locais'!G2:G10,C8 + 1)))</xm:f>
            <x14:dxf>
              <fill>
                <patternFill>
                  <bgColor indexed="10"/>
                </patternFill>
              </fill>
            </x14:dxf>
          </x14:cfRule>
          <xm:sqref>I8</xm:sqref>
        </x14:conditionalFormatting>
        <x14:conditionalFormatting xmlns:xm="http://schemas.microsoft.com/office/excel/2006/main">
          <x14:cfRule type="cellIs" priority="16" stopIfTrue="1" operator="lessThan" id="{7CB52CB7-BF1E-4A3E-8F86-33B294532444}">
            <xm:f>INDEX('1. Locais'!F2:F10,C9 + 1)</xm:f>
            <x14:dxf>
              <fill>
                <patternFill>
                  <bgColor indexed="52"/>
                </patternFill>
              </fill>
            </x14:dxf>
          </x14:cfRule>
          <x14:cfRule type="expression" priority="17" stopIfTrue="1" id="{8C12E2F5-4F80-415B-8B17-D7C4D54918B5}">
            <xm:f>(60 * HOUR(H9) + MINUTE(H9)) &gt;(60 * HOUR(INDEX('1. Locais'!G2:G10,C9 + 1)) +MINUTE(INDEX('1. Locais'!G2:G10,C9 + 1)))</xm:f>
            <x14:dxf>
              <fill>
                <patternFill>
                  <bgColor indexed="10"/>
                </patternFill>
              </fill>
            </x14:dxf>
          </x14:cfRule>
          <xm:sqref>H9</xm:sqref>
        </x14:conditionalFormatting>
        <x14:conditionalFormatting xmlns:xm="http://schemas.microsoft.com/office/excel/2006/main">
          <x14:cfRule type="expression" priority="18" stopIfTrue="1" id="{66B4F918-BA1F-4B59-BBE6-69E5F7C775BE}">
            <xm:f>(60 * HOUR(I9) + MINUTE(I9)) &gt;(60 * HOUR(INDEX('1. Locais'!G2:G10,C9 + 1)) +MINUTE(INDEX('1. Locais'!G2:G10,C9 + 1)))</xm:f>
            <x14:dxf>
              <fill>
                <patternFill>
                  <bgColor indexed="10"/>
                </patternFill>
              </fill>
            </x14:dxf>
          </x14:cfRule>
          <xm:sqref>I9</xm:sqref>
        </x14:conditionalFormatting>
        <x14:conditionalFormatting xmlns:xm="http://schemas.microsoft.com/office/excel/2006/main">
          <x14:cfRule type="cellIs" priority="19" stopIfTrue="1" operator="lessThan" id="{D0DEB0D2-3B17-49FB-83CF-78C91921C895}">
            <xm:f>INDEX('1. Locais'!F2:F10,C10 + 1)</xm:f>
            <x14:dxf>
              <fill>
                <patternFill>
                  <bgColor indexed="52"/>
                </patternFill>
              </fill>
            </x14:dxf>
          </x14:cfRule>
          <x14:cfRule type="expression" priority="20" stopIfTrue="1" id="{91DC3F50-091E-401E-992D-674E6CE58256}">
            <xm:f>(60 * HOUR(H10) + MINUTE(H10)) &gt;(60 * HOUR(INDEX('1. Locais'!G2:G10,C10 + 1)) +MINUTE(INDEX('1. Locais'!G2:G10,C10 + 1)))</xm:f>
            <x14:dxf>
              <fill>
                <patternFill>
                  <bgColor indexed="10"/>
                </patternFill>
              </fill>
            </x14:dxf>
          </x14:cfRule>
          <xm:sqref>H10</xm:sqref>
        </x14:conditionalFormatting>
        <x14:conditionalFormatting xmlns:xm="http://schemas.microsoft.com/office/excel/2006/main">
          <x14:cfRule type="expression" priority="21" stopIfTrue="1" id="{3236C05E-DE14-4E08-9DC6-5BD3CE0F07D0}">
            <xm:f>(60 * HOUR(I10) + MINUTE(I10)) &gt;(60 * HOUR(INDEX('1. Locais'!G2:G10,C10 + 1)) +MINUTE(INDEX('1. Locais'!G2:G10,C10 + 1)))</xm:f>
            <x14:dxf>
              <fill>
                <patternFill>
                  <bgColor indexed="10"/>
                </patternFill>
              </fill>
            </x14:dxf>
          </x14:cfRule>
          <xm:sqref>I10</xm:sqref>
        </x14:conditionalFormatting>
        <x14:conditionalFormatting xmlns:xm="http://schemas.microsoft.com/office/excel/2006/main">
          <x14:cfRule type="cellIs" priority="22" stopIfTrue="1" operator="lessThan" id="{71FB3EE0-ADB6-4543-8329-BA6923E56497}">
            <xm:f>INDEX('1. Locais'!F2:F10,C11 + 1)</xm:f>
            <x14:dxf>
              <fill>
                <patternFill>
                  <bgColor indexed="52"/>
                </patternFill>
              </fill>
            </x14:dxf>
          </x14:cfRule>
          <x14:cfRule type="expression" priority="23" stopIfTrue="1" id="{35E1813F-8D47-4980-B324-F1607304B5AE}">
            <xm:f>(60 * HOUR(H11) + MINUTE(H11)) &gt;(60 * HOUR(INDEX('1. Locais'!G2:G10,C11 + 1)) +MINUTE(INDEX('1. Locais'!G2:G10,C11 + 1)))</xm:f>
            <x14:dxf>
              <fill>
                <patternFill>
                  <bgColor indexed="10"/>
                </patternFill>
              </fill>
            </x14:dxf>
          </x14:cfRule>
          <xm:sqref>H11</xm:sqref>
        </x14:conditionalFormatting>
        <x14:conditionalFormatting xmlns:xm="http://schemas.microsoft.com/office/excel/2006/main">
          <x14:cfRule type="expression" priority="24" stopIfTrue="1" id="{BD6B40FE-F5B7-41F5-9121-EA9038521372}">
            <xm:f>(60 * HOUR(I11) + MINUTE(I11)) &gt;(60 * HOUR(INDEX('1. Locais'!G2:G10,C11 + 1)) +MINUTE(INDEX('1. Locais'!G2:G10,C11 + 1)))</xm:f>
            <x14:dxf>
              <fill>
                <patternFill>
                  <bgColor indexed="10"/>
                </patternFill>
              </fill>
            </x14:dxf>
          </x14:cfRule>
          <xm:sqref>I11</xm:sqref>
        </x14:conditionalFormatting>
        <x14:conditionalFormatting xmlns:xm="http://schemas.microsoft.com/office/excel/2006/main">
          <x14:cfRule type="cellIs" priority="25" stopIfTrue="1" operator="lessThan" id="{4C92A06A-5E92-4426-9A23-80353215552E}">
            <xm:f>INDEX('1. Locais'!F2:F10,C12 + 1)</xm:f>
            <x14:dxf>
              <fill>
                <patternFill>
                  <bgColor indexed="52"/>
                </patternFill>
              </fill>
            </x14:dxf>
          </x14:cfRule>
          <x14:cfRule type="expression" priority="26" stopIfTrue="1" id="{2C96C35D-2D10-4413-AC6E-A0A3C9CFCC53}">
            <xm:f>(60 * HOUR(H12) + MINUTE(H12)) &gt;(60 * HOUR(INDEX('1. Locais'!G2:G10,C12 + 1)) +MINUTE(INDEX('1. Locais'!G2:G10,C12 + 1)))</xm:f>
            <x14:dxf>
              <fill>
                <patternFill>
                  <bgColor indexed="10"/>
                </patternFill>
              </fill>
            </x14:dxf>
          </x14:cfRule>
          <xm:sqref>H12</xm:sqref>
        </x14:conditionalFormatting>
        <x14:conditionalFormatting xmlns:xm="http://schemas.microsoft.com/office/excel/2006/main">
          <x14:cfRule type="expression" priority="27" stopIfTrue="1" id="{681295D5-4031-46A8-8989-BBA1028FE0B2}">
            <xm:f>(60 * HOUR(I12) + MINUTE(I12)) &gt;(60 * HOUR(INDEX('1. Locais'!G2:G10,C12 + 1)) +MINUTE(INDEX('1. Locais'!G2:G10,C12 + 1)))</xm:f>
            <x14:dxf>
              <fill>
                <patternFill>
                  <bgColor indexed="10"/>
                </patternFill>
              </fill>
            </x14:dxf>
          </x14:cfRule>
          <xm:sqref>I12</xm:sqref>
        </x14:conditionalFormatting>
        <x14:conditionalFormatting xmlns:xm="http://schemas.microsoft.com/office/excel/2006/main">
          <x14:cfRule type="cellIs" priority="28" stopIfTrue="1" operator="lessThan" id="{119B2C6F-642F-4450-A817-0B416DEBF002}">
            <xm:f>INDEX('1. Locais'!F2:F10,C13 + 1)</xm:f>
            <x14:dxf>
              <fill>
                <patternFill>
                  <bgColor indexed="52"/>
                </patternFill>
              </fill>
            </x14:dxf>
          </x14:cfRule>
          <x14:cfRule type="expression" priority="29" stopIfTrue="1" id="{55A347CE-A339-46F2-A119-7DBC773FB46D}">
            <xm:f>(60 * HOUR(H13) + MINUTE(H13)) &gt;(60 * HOUR(INDEX('1. Locais'!G2:G10,C13 + 1)) +MINUTE(INDEX('1. Locais'!G2:G10,C13 + 1)))</xm:f>
            <x14:dxf>
              <fill>
                <patternFill>
                  <bgColor indexed="10"/>
                </patternFill>
              </fill>
            </x14:dxf>
          </x14:cfRule>
          <xm:sqref>H13</xm:sqref>
        </x14:conditionalFormatting>
        <x14:conditionalFormatting xmlns:xm="http://schemas.microsoft.com/office/excel/2006/main">
          <x14:cfRule type="expression" priority="30" stopIfTrue="1" id="{9B91ACE1-CFEE-4A37-A026-AFF0119E4672}">
            <xm:f>(60 * HOUR(I13) + MINUTE(I13)) &gt;(60 * HOUR(INDEX('1. Locais'!G2:G10,C13 + 1)) +MINUTE(INDEX('1. Locais'!G2:G10,C13 + 1)))</xm:f>
            <x14:dxf>
              <fill>
                <patternFill>
                  <bgColor indexed="10"/>
                </patternFill>
              </fill>
            </x14:dxf>
          </x14:cfRule>
          <xm:sqref>I13</xm:sqref>
        </x14:conditionalFormatting>
        <x14:conditionalFormatting xmlns:xm="http://schemas.microsoft.com/office/excel/2006/main">
          <x14:cfRule type="cellIs" priority="31" stopIfTrue="1" operator="lessThan" id="{705A5A73-4879-4D77-AA16-E75D82EE6B1C}">
            <xm:f>INDEX('1. Locais'!F2:F10,C14 + 1)</xm:f>
            <x14:dxf>
              <fill>
                <patternFill>
                  <bgColor indexed="52"/>
                </patternFill>
              </fill>
            </x14:dxf>
          </x14:cfRule>
          <x14:cfRule type="expression" priority="32" stopIfTrue="1" id="{FCB4E0D6-E71D-42CB-B9DF-4510D24215E0}">
            <xm:f>(60 * HOUR(H14) + MINUTE(H14)) &gt;(60 * HOUR(INDEX('1. Locais'!G2:G10,C14 + 1)) +MINUTE(INDEX('1. Locais'!G2:G10,C14 + 1)))</xm:f>
            <x14:dxf>
              <fill>
                <patternFill>
                  <bgColor indexed="10"/>
                </patternFill>
              </fill>
            </x14:dxf>
          </x14:cfRule>
          <xm:sqref>H14</xm:sqref>
        </x14:conditionalFormatting>
        <x14:conditionalFormatting xmlns:xm="http://schemas.microsoft.com/office/excel/2006/main">
          <x14:cfRule type="expression" priority="33" stopIfTrue="1" id="{B53E9754-7BC5-4C94-B5C9-616B9CE04D5E}">
            <xm:f>(60 * HOUR(I14) + MINUTE(I14)) &gt;(60 * HOUR(INDEX('1. Locais'!G2:G10,C14 + 1)) +MINUTE(INDEX('1. Locais'!G2:G10,C14 + 1)))</xm:f>
            <x14:dxf>
              <fill>
                <patternFill>
                  <bgColor indexed="10"/>
                </patternFill>
              </fill>
            </x14:dxf>
          </x14:cfRule>
          <xm:sqref>I14</xm:sqref>
        </x14:conditionalFormatting>
        <x14:conditionalFormatting xmlns:xm="http://schemas.microsoft.com/office/excel/2006/main">
          <x14:cfRule type="cellIs" priority="34" stopIfTrue="1" operator="greaterThan" id="{0BD7DF94-7DF7-4A6D-99E9-D35A5ABEF3C1}">
            <xm:f>'3. Veículos'!$G$2</xm:f>
            <x14:dxf>
              <fill>
                <patternFill>
                  <bgColor indexed="10"/>
                </patternFill>
              </fill>
            </x14:dxf>
          </x14:cfRule>
          <xm:sqref>F6:F14</xm:sqref>
        </x14:conditionalFormatting>
        <x14:conditionalFormatting xmlns:xm="http://schemas.microsoft.com/office/excel/2006/main">
          <x14:cfRule type="cellIs" priority="35" stopIfTrue="1" operator="greaterThan" id="{7A8CF68F-DEC2-4C8F-A5F6-FC85656BD3E3}">
            <xm:f>'3. Veículos'!$C$2</xm:f>
            <x14:dxf>
              <fill>
                <patternFill>
                  <bgColor indexed="10"/>
                </patternFill>
              </fill>
            </x14:dxf>
          </x14:cfRule>
          <xm:sqref>P6:P14</xm:sqref>
        </x14:conditionalFormatting>
        <x14:conditionalFormatting xmlns:xm="http://schemas.microsoft.com/office/excel/2006/main">
          <x14:cfRule type="cellIs" priority="37" stopIfTrue="1" operator="greaterThan" id="{95F39046-D2F3-4968-A753-1576AAC991CF}">
            <xm:f>'3. Veículos'!$I$2</xm:f>
            <x14:dxf>
              <fill>
                <patternFill>
                  <bgColor indexed="10"/>
                </patternFill>
              </fill>
            </x14:dxf>
          </x14:cfRule>
          <xm:sqref>G6:G14</xm:sqref>
        </x14:conditionalFormatting>
        <x14:conditionalFormatting xmlns:xm="http://schemas.microsoft.com/office/excel/2006/main">
          <x14:cfRule type="cellIs" priority="38" stopIfTrue="1" operator="greaterThan" id="{835C728F-2181-4479-A3FB-7EEECD74A5EA}">
            <xm:f>'3. Veículos'!$J$2</xm:f>
            <x14:dxf>
              <fill>
                <patternFill>
                  <bgColor indexed="10"/>
                </patternFill>
              </fill>
            </x14:dxf>
          </x14:cfRule>
          <xm:sqref>J6:J14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48371F7-64FE-4DAA-9CC2-C331B535ECFC}">
          <x14:formula1>
            <xm:f>'1. Locais'!$B$2:$B$11</xm:f>
          </x14:formula1>
          <xm:sqref>B6:B14</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VRP Solver Console</vt:lpstr>
      <vt:lpstr>MultiLanguageMenuItems</vt:lpstr>
      <vt:lpstr>MultiLanguageInterface</vt:lpstr>
      <vt:lpstr>1. Locais</vt:lpstr>
      <vt:lpstr>2. Distâncias</vt:lpstr>
      <vt:lpstr>3. Veículos</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2021-07-28T23:29:25Z</dcterms:modified>
</cp:coreProperties>
</file>