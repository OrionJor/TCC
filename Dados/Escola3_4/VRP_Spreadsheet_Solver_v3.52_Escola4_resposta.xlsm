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3_4\"/>
    </mc:Choice>
  </mc:AlternateContent>
  <xr:revisionPtr revIDLastSave="0" documentId="13_ncr:20001_{DCD5B4E5-2E3F-41C0-B1B5-2268E118C030}" xr6:coauthVersionLast="46" xr6:coauthVersionMax="46" xr10:uidLastSave="{00000000-0000-0000-0000-000000000000}"/>
  <bookViews>
    <workbookView xWindow="-120" yWindow="-120" windowWidth="19440" windowHeight="11640" tabRatio="705" activeTab="3" xr2:uid="{00000000-000D-0000-FFFF-FFFF00000000}"/>
  </bookViews>
  <sheets>
    <sheet name="VRP Solver Console" sheetId="231" r:id="rId1"/>
    <sheet name="MultiLanguageMenuItems" sheetId="232" state="hidden" r:id="rId2"/>
    <sheet name="MultiLanguageInterface" sheetId="233" state="hidden" r:id="rId3"/>
    <sheet name="1. Locais" sheetId="253" r:id="rId4"/>
    <sheet name="2. Distâncias" sheetId="255" r:id="rId5"/>
    <sheet name="3. Veículos" sheetId="254" r:id="rId6"/>
    <sheet name="4. Solução" sheetId="256" r:id="rId7"/>
    <sheet name="5.Visualização" sheetId="257"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fileRecoveryPr repairLoad="1"/>
</workbook>
</file>

<file path=xl/calcChain.xml><?xml version="1.0" encoding="utf-8"?>
<calcChain xmlns="http://schemas.openxmlformats.org/spreadsheetml/2006/main">
  <c r="G3" i="256" l="1"/>
  <c r="I5" i="256"/>
  <c r="B5" i="256"/>
  <c r="D17" i="255"/>
  <c r="D33" i="255"/>
  <c r="D49" i="255"/>
  <c r="D65" i="255"/>
  <c r="D81" i="255"/>
  <c r="D97" i="255"/>
  <c r="D113" i="255"/>
  <c r="D129" i="255"/>
  <c r="D145" i="255"/>
  <c r="D161" i="255"/>
  <c r="D177" i="255"/>
  <c r="D193" i="255"/>
  <c r="D209" i="255"/>
  <c r="D225" i="255"/>
  <c r="D16" i="255"/>
  <c r="D212" i="255"/>
  <c r="D211" i="255"/>
  <c r="D195" i="255"/>
  <c r="D224" i="255"/>
  <c r="D196" i="255"/>
  <c r="D179" i="255"/>
  <c r="D223" i="255"/>
  <c r="D181" i="255"/>
  <c r="D208" i="255"/>
  <c r="D180" i="255"/>
  <c r="D163" i="255"/>
  <c r="D222" i="255"/>
  <c r="D166" i="255"/>
  <c r="D207" i="255"/>
  <c r="D165" i="255"/>
  <c r="D192" i="255"/>
  <c r="D164" i="255"/>
  <c r="D147" i="255"/>
  <c r="D221" i="255"/>
  <c r="D151" i="255"/>
  <c r="D206" i="255"/>
  <c r="D150" i="255"/>
  <c r="D191" i="255"/>
  <c r="D149" i="255"/>
  <c r="D176" i="255"/>
  <c r="D148" i="255"/>
  <c r="D131" i="255"/>
  <c r="D220" i="255"/>
  <c r="D136" i="255"/>
  <c r="D205" i="255"/>
  <c r="D135" i="255"/>
  <c r="D190" i="255"/>
  <c r="D134" i="255"/>
  <c r="D175" i="255"/>
  <c r="D133" i="255"/>
  <c r="D160" i="255"/>
  <c r="D132" i="255"/>
  <c r="D115" i="255"/>
  <c r="D219" i="255"/>
  <c r="D121" i="255"/>
  <c r="D204" i="255"/>
  <c r="D120" i="255"/>
  <c r="D189" i="255"/>
  <c r="D119" i="255"/>
  <c r="D174" i="255"/>
  <c r="D118" i="255"/>
  <c r="D159" i="255"/>
  <c r="D117" i="255"/>
  <c r="D144" i="255"/>
  <c r="D116" i="255"/>
  <c r="D99" i="255"/>
  <c r="D218" i="255"/>
  <c r="D106" i="255"/>
  <c r="D203" i="255"/>
  <c r="D105" i="255"/>
  <c r="D188" i="255"/>
  <c r="D104" i="255"/>
  <c r="D173" i="255"/>
  <c r="D103" i="255"/>
  <c r="D158" i="255"/>
  <c r="D102" i="255"/>
  <c r="D143" i="255"/>
  <c r="D101" i="255"/>
  <c r="D128" i="255"/>
  <c r="D100" i="255"/>
  <c r="D83" i="255"/>
  <c r="D217" i="255"/>
  <c r="D91" i="255"/>
  <c r="D202" i="255"/>
  <c r="D90" i="255"/>
  <c r="D187" i="255"/>
  <c r="D89" i="255"/>
  <c r="D172" i="255"/>
  <c r="D88" i="255"/>
  <c r="D157" i="255"/>
  <c r="D87" i="255"/>
  <c r="D142" i="255"/>
  <c r="D86" i="255"/>
  <c r="D127" i="255"/>
  <c r="D85" i="255"/>
  <c r="D112" i="255"/>
  <c r="D84" i="255"/>
  <c r="D67" i="255"/>
  <c r="D216" i="255"/>
  <c r="D76" i="255"/>
  <c r="D201" i="255"/>
  <c r="D75" i="255"/>
  <c r="D186" i="255"/>
  <c r="D74" i="255"/>
  <c r="D171" i="255"/>
  <c r="D73" i="255"/>
  <c r="D156" i="255"/>
  <c r="D72" i="255"/>
  <c r="D141" i="255"/>
  <c r="D71" i="255"/>
  <c r="D126" i="255"/>
  <c r="D70" i="255"/>
  <c r="D111" i="255"/>
  <c r="D69" i="255"/>
  <c r="D96" i="255"/>
  <c r="D68" i="255"/>
  <c r="D51" i="255"/>
  <c r="D215" i="255"/>
  <c r="D61" i="255"/>
  <c r="D200" i="255"/>
  <c r="D60" i="255"/>
  <c r="D185" i="255"/>
  <c r="D59" i="255"/>
  <c r="D170" i="255"/>
  <c r="D58" i="255"/>
  <c r="D155" i="255"/>
  <c r="D57" i="255"/>
  <c r="D140" i="255"/>
  <c r="D56" i="255"/>
  <c r="D125" i="255"/>
  <c r="D55" i="255"/>
  <c r="D110" i="255"/>
  <c r="D54" i="255"/>
  <c r="D95" i="255"/>
  <c r="D53" i="255"/>
  <c r="D80" i="255"/>
  <c r="D52" i="255"/>
  <c r="D35" i="255"/>
  <c r="D214" i="255"/>
  <c r="D46" i="255"/>
  <c r="D199" i="255"/>
  <c r="D45" i="255"/>
  <c r="D184" i="255"/>
  <c r="D44" i="255"/>
  <c r="D169" i="255"/>
  <c r="D43" i="255"/>
  <c r="D154" i="255"/>
  <c r="D42" i="255"/>
  <c r="D139" i="255"/>
  <c r="D41" i="255"/>
  <c r="D124" i="255"/>
  <c r="D40" i="255"/>
  <c r="D109" i="255"/>
  <c r="D39" i="255"/>
  <c r="D94" i="255"/>
  <c r="D38" i="255"/>
  <c r="D79" i="255"/>
  <c r="D37" i="255"/>
  <c r="D64" i="255"/>
  <c r="D36" i="255"/>
  <c r="D19" i="255"/>
  <c r="D213" i="255"/>
  <c r="D31" i="255"/>
  <c r="D198" i="255"/>
  <c r="D30" i="255"/>
  <c r="D183" i="255"/>
  <c r="D29" i="255"/>
  <c r="D168" i="255"/>
  <c r="D28" i="255"/>
  <c r="D153" i="255"/>
  <c r="D27" i="255"/>
  <c r="D138" i="255"/>
  <c r="D26" i="255"/>
  <c r="D123" i="255"/>
  <c r="D25" i="255"/>
  <c r="D108" i="255"/>
  <c r="D24" i="255"/>
  <c r="D93" i="255"/>
  <c r="D23" i="255"/>
  <c r="D78" i="255"/>
  <c r="D22" i="255"/>
  <c r="D63" i="255"/>
  <c r="D21" i="255"/>
  <c r="D48" i="255"/>
  <c r="D20" i="255"/>
  <c r="D3" i="255"/>
  <c r="D197" i="255"/>
  <c r="D15" i="255"/>
  <c r="D182" i="255"/>
  <c r="D14" i="255"/>
  <c r="D167" i="255"/>
  <c r="D13" i="255"/>
  <c r="D152" i="255"/>
  <c r="D12" i="255"/>
  <c r="D137" i="255"/>
  <c r="D11" i="255"/>
  <c r="D122" i="255"/>
  <c r="D10" i="255"/>
  <c r="D107" i="255"/>
  <c r="D9" i="255"/>
  <c r="D92" i="255"/>
  <c r="D8" i="255"/>
  <c r="D77" i="255"/>
  <c r="D7" i="255"/>
  <c r="D62" i="255"/>
  <c r="D6" i="255"/>
  <c r="D47" i="255"/>
  <c r="D5" i="255"/>
  <c r="D32" i="255"/>
  <c r="D4" i="255"/>
  <c r="L2" i="254"/>
  <c r="D24" i="231"/>
  <c r="C20" i="256"/>
  <c r="C19" i="256"/>
  <c r="C18" i="256"/>
  <c r="C17" i="256"/>
  <c r="C16" i="256"/>
  <c r="C15" i="256"/>
  <c r="C14" i="256"/>
  <c r="C13" i="256"/>
  <c r="C12" i="256"/>
  <c r="C11" i="256"/>
  <c r="C10" i="256"/>
  <c r="C9" i="256"/>
  <c r="C5" i="256"/>
  <c r="C8" i="256"/>
  <c r="C7" i="256"/>
  <c r="C6" i="256"/>
  <c r="L6" i="256" l="1"/>
  <c r="N6" i="256" s="1"/>
  <c r="H6" i="256"/>
  <c r="I6" i="256" s="1"/>
  <c r="F6" i="256"/>
  <c r="F7" i="256" s="1"/>
  <c r="F8" i="256" s="1"/>
  <c r="F9" i="256" s="1"/>
  <c r="F10" i="256" s="1"/>
  <c r="F11" i="256" s="1"/>
  <c r="F12" i="256" s="1"/>
  <c r="F13" i="256" s="1"/>
  <c r="F14" i="256" s="1"/>
  <c r="F15" i="256" s="1"/>
  <c r="F16" i="256" s="1"/>
  <c r="F17" i="256" s="1"/>
  <c r="F18" i="256" s="1"/>
  <c r="F19" i="256" s="1"/>
  <c r="F20" i="256" s="1"/>
  <c r="D6" i="256"/>
  <c r="M6" i="256"/>
  <c r="K6" i="256"/>
  <c r="K7" i="256" s="1"/>
  <c r="K8" i="256" s="1"/>
  <c r="K9" i="256" s="1"/>
  <c r="K10" i="256" s="1"/>
  <c r="K11" i="256" s="1"/>
  <c r="K12" i="256" s="1"/>
  <c r="K13" i="256" s="1"/>
  <c r="K14" i="256" s="1"/>
  <c r="K15" i="256" s="1"/>
  <c r="K16" i="256" s="1"/>
  <c r="K17" i="256" s="1"/>
  <c r="K18" i="256" s="1"/>
  <c r="K19" i="256" s="1"/>
  <c r="K20" i="256" s="1"/>
  <c r="G6" i="256"/>
  <c r="G7" i="256" s="1"/>
  <c r="G8" i="256" s="1"/>
  <c r="G9" i="256" s="1"/>
  <c r="G10" i="256" s="1"/>
  <c r="G11" i="256" s="1"/>
  <c r="G12" i="256" s="1"/>
  <c r="G13" i="256" s="1"/>
  <c r="G14" i="256" s="1"/>
  <c r="G15" i="256" s="1"/>
  <c r="G16" i="256" s="1"/>
  <c r="G17" i="256" s="1"/>
  <c r="G18" i="256" s="1"/>
  <c r="G19" i="256" s="1"/>
  <c r="G20" i="256" s="1"/>
  <c r="E6" i="256"/>
  <c r="L7" i="256"/>
  <c r="D7" i="256"/>
  <c r="M7" i="256"/>
  <c r="E7" i="256"/>
  <c r="M8" i="256"/>
  <c r="L8" i="256"/>
  <c r="D8" i="256"/>
  <c r="E8" i="256"/>
  <c r="E5" i="256"/>
  <c r="D5" i="256"/>
  <c r="M9" i="256"/>
  <c r="E9" i="256"/>
  <c r="L9" i="256"/>
  <c r="D9" i="256"/>
  <c r="M10" i="256"/>
  <c r="E10" i="256"/>
  <c r="L10" i="256"/>
  <c r="D10" i="256"/>
  <c r="M11" i="256"/>
  <c r="E11" i="256"/>
  <c r="L11" i="256"/>
  <c r="D11" i="256"/>
  <c r="M12" i="256"/>
  <c r="E12" i="256"/>
  <c r="L12" i="256"/>
  <c r="D12" i="256"/>
  <c r="M13" i="256"/>
  <c r="E13" i="256"/>
  <c r="L13" i="256"/>
  <c r="D13" i="256"/>
  <c r="M14" i="256"/>
  <c r="E14" i="256"/>
  <c r="L14" i="256"/>
  <c r="D14" i="256"/>
  <c r="M15" i="256"/>
  <c r="E15" i="256"/>
  <c r="L15" i="256"/>
  <c r="D15" i="256"/>
  <c r="M16" i="256"/>
  <c r="E16" i="256"/>
  <c r="L16" i="256"/>
  <c r="D16" i="256"/>
  <c r="M17" i="256"/>
  <c r="E17" i="256"/>
  <c r="L17" i="256"/>
  <c r="D17" i="256"/>
  <c r="M18" i="256"/>
  <c r="E18" i="256"/>
  <c r="L18" i="256"/>
  <c r="D18" i="256"/>
  <c r="O19" i="256"/>
  <c r="M19" i="256"/>
  <c r="E19" i="256"/>
  <c r="L19" i="256"/>
  <c r="D19" i="256"/>
  <c r="O20" i="256"/>
  <c r="M20" i="256"/>
  <c r="E20" i="256"/>
  <c r="L20" i="256"/>
  <c r="D20" i="256"/>
  <c r="N20" i="256"/>
  <c r="I3" i="256"/>
  <c r="P20" i="256" l="1"/>
  <c r="N7" i="256"/>
  <c r="N8" i="256" s="1"/>
  <c r="O18" i="256"/>
  <c r="O17" i="256" s="1"/>
  <c r="O16" i="256" s="1"/>
  <c r="O15" i="256" s="1"/>
  <c r="O14" i="256" s="1"/>
  <c r="O13" i="256" s="1"/>
  <c r="O12" i="256" s="1"/>
  <c r="O11" i="256" s="1"/>
  <c r="O10" i="256" s="1"/>
  <c r="O9" i="256" s="1"/>
  <c r="O8" i="256" s="1"/>
  <c r="O7" i="256" s="1"/>
  <c r="O6" i="256" s="1"/>
  <c r="O5" i="256" s="1"/>
  <c r="P5" i="256" s="1"/>
  <c r="B1" i="256"/>
  <c r="J6" i="256"/>
  <c r="H7" i="256"/>
  <c r="I7" i="256" s="1"/>
  <c r="P6" i="256" l="1"/>
  <c r="P7" i="256"/>
  <c r="J7" i="256"/>
  <c r="H8" i="256"/>
  <c r="I8" i="256" s="1"/>
  <c r="P8" i="256"/>
  <c r="N9" i="256"/>
  <c r="P9" i="256" l="1"/>
  <c r="N10" i="256"/>
  <c r="J8" i="256"/>
  <c r="H9" i="256"/>
  <c r="I9" i="256" s="1"/>
  <c r="J9" i="256" l="1"/>
  <c r="H10" i="256"/>
  <c r="I10" i="256" s="1"/>
  <c r="P10" i="256"/>
  <c r="N11" i="256"/>
  <c r="P11" i="256" l="1"/>
  <c r="N12" i="256"/>
  <c r="J10" i="256"/>
  <c r="H11" i="256"/>
  <c r="I11" i="256" s="1"/>
  <c r="J11" i="256" l="1"/>
  <c r="H12" i="256"/>
  <c r="I12" i="256" s="1"/>
  <c r="P12" i="256"/>
  <c r="N13" i="256"/>
  <c r="P13" i="256" l="1"/>
  <c r="N14" i="256"/>
  <c r="J12" i="256"/>
  <c r="H13" i="256"/>
  <c r="I13" i="256" s="1"/>
  <c r="J13" i="256" l="1"/>
  <c r="H14" i="256"/>
  <c r="I14" i="256" s="1"/>
  <c r="P14" i="256"/>
  <c r="N15" i="256"/>
  <c r="P15" i="256" l="1"/>
  <c r="N16" i="256"/>
  <c r="J14" i="256"/>
  <c r="H15" i="256"/>
  <c r="I15" i="256" s="1"/>
  <c r="J15" i="256" l="1"/>
  <c r="H16" i="256"/>
  <c r="I16" i="256" s="1"/>
  <c r="P16" i="256"/>
  <c r="N17" i="256"/>
  <c r="P17" i="256" l="1"/>
  <c r="N18" i="256"/>
  <c r="J16" i="256"/>
  <c r="H17" i="256"/>
  <c r="I17" i="256" s="1"/>
  <c r="J17" i="256" l="1"/>
  <c r="H18" i="256"/>
  <c r="I18" i="256" s="1"/>
  <c r="P18" i="256"/>
  <c r="N19" i="256"/>
  <c r="P19" i="256" s="1"/>
  <c r="J18" i="256" l="1"/>
  <c r="H19" i="256"/>
  <c r="I19" i="256" s="1"/>
  <c r="J19" i="256" l="1"/>
  <c r="H20" i="256"/>
  <c r="I20" i="256" s="1"/>
  <c r="J20" i="256" s="1"/>
</calcChain>
</file>

<file path=xl/sharedStrings.xml><?xml version="1.0" encoding="utf-8"?>
<sst xmlns="http://schemas.openxmlformats.org/spreadsheetml/2006/main" count="4838" uniqueCount="4021">
  <si>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</si>
  <si>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</si>
  <si>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</si>
  <si>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</si>
  <si>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</si>
  <si>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</si>
  <si>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</si>
  <si>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</si>
  <si>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</si>
  <si>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</si>
  <si>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</si>
  <si>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</si>
  <si>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</si>
  <si>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</si>
  <si>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</si>
  <si>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</si>
  <si>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</si>
  <si>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</si>
  <si>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</si>
  <si>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</si>
  <si>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</si>
  <si>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</si>
  <si>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</si>
  <si>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</si>
  <si>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</si>
  <si>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</si>
  <si>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</si>
  <si>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</si>
  <si>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</si>
  <si>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</si>
  <si>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</si>
  <si>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</si>
  <si>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</si>
  <si>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</si>
  <si>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</si>
  <si>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</si>
  <si>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</si>
  <si>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</si>
  <si>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</si>
  <si>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</si>
  <si>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</si>
  <si>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</si>
  <si>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</si>
  <si>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</si>
  <si>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</si>
  <si>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</si>
  <si>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</si>
  <si>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</si>
  <si>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</si>
  <si>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</si>
  <si>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</si>
  <si>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</si>
  <si>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</si>
  <si>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</si>
  <si>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</si>
  <si>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</si>
  <si>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</si>
  <si>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</si>
  <si>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</si>
  <si>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</si>
  <si>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</si>
  <si>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</si>
  <si>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</si>
  <si>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</si>
  <si>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</si>
  <si>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</si>
  <si>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</si>
  <si>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</si>
  <si>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</si>
  <si>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</si>
  <si>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</si>
  <si>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</si>
  <si>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</si>
  <si>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</si>
  <si>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</si>
  <si>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</si>
  <si>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</si>
  <si>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</si>
  <si>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</si>
  <si>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</si>
  <si>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</si>
  <si>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</si>
  <si>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</si>
  <si>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</si>
  <si>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</si>
  <si>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</si>
  <si>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</si>
  <si>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</si>
  <si>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</si>
  <si>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</si>
  <si>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</si>
  <si>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</si>
  <si>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</si>
  <si>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</si>
  <si>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</si>
  <si>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</si>
  <si>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</si>
  <si>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</si>
  <si>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</si>
  <si>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</si>
  <si>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</si>
  <si>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</si>
  <si>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</si>
  <si>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</si>
  <si>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</si>
  <si>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</si>
  <si>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</si>
  <si>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</si>
  <si>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</si>
  <si>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</si>
  <si>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</si>
  <si>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</si>
  <si>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</si>
  <si>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</si>
  <si>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</si>
  <si>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</si>
  <si>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</si>
  <si>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</si>
  <si>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</si>
  <si>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</si>
  <si>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</si>
  <si>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</si>
  <si>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</si>
  <si>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</si>
  <si>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</si>
  <si>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</si>
  <si>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</si>
  <si>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</si>
  <si>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</si>
  <si>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</si>
  <si>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</si>
  <si>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</si>
  <si>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</si>
  <si>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</si>
  <si>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</si>
  <si>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</si>
  <si>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</si>
  <si>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</si>
  <si>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</si>
  <si>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</si>
  <si>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</si>
  <si>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</si>
  <si>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</si>
  <si>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</si>
  <si>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</si>
  <si>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</si>
  <si>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</si>
  <si>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</si>
  <si>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</si>
  <si>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</si>
  <si>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</si>
  <si>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</si>
  <si>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</si>
  <si>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</si>
  <si>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</si>
  <si>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</si>
  <si>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</si>
  <si>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</si>
  <si>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</si>
  <si>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</si>
  <si>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</si>
  <si>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</si>
  <si>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</si>
  <si>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</si>
  <si>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</si>
  <si>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</si>
  <si>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</si>
  <si>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</si>
  <si>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</si>
  <si>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</si>
  <si>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</si>
  <si>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</si>
  <si>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</si>
  <si>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</si>
  <si>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</si>
  <si>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</si>
  <si>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</si>
  <si>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</si>
  <si>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</si>
  <si>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</si>
  <si>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</si>
  <si>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</si>
  <si>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</si>
  <si>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</si>
  <si>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</si>
  <si>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</si>
  <si>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</si>
  <si>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</si>
  <si>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</si>
  <si>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</si>
  <si>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</si>
  <si>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</si>
  <si>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</si>
  <si>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</si>
  <si>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</si>
  <si>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</si>
  <si>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</si>
  <si>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</si>
  <si>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</si>
  <si>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</si>
  <si>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</si>
  <si>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</si>
  <si>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</si>
  <si>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</si>
  <si>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</si>
  <si>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</si>
  <si>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</si>
  <si>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</si>
  <si>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</si>
  <si>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</si>
  <si>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</si>
  <si>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</si>
  <si>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</si>
  <si>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</si>
  <si>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</si>
  <si>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</si>
  <si>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</si>
  <si>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</si>
  <si>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</si>
  <si>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</si>
  <si>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</si>
  <si>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</si>
  <si>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</si>
  <si>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</si>
  <si>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</si>
  <si>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</si>
  <si>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</si>
  <si>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</si>
  <si>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</si>
  <si>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</si>
  <si>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</si>
  <si>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</si>
  <si>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</si>
  <si>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</si>
  <si>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</si>
  <si>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</si>
  <si>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</si>
  <si>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</si>
  <si>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</si>
  <si>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</si>
  <si>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</si>
  <si>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</si>
  <si>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</si>
  <si>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</si>
  <si>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</si>
  <si>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</si>
  <si>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</si>
  <si>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</si>
  <si>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</si>
  <si>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</si>
  <si>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</si>
  <si>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</si>
  <si>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</si>
  <si>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</si>
  <si>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</si>
  <si>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</si>
  <si>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</si>
  <si>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</si>
  <si>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</si>
  <si>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</si>
  <si>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</si>
  <si>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</si>
  <si>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</si>
  <si>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</si>
  <si>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</si>
  <si>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</si>
  <si>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</si>
  <si>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</si>
  <si>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</si>
  <si>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</si>
  <si>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</si>
  <si>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</si>
  <si>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</si>
  <si>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</si>
  <si>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</si>
  <si>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</si>
  <si>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</si>
  <si>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</si>
  <si>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</si>
  <si>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</si>
  <si>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</si>
  <si>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</si>
  <si>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</si>
  <si>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</si>
  <si>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</si>
  <si>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</si>
  <si>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</si>
  <si>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</si>
  <si>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</si>
  <si>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</si>
  <si>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</si>
  <si>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</si>
  <si>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</si>
  <si>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</si>
  <si>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</si>
  <si>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</si>
  <si>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</si>
  <si>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</si>
  <si>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</si>
  <si>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</si>
  <si>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</si>
  <si>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</si>
  <si>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</si>
  <si>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</si>
  <si>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</si>
  <si>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</si>
  <si>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</si>
  <si>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</si>
  <si>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</si>
  <si>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</si>
  <si>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</si>
  <si>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</si>
  <si>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</si>
  <si>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</si>
  <si>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</si>
  <si>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</si>
  <si>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</si>
  <si>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</si>
  <si>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</si>
  <si>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</si>
  <si>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</si>
  <si>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</si>
  <si>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</si>
  <si>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</si>
  <si>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</si>
  <si>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</si>
  <si>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</si>
  <si>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</si>
  <si>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</si>
  <si>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</si>
  <si>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</si>
  <si>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</si>
  <si>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</si>
  <si>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</si>
  <si>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</si>
  <si>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</si>
  <si>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</si>
  <si>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</si>
  <si>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</si>
  <si>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</si>
  <si>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</si>
  <si>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</si>
  <si>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</si>
  <si>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</si>
  <si>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</si>
  <si>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</si>
  <si>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</si>
  <si>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</si>
  <si>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</si>
  <si>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</si>
  <si>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</si>
  <si>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</si>
  <si>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</si>
  <si>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</si>
  <si>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</si>
  <si>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</si>
  <si>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</si>
  <si>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</si>
  <si>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</si>
  <si>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</si>
  <si>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</si>
  <si>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</si>
  <si>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</si>
  <si>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</si>
  <si>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</si>
  <si>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</si>
  <si>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</si>
  <si>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</si>
  <si>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</si>
  <si>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</si>
  <si>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</si>
  <si>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</si>
  <si>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</si>
  <si>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</si>
  <si>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</si>
  <si>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</si>
  <si>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</si>
  <si>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</si>
  <si>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</si>
  <si>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</si>
  <si>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</si>
  <si>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</si>
  <si>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</si>
  <si>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</si>
  <si>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</si>
  <si>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</si>
  <si>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</si>
  <si>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</si>
  <si>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</si>
  <si>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</si>
  <si>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</si>
  <si>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</si>
  <si>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</si>
  <si>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</si>
  <si>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</si>
  <si>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</si>
  <si>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</si>
  <si>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</si>
  <si>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</si>
  <si>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</si>
  <si>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</si>
  <si>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</si>
  <si>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</si>
  <si>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</si>
  <si>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</si>
  <si>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</si>
  <si>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</si>
  <si>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</si>
  <si>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</si>
  <si>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</si>
  <si>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</si>
  <si>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</si>
  <si>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</si>
  <si>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</si>
  <si>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</si>
  <si>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</si>
  <si>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</si>
  <si>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</si>
  <si>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</si>
  <si>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</si>
  <si>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</si>
  <si>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</si>
  <si>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</si>
  <si>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</si>
  <si>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</si>
  <si>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</si>
  <si>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</si>
  <si>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</si>
  <si>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</si>
  <si>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</si>
  <si>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</si>
  <si>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</si>
  <si>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</si>
  <si>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</si>
  <si>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</si>
  <si>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</si>
  <si>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</si>
  <si>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</si>
  <si>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</si>
  <si>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</si>
  <si>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</si>
  <si>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</si>
  <si>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</si>
  <si>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</si>
  <si>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</si>
  <si>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</si>
  <si>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</si>
  <si>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</si>
  <si>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</si>
  <si>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</si>
  <si>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</si>
  <si>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</si>
  <si>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</si>
  <si>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</si>
  <si>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</si>
  <si>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</si>
  <si>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</si>
  <si>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</si>
  <si>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</si>
  <si>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</si>
  <si>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</si>
  <si>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</si>
  <si>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</si>
  <si>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</si>
  <si>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</si>
  <si>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</si>
  <si>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</si>
  <si>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</si>
  <si>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</si>
  <si>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</si>
  <si>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</si>
  <si>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</si>
  <si>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</si>
  <si>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</si>
  <si>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</si>
  <si>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</si>
  <si>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</si>
  <si>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</si>
  <si>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</si>
  <si>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</si>
  <si>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</si>
  <si>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</si>
  <si>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</si>
  <si>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</si>
  <si>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</si>
  <si>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</si>
  <si>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</si>
  <si>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</si>
  <si>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</si>
  <si>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</si>
  <si>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</si>
  <si>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</si>
  <si>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</si>
  <si>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</si>
  <si>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</si>
  <si>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</si>
  <si>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</si>
  <si>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</si>
  <si>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</si>
  <si>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</si>
  <si>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</si>
  <si>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</si>
  <si>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</si>
  <si>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</si>
  <si>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</si>
  <si>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</si>
  <si>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</si>
  <si>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</si>
  <si>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</si>
  <si>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</si>
  <si>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</si>
  <si>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</si>
  <si>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</si>
  <si>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</si>
  <si>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</si>
  <si>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</si>
  <si>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</si>
  <si>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</si>
  <si>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</si>
  <si>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</si>
  <si>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</si>
  <si>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</si>
  <si>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</si>
  <si>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</si>
  <si>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</si>
  <si>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</si>
  <si>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</si>
  <si>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</si>
  <si>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</si>
  <si>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</si>
  <si>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</si>
  <si>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</si>
  <si>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</si>
  <si>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</si>
  <si>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</si>
  <si>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</si>
  <si>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</si>
  <si>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</si>
  <si>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</si>
  <si>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</si>
  <si>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</si>
  <si>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</si>
  <si>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</si>
  <si>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</si>
  <si>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</si>
  <si>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</si>
  <si>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</si>
  <si>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</si>
  <si>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</si>
  <si>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</si>
  <si>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</si>
  <si>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</si>
  <si>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</si>
  <si>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</si>
  <si>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</si>
  <si>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</si>
  <si>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</si>
  <si>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</si>
  <si>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</si>
  <si>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</si>
  <si>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</si>
  <si>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</si>
  <si>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</si>
  <si>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</si>
  <si>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</si>
  <si>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</si>
  <si>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</si>
  <si>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</si>
  <si>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</si>
  <si>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</si>
  <si>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</si>
  <si>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</si>
  <si>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</si>
  <si>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</si>
  <si>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</si>
  <si>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</si>
  <si>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</si>
  <si>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</si>
  <si>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</si>
  <si>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</si>
  <si>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</si>
  <si>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</si>
  <si>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</si>
  <si>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</si>
  <si>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</si>
  <si>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</si>
  <si>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</si>
  <si>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</si>
  <si>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</si>
  <si>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</si>
  <si>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</si>
  <si>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</si>
  <si>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</si>
  <si>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</si>
  <si>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</si>
  <si>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</si>
  <si>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</si>
  <si>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</si>
  <si>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</si>
  <si>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</si>
  <si>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</si>
  <si>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</si>
  <si>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</si>
  <si>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</si>
  <si>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</si>
  <si>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</si>
  <si>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</si>
  <si>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</si>
  <si>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</si>
  <si>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</si>
  <si>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</si>
  <si>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</si>
  <si>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</si>
  <si>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</si>
  <si>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</si>
  <si>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</si>
  <si>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</si>
  <si>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</si>
  <si>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</si>
  <si>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</si>
  <si>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</si>
  <si>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</si>
  <si>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</si>
  <si>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</si>
  <si>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</si>
  <si>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</si>
  <si>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</si>
  <si>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</si>
  <si>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</si>
  <si>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</si>
  <si>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</si>
  <si>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</si>
  <si>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</si>
  <si>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</si>
  <si>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</si>
  <si>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</si>
  <si>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</si>
  <si>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</si>
  <si>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</si>
  <si>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</si>
  <si>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</si>
  <si>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</si>
  <si>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</si>
  <si>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</si>
  <si>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</si>
  <si>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</si>
  <si>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</si>
  <si>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</si>
  <si>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</si>
  <si>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</si>
  <si>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</si>
  <si>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</si>
  <si>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</si>
  <si>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</si>
  <si>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</si>
  <si>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</si>
  <si>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</si>
  <si>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</si>
  <si>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</si>
  <si>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</si>
  <si>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</si>
  <si>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</si>
  <si>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</si>
  <si>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</si>
  <si>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</si>
  <si>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</si>
  <si>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</si>
  <si>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</si>
  <si>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</si>
  <si>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</si>
  <si>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</si>
  <si>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</si>
  <si>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</si>
  <si>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</si>
  <si>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</si>
  <si>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</si>
  <si>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</si>
  <si>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</si>
  <si>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</si>
  <si>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</si>
  <si>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</si>
  <si>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</si>
  <si>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</si>
  <si>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</si>
  <si>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</si>
  <si>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</si>
  <si>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</si>
  <si>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</si>
  <si>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</si>
  <si>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</si>
  <si>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</si>
  <si>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</si>
  <si>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</si>
  <si>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</si>
  <si>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</si>
  <si>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</si>
  <si>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</si>
  <si>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</si>
  <si>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</si>
  <si>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</si>
  <si>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</si>
  <si>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</si>
  <si>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</si>
  <si>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</si>
  <si>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</si>
  <si>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</si>
  <si>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</si>
  <si>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</si>
  <si>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</si>
  <si>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</si>
  <si>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</si>
  <si>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</si>
  <si>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</si>
  <si>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</si>
  <si>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</si>
  <si>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</si>
  <si>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</si>
  <si>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</si>
  <si>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</si>
  <si>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</si>
  <si>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</si>
  <si>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</si>
  <si>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</si>
  <si>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</si>
  <si>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</si>
  <si>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</si>
  <si>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</si>
  <si>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</si>
  <si>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</si>
  <si>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</si>
  <si>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</si>
  <si>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</si>
  <si>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</si>
  <si>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</si>
  <si>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</si>
  <si>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</si>
  <si>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</si>
  <si>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</si>
  <si>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</si>
  <si>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</si>
  <si>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</si>
  <si>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</si>
  <si>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</si>
  <si>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</si>
  <si>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</si>
  <si>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</si>
  <si>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</si>
  <si>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</si>
  <si>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</si>
  <si>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</si>
  <si>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</si>
  <si>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</si>
  <si>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</si>
  <si>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</si>
  <si>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</si>
  <si>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</si>
  <si>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</si>
  <si>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</si>
  <si>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</si>
  <si>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</si>
  <si>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</si>
  <si>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</si>
  <si>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</si>
  <si>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</si>
  <si>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</si>
  <si>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</si>
  <si>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</si>
  <si>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</si>
  <si>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</si>
  <si>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</si>
  <si>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</si>
  <si>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</si>
  <si>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</si>
  <si>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</si>
  <si>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</si>
  <si>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</si>
  <si>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</si>
  <si>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</si>
  <si>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</si>
  <si>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</si>
  <si>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</si>
  <si>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</si>
  <si>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</si>
  <si>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</si>
  <si>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</si>
  <si>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</si>
  <si>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</si>
  <si>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</si>
  <si>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</si>
  <si>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</si>
  <si>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</si>
  <si>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</si>
  <si>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</si>
  <si>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</si>
  <si>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</si>
  <si>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</si>
  <si>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</si>
  <si>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</si>
  <si>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</si>
  <si>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</si>
  <si>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</si>
  <si>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</si>
  <si>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</si>
  <si>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</si>
  <si>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</si>
  <si>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</si>
  <si>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</si>
  <si>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</si>
  <si>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</si>
  <si>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</si>
  <si>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</si>
  <si>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</si>
  <si>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</si>
  <si>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</si>
  <si>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</si>
  <si>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</si>
  <si>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</si>
  <si>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</si>
  <si>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</si>
  <si>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</si>
  <si>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</si>
  <si>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</si>
  <si>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</si>
  <si>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</si>
  <si>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</si>
  <si>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</si>
  <si>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</si>
  <si>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</si>
  <si>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</si>
  <si>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</si>
  <si>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</si>
  <si>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</si>
  <si>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</si>
  <si>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</si>
  <si>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</si>
  <si>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</si>
  <si>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</si>
  <si>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</si>
  <si>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</si>
  <si>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</si>
  <si>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</si>
  <si>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</si>
  <si>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</si>
  <si>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</si>
  <si>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</si>
  <si>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</si>
  <si>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</si>
  <si>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</si>
  <si>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</si>
  <si>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</si>
  <si>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</si>
  <si>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</si>
  <si>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</si>
  <si>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</si>
  <si>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</si>
  <si>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</si>
  <si>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</si>
  <si>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</si>
  <si>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</si>
  <si>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</si>
  <si>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</si>
  <si>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</si>
  <si>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</si>
  <si>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</si>
  <si>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</si>
  <si>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</si>
  <si>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</si>
  <si>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</si>
  <si>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</si>
  <si>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</si>
  <si>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</si>
  <si>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</si>
  <si>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</si>
  <si>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</si>
  <si>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</si>
  <si>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</si>
  <si>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</si>
  <si>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</si>
  <si>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</si>
  <si>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</si>
  <si>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</si>
  <si>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</si>
  <si>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</si>
  <si>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</si>
  <si>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</si>
  <si>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</si>
  <si>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</si>
  <si>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</si>
  <si>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</si>
  <si>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</si>
  <si>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</si>
  <si>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</si>
  <si>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</si>
  <si>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</si>
  <si>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</si>
  <si>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</si>
  <si>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</si>
  <si>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</si>
  <si>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</si>
  <si>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</si>
  <si>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</si>
  <si>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</si>
  <si>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</si>
  <si>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</si>
  <si>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</si>
  <si>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</si>
  <si>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</si>
  <si>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</si>
  <si>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</si>
  <si>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</si>
  <si>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</si>
  <si>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</si>
  <si>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</si>
  <si>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</si>
  <si>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</si>
  <si>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</si>
  <si>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</si>
  <si>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</si>
  <si>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</si>
  <si>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</si>
  <si>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</si>
  <si>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</si>
  <si>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</si>
  <si>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</si>
  <si>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</si>
  <si>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</si>
  <si>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</si>
  <si>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</si>
  <si>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</si>
  <si>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</si>
  <si>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</si>
  <si>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</si>
  <si>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</si>
  <si>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</si>
  <si>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</si>
  <si>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</si>
  <si>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</si>
  <si>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</si>
  <si>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</si>
  <si>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</si>
  <si>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</si>
  <si>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</si>
  <si>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</si>
  <si>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</si>
  <si>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</si>
  <si>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</si>
  <si>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</si>
  <si>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</si>
  <si>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</si>
  <si>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</si>
  <si>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</si>
  <si>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</si>
  <si>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</si>
  <si>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</si>
  <si>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</si>
  <si>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</si>
  <si>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</si>
  <si>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</si>
  <si>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</si>
  <si>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</si>
  <si>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</si>
  <si>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</si>
  <si>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</si>
  <si>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</si>
  <si>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</si>
  <si>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</si>
  <si>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</si>
  <si>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</si>
  <si>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</si>
  <si>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</si>
  <si>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</si>
  <si>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</si>
  <si>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</si>
  <si>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</si>
  <si>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</si>
  <si>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</si>
  <si>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</si>
  <si>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</si>
  <si>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</si>
  <si>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</si>
  <si>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</si>
  <si>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</si>
  <si>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</si>
  <si>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</si>
  <si>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</si>
  <si>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</si>
  <si>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</si>
  <si>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</si>
  <si>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</si>
  <si>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</si>
  <si>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</si>
  <si>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</si>
  <si>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</si>
  <si>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</si>
  <si>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</si>
  <si>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</si>
  <si>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</si>
  <si>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</si>
  <si>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</si>
  <si>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</si>
  <si>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</si>
  <si>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</si>
  <si>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</si>
  <si>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</si>
  <si>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</si>
  <si>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</si>
  <si>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</si>
  <si>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</si>
  <si>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</si>
  <si>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</si>
  <si>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</si>
  <si>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</si>
  <si>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</si>
  <si>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</si>
  <si>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</si>
  <si>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</si>
  <si>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</si>
  <si>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</si>
  <si>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</si>
  <si>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</si>
  <si>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</si>
  <si>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</si>
  <si>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</si>
  <si>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</si>
  <si>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</si>
  <si>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</si>
  <si>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</si>
  <si>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</si>
  <si>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</si>
  <si>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</si>
  <si>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</si>
  <si>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</si>
  <si>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</si>
  <si>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</si>
  <si>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</si>
  <si>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</si>
  <si>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</si>
  <si>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</si>
  <si>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</si>
  <si>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</si>
  <si>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</si>
  <si>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</si>
  <si>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</si>
  <si>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</si>
  <si>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</si>
  <si>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</si>
  <si>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</si>
  <si>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</si>
  <si>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</si>
  <si>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</si>
  <si>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</si>
  <si>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</si>
  <si>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</si>
  <si>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</si>
  <si>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</si>
  <si>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</si>
  <si>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</si>
  <si>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</si>
  <si>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</si>
  <si>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</si>
  <si>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</si>
  <si>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</si>
  <si>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</si>
  <si>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</si>
  <si>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</si>
  <si>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</si>
  <si>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</si>
  <si>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</si>
  <si>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</si>
  <si>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</si>
  <si>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</si>
  <si>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</si>
  <si>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</si>
  <si>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</si>
  <si>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</si>
  <si>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</si>
  <si>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</si>
  <si>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</si>
  <si>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</si>
  <si>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</si>
  <si>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</si>
  <si>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</si>
  <si>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</si>
  <si>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</si>
  <si>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</si>
  <si>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</si>
  <si>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</si>
  <si>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</si>
  <si>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</si>
  <si>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</si>
  <si>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</si>
  <si>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</si>
  <si>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</si>
  <si>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</si>
  <si>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</si>
  <si>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</si>
  <si>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</si>
  <si>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</si>
  <si>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</si>
  <si>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</si>
  <si>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</si>
  <si>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</si>
  <si>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</si>
  <si>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</si>
  <si>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</si>
  <si>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</si>
  <si>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</si>
  <si>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</si>
  <si>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</si>
  <si>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</si>
  <si>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</si>
  <si>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</si>
  <si>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</si>
  <si>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</si>
  <si>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</si>
  <si>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</si>
  <si>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</si>
  <si>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</si>
  <si>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</si>
  <si>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</si>
  <si>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</si>
  <si>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</si>
  <si>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</si>
  <si>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</si>
  <si>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</si>
  <si>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</si>
  <si>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</si>
  <si>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</si>
  <si>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</si>
  <si>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</si>
  <si>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</si>
  <si>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</si>
  <si>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</si>
  <si>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</si>
  <si>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</si>
  <si>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</si>
  <si>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</si>
  <si>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</si>
  <si>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</si>
  <si>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</si>
  <si>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</si>
  <si>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</si>
  <si>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</si>
  <si>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</si>
  <si>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</si>
  <si>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</si>
  <si>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</si>
  <si>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</si>
  <si>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</si>
  <si>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</si>
  <si>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</si>
  <si>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</si>
  <si>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</si>
  <si>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</si>
  <si>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</si>
  <si>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</si>
  <si>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</si>
  <si>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</si>
  <si>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</si>
  <si>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</si>
  <si>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</si>
  <si>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</si>
  <si>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</si>
  <si>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</si>
  <si>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</si>
  <si>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</si>
  <si>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</si>
  <si>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</si>
  <si>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</si>
  <si>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</si>
  <si>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</si>
  <si>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</si>
  <si>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</si>
  <si>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</si>
  <si>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</si>
  <si>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</si>
  <si>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</si>
  <si>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</si>
  <si>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</si>
  <si>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</si>
  <si>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</si>
  <si>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</si>
  <si>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</si>
  <si>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</si>
  <si>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</si>
  <si>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</si>
  <si>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</si>
  <si>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</si>
  <si>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</si>
  <si>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</si>
  <si>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</si>
  <si>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</si>
  <si>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</si>
  <si>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</si>
  <si>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</si>
  <si>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</si>
  <si>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</si>
  <si>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</si>
  <si>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</si>
  <si>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</si>
  <si>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</si>
  <si>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</si>
  <si>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</si>
  <si>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</si>
  <si>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</si>
  <si>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</si>
  <si>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</si>
  <si>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</si>
  <si>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</si>
  <si>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</si>
  <si>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</si>
  <si>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</si>
  <si>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</si>
  <si>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</si>
  <si>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</si>
  <si>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</si>
  <si>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</si>
  <si>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</si>
  <si>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</si>
  <si>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</si>
  <si>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</si>
  <si>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</si>
  <si>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</si>
  <si>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</si>
  <si>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</si>
  <si>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</si>
  <si>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</si>
  <si>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</si>
  <si>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</si>
  <si>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</si>
  <si>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</si>
  <si>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</si>
  <si>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</si>
  <si>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</si>
  <si>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</si>
  <si>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</si>
  <si>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</si>
  <si>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</si>
  <si>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</si>
  <si>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</si>
  <si>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</si>
  <si>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</si>
  <si>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</si>
  <si>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</si>
  <si>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</si>
  <si>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</si>
  <si>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</si>
  <si>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</si>
  <si>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</si>
  <si>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</si>
  <si>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</si>
  <si>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</si>
  <si>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</si>
  <si>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</si>
  <si>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</si>
  <si>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</si>
  <si>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</si>
  <si>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</si>
  <si>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</si>
  <si>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</si>
  <si>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</si>
  <si>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</si>
  <si>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</si>
  <si>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</si>
  <si>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</si>
  <si>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</si>
  <si>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</si>
  <si>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</si>
  <si>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</si>
  <si>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</si>
  <si>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</si>
  <si>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</si>
  <si>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</si>
  <si>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</si>
  <si>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</si>
  <si>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</si>
  <si>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</si>
  <si>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</si>
  <si>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</si>
  <si>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</si>
  <si>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</si>
  <si>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</si>
  <si>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</si>
  <si>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</si>
  <si>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</si>
  <si>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</si>
  <si>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</si>
  <si>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</si>
  <si>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</si>
  <si>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</si>
  <si>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</si>
  <si>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</si>
  <si>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</si>
  <si>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</si>
  <si>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</si>
  <si>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</si>
  <si>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</si>
  <si>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</si>
  <si>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</si>
  <si>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</si>
  <si>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</si>
  <si>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</si>
  <si>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</si>
  <si>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</si>
  <si>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</si>
  <si>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</si>
  <si>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</si>
  <si>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</si>
  <si>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</si>
  <si>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</si>
  <si>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</si>
  <si>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</si>
  <si>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</si>
  <si>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</si>
  <si>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</si>
  <si>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</si>
  <si>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</si>
  <si>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</si>
  <si>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</si>
  <si>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</si>
  <si>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</si>
  <si>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</si>
  <si>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</si>
  <si>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</si>
  <si>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</si>
  <si>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</si>
  <si>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</si>
  <si>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</si>
  <si>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</si>
  <si>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</si>
  <si>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</si>
  <si>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</si>
  <si>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</si>
  <si>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</si>
  <si>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</si>
  <si>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</si>
  <si>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</si>
  <si>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</si>
  <si>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</si>
  <si>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</si>
  <si>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</si>
  <si>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</si>
  <si>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</si>
  <si>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</si>
  <si>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</si>
  <si>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</si>
  <si>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</si>
  <si>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</si>
  <si>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</si>
  <si>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</si>
  <si>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</si>
  <si>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</si>
  <si>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</si>
  <si>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</si>
  <si>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</si>
  <si>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</si>
  <si>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</si>
  <si>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</si>
  <si>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</si>
  <si>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</si>
  <si>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</si>
  <si>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</si>
  <si>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</si>
  <si>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</si>
  <si>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</si>
  <si>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</si>
  <si>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</si>
  <si>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</si>
  <si>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</si>
  <si>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</si>
  <si>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</si>
  <si>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</si>
  <si>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</si>
  <si>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</si>
  <si>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</si>
  <si>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</si>
  <si>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</si>
  <si>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</si>
  <si>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</si>
  <si>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</si>
  <si>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</si>
  <si>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</si>
  <si>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</si>
  <si>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</si>
  <si>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</si>
  <si>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</si>
  <si>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</si>
  <si>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</si>
  <si>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</si>
  <si>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</si>
  <si>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</si>
  <si>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</si>
  <si>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</si>
  <si>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</si>
  <si>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</si>
  <si>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</si>
  <si>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</si>
  <si>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</si>
  <si>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</si>
  <si>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</si>
  <si>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</si>
  <si>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</si>
  <si>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</si>
  <si>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</si>
  <si>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</si>
  <si>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</si>
  <si>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</si>
  <si>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</si>
  <si>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</si>
  <si>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</si>
  <si>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</si>
  <si>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</si>
  <si>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</si>
  <si>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</si>
  <si>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</si>
  <si>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</si>
  <si>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</si>
  <si>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</si>
  <si>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</si>
  <si>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</si>
  <si>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</si>
  <si>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</si>
  <si>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</si>
  <si>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</si>
  <si>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</si>
  <si>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</si>
  <si>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</si>
  <si>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</si>
  <si>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</si>
  <si>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</si>
  <si>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</si>
  <si>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</si>
  <si>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</si>
  <si>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</si>
  <si>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</si>
  <si>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</si>
  <si>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</si>
  <si>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</si>
  <si>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</si>
  <si>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</si>
  <si>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</si>
  <si>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</si>
  <si>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</si>
  <si>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</si>
  <si>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</si>
  <si>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</si>
  <si>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</si>
  <si>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</si>
  <si>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</si>
  <si>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</si>
  <si>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</si>
  <si>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</si>
  <si>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</si>
  <si>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</si>
  <si>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</si>
  <si>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</si>
  <si>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</si>
  <si>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</si>
  <si>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</si>
  <si>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</si>
  <si>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</si>
  <si>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</si>
  <si>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</si>
  <si>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</si>
  <si>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</si>
  <si>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</si>
  <si>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</si>
  <si>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</si>
  <si>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</si>
  <si>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</si>
  <si>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</si>
  <si>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</si>
  <si>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</si>
  <si>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</si>
  <si>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</si>
  <si>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</si>
  <si>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</si>
  <si>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</si>
  <si>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</si>
  <si>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</si>
  <si>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</si>
  <si>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</si>
  <si>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</si>
  <si>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</si>
  <si>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</si>
  <si>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</si>
  <si>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</si>
  <si>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</si>
  <si>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</si>
  <si>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</si>
  <si>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</si>
  <si>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</si>
  <si>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</si>
  <si>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</si>
  <si>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</si>
  <si>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</si>
  <si>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</si>
  <si>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</si>
  <si>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</si>
  <si>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</si>
  <si>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</si>
  <si>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</si>
  <si>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</si>
  <si>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</si>
  <si>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</si>
  <si>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</si>
  <si>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</si>
  <si>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</si>
  <si>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</si>
  <si>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</si>
  <si>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</si>
  <si>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</si>
  <si>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</si>
  <si>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</si>
  <si>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</si>
  <si>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</si>
  <si>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</si>
  <si>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</si>
  <si>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</si>
  <si>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</si>
  <si>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</si>
  <si>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</si>
  <si>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</si>
  <si>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</si>
  <si>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</si>
  <si>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</si>
  <si>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</si>
  <si>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</si>
  <si>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</si>
  <si>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</si>
  <si>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</si>
  <si>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</si>
  <si>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</si>
  <si>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</si>
  <si>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</si>
  <si>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</si>
  <si>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</si>
  <si>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</si>
  <si>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</si>
  <si>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</si>
  <si>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</si>
  <si>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</si>
  <si>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</si>
  <si>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</si>
  <si>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</si>
  <si>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</si>
  <si>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</si>
  <si>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</si>
  <si>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</si>
  <si>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</si>
  <si>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</si>
  <si>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</si>
  <si>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</si>
  <si>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</si>
  <si>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</si>
  <si>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</si>
  <si>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</si>
  <si>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</si>
  <si>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</si>
  <si>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</si>
  <si>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</si>
  <si>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</si>
  <si>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</si>
  <si>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</si>
  <si>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</si>
  <si>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</si>
  <si>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</si>
  <si>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</si>
  <si>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</si>
  <si>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</si>
  <si>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</si>
  <si>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</si>
  <si>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</si>
  <si>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</si>
  <si>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</si>
  <si>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</si>
  <si>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</si>
  <si>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</si>
  <si>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</si>
  <si>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</si>
  <si>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</si>
  <si>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</si>
  <si>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</si>
  <si>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</si>
  <si>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</si>
  <si>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</si>
  <si>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</si>
  <si>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</si>
  <si>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</si>
  <si>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</si>
  <si>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</si>
  <si>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</si>
  <si>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</si>
  <si>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</si>
  <si>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</si>
  <si>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</si>
  <si>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</si>
  <si>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</si>
  <si>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</si>
  <si>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</si>
  <si>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</si>
  <si>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</si>
  <si>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</si>
  <si>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</si>
  <si>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</si>
  <si>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</si>
  <si>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</si>
  <si>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</si>
  <si>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</si>
  <si>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</si>
  <si>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</si>
  <si>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</si>
  <si>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</si>
  <si>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</si>
  <si>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</si>
  <si>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</si>
  <si>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</si>
  <si>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</si>
  <si>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</si>
  <si>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</si>
  <si>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</si>
  <si>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</si>
  <si>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</si>
  <si>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</si>
  <si>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</si>
  <si>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</si>
  <si>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</si>
  <si>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</si>
  <si>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</si>
  <si>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</si>
  <si>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</si>
  <si>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</si>
  <si>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</si>
  <si>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</si>
  <si>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</si>
  <si>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</si>
  <si>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</si>
  <si>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</si>
  <si>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</si>
  <si>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</si>
  <si>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</si>
  <si>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</si>
  <si>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</si>
  <si>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</si>
  <si>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</si>
  <si>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</si>
  <si>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</si>
  <si>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</si>
  <si>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</si>
  <si>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</si>
  <si>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</si>
  <si>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</si>
  <si>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</si>
  <si>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</si>
  <si>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</si>
  <si>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</si>
  <si>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</si>
  <si>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</si>
  <si>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</si>
  <si>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</si>
  <si>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</si>
  <si>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</si>
  <si>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</si>
  <si>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</si>
  <si>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</si>
  <si>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</si>
  <si>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</si>
  <si>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</si>
  <si>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</si>
  <si>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</si>
  <si>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</si>
  <si>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</si>
  <si>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</si>
  <si>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</si>
  <si>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</si>
  <si>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</si>
  <si>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</si>
  <si>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</si>
  <si>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</si>
  <si>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</si>
  <si>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</si>
  <si>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</si>
  <si>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</si>
  <si>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</si>
  <si>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</si>
  <si>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</si>
  <si>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</si>
  <si>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</si>
  <si>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</si>
  <si>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</si>
  <si>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</si>
  <si>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</si>
  <si>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</si>
  <si>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</si>
  <si>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</si>
  <si>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</si>
  <si>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</si>
  <si>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</si>
  <si>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</si>
  <si>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</si>
  <si>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</si>
  <si>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</si>
  <si>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</si>
  <si>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</si>
  <si>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</si>
  <si>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</si>
  <si>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</si>
  <si>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</si>
  <si>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</si>
  <si>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</si>
  <si>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</si>
  <si>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</si>
  <si>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</si>
  <si>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</si>
  <si>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</si>
  <si>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</si>
  <si>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</si>
  <si>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</si>
  <si>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</si>
  <si>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</si>
  <si>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</si>
  <si>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</si>
  <si>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</si>
  <si>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</si>
  <si>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</si>
  <si>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</si>
  <si>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</si>
  <si>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</si>
  <si>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</si>
  <si>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</si>
  <si>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</si>
  <si>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</si>
  <si>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</si>
  <si>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</si>
  <si>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</si>
  <si>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</si>
  <si>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</si>
  <si>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</si>
  <si>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</si>
  <si>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</si>
  <si>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</si>
  <si>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</si>
  <si>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</si>
  <si>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</si>
  <si>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</si>
  <si>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</si>
  <si>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</si>
  <si>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</si>
  <si>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</si>
  <si>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</si>
  <si>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</si>
  <si>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</si>
  <si>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</si>
  <si>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</si>
  <si>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</si>
  <si>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</si>
  <si>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</si>
  <si>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</si>
  <si>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</si>
  <si>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</si>
  <si>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</si>
  <si>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</si>
  <si>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</si>
  <si>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</si>
  <si>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</si>
  <si>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</si>
  <si>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</si>
  <si>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</si>
  <si>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</si>
  <si>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</si>
  <si>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</si>
  <si>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</si>
  <si>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</si>
  <si>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</si>
  <si>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</si>
  <si>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</si>
  <si>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</si>
  <si>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</si>
  <si>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</si>
  <si>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</si>
  <si>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</si>
  <si>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</si>
  <si>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</si>
  <si>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</si>
  <si>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</si>
  <si>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</si>
  <si>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</si>
  <si>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</si>
  <si>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</si>
  <si>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</si>
  <si>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</si>
  <si>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</si>
  <si>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</si>
  <si>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</si>
  <si>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</si>
  <si>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</si>
  <si>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</si>
  <si>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</si>
  <si>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</si>
  <si>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</si>
  <si>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</si>
  <si>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</si>
  <si>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</si>
  <si>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</si>
  <si>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</si>
  <si>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</si>
  <si>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</si>
  <si>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</si>
  <si>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</si>
  <si>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</si>
  <si>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</si>
  <si>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</si>
  <si>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</si>
  <si>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</si>
  <si>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</si>
  <si>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</si>
  <si>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</si>
  <si>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</si>
  <si>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</si>
  <si>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</si>
  <si>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</si>
  <si>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</si>
  <si>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</si>
  <si>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</si>
  <si>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</si>
  <si>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</si>
  <si>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</si>
  <si>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</si>
  <si>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</si>
  <si>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</si>
  <si>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</si>
  <si>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</si>
  <si>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</si>
  <si>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</si>
  <si>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</si>
  <si>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</si>
  <si>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</si>
  <si>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</si>
  <si>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</si>
  <si>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</si>
  <si>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</si>
  <si>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</si>
  <si>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</si>
  <si>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</si>
  <si>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</si>
  <si>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</si>
  <si>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</si>
  <si>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</si>
  <si>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</si>
  <si>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</si>
  <si>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</si>
  <si>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</si>
  <si>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</si>
  <si>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</si>
  <si>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</si>
  <si>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</si>
  <si>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</si>
  <si>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</si>
  <si>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</si>
  <si>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</si>
  <si>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</si>
  <si>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</si>
  <si>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</si>
  <si>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</si>
  <si>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</si>
  <si>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</si>
  <si>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</si>
  <si>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</si>
  <si>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</si>
  <si>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</si>
  <si>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</si>
  <si>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</si>
  <si>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</si>
  <si>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</si>
  <si>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</si>
  <si>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</si>
  <si>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</si>
  <si>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</si>
  <si>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</si>
  <si>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</si>
  <si>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</si>
  <si>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</si>
  <si>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</si>
  <si>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</si>
  <si>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</si>
  <si>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</si>
  <si>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</si>
  <si>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</si>
  <si>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</si>
  <si>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</si>
  <si>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</si>
  <si>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</si>
  <si>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</si>
  <si>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</si>
  <si>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</si>
  <si>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</si>
  <si>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</si>
  <si>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</si>
  <si>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</si>
  <si>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</si>
  <si>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</si>
  <si>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</si>
  <si>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</si>
  <si>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</si>
  <si>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</si>
  <si>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</si>
  <si>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</si>
  <si>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</si>
  <si>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</si>
  <si>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</si>
  <si>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</si>
  <si>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</si>
  <si>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</si>
  <si>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</si>
  <si>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</si>
  <si>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</si>
  <si>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</si>
  <si>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</si>
  <si>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</si>
  <si>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</si>
  <si>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</si>
  <si>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</si>
  <si>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</si>
  <si>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</si>
  <si>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</si>
  <si>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</si>
  <si>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</si>
  <si>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</si>
  <si>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</si>
  <si>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</si>
  <si>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</si>
  <si>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</si>
  <si>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</si>
  <si>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</si>
  <si>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</si>
  <si>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</si>
  <si>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</si>
  <si>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</si>
  <si>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</si>
  <si>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</si>
  <si>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</si>
  <si>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</si>
  <si>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</si>
  <si>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</si>
  <si>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</si>
  <si>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</si>
  <si>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</si>
  <si>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</si>
  <si>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</si>
  <si>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</si>
  <si>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</si>
  <si>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</si>
  <si>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</si>
  <si>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</si>
  <si>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</si>
  <si>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</si>
  <si>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</si>
  <si>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</si>
  <si>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</si>
  <si>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</si>
  <si>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</si>
  <si>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</si>
  <si>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</si>
  <si>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</si>
  <si>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</si>
  <si>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</si>
  <si>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</si>
  <si>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</si>
  <si>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</si>
  <si>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</si>
  <si>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</si>
  <si>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</si>
  <si>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</si>
  <si>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</si>
  <si>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</si>
  <si>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</si>
  <si>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</si>
  <si>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</si>
  <si>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</si>
  <si>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</si>
  <si>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</si>
  <si>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</si>
  <si>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</si>
  <si>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</si>
  <si>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</si>
  <si>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</si>
  <si>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</si>
  <si>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</si>
  <si>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</si>
  <si>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</si>
  <si>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</si>
  <si>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</si>
  <si>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</si>
  <si>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</si>
  <si>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</si>
  <si>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</si>
  <si>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</si>
  <si>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</si>
  <si>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</si>
  <si>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</si>
  <si>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</si>
  <si>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</si>
  <si>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</si>
  <si>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</si>
  <si>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</si>
  <si>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</si>
  <si>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</si>
  <si>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</si>
  <si>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</si>
  <si>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</si>
  <si>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</si>
  <si>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</si>
  <si>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</si>
  <si>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</si>
  <si>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</si>
  <si>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</si>
  <si>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</si>
  <si>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</si>
  <si>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</si>
  <si>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</si>
  <si>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</si>
  <si>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</si>
  <si>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</si>
  <si>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</si>
  <si>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</si>
  <si>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</si>
  <si>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</si>
  <si>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</si>
  <si>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</si>
  <si>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</si>
  <si>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</si>
  <si>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</si>
  <si>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</si>
  <si>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</si>
  <si>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</si>
  <si>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</si>
  <si>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</si>
  <si>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</si>
  <si>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</si>
  <si>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</si>
  <si>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</si>
  <si>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</si>
  <si>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</si>
  <si>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</si>
  <si>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</si>
  <si>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</si>
  <si>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</si>
  <si>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</si>
  <si>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</si>
  <si>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</si>
  <si>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</si>
  <si>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</si>
  <si>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</si>
  <si>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</si>
  <si>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</si>
  <si>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</si>
  <si>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</si>
  <si>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</si>
  <si>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</si>
  <si>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</si>
  <si>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</si>
  <si>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</si>
  <si>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</si>
  <si>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</si>
  <si>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</si>
  <si>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</si>
  <si>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</si>
  <si>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</si>
  <si>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</si>
  <si>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</si>
  <si>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</si>
  <si>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</si>
  <si>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</si>
  <si>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</si>
  <si>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</si>
  <si>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</si>
  <si>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</si>
  <si>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</si>
  <si>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</si>
  <si>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</si>
  <si>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</si>
  <si>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</si>
  <si>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</si>
  <si>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</si>
  <si>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</si>
  <si>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</si>
  <si>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</si>
  <si>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</si>
  <si>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</si>
  <si>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</si>
  <si>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</si>
  <si>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</si>
  <si>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</si>
  <si>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</si>
  <si>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</si>
  <si>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</si>
  <si>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</si>
  <si>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</si>
  <si>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</si>
  <si>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</si>
  <si>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</si>
  <si>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</si>
  <si>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</si>
  <si>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</si>
  <si>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</si>
  <si>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</si>
  <si>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</si>
  <si>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</si>
  <si>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</si>
  <si>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</si>
  <si>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</si>
  <si>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</si>
  <si>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</si>
  <si>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</si>
  <si>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</si>
  <si>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</si>
  <si>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</si>
  <si>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</si>
  <si>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</si>
  <si>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</si>
  <si>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</si>
  <si>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</si>
  <si>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</si>
  <si>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</si>
  <si>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</si>
  <si>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</si>
  <si>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</si>
  <si>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</si>
  <si>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</si>
  <si>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</si>
  <si>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</si>
  <si>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</si>
  <si>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</si>
  <si>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</si>
  <si>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</si>
  <si>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</si>
  <si>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</si>
  <si>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</si>
  <si>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</si>
  <si>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</si>
  <si>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</si>
  <si>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</si>
  <si>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</si>
  <si>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</si>
  <si>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</si>
  <si>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</si>
  <si>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</si>
  <si>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</si>
  <si>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</si>
  <si>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</si>
  <si>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</si>
  <si>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</si>
  <si>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</si>
  <si>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</si>
  <si>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</si>
  <si>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</si>
  <si>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</si>
  <si>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</si>
  <si>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</si>
  <si>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</si>
  <si>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</si>
  <si>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</si>
  <si>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</si>
  <si>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</si>
  <si>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</si>
  <si>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</si>
  <si>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</si>
  <si>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</si>
  <si>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</si>
  <si>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</si>
  <si>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</si>
  <si>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</si>
  <si>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</si>
  <si>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</si>
  <si>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</si>
  <si>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</si>
  <si>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</si>
  <si>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</si>
  <si>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</si>
  <si>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</si>
  <si>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</si>
  <si>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</si>
  <si>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</si>
  <si>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</si>
  <si>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</si>
  <si>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</si>
  <si>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</si>
  <si>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</si>
  <si>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</si>
  <si>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</si>
  <si>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</si>
  <si>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</si>
  <si>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</si>
  <si>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</si>
  <si>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</si>
  <si>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</si>
  <si>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</si>
  <si>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</si>
  <si>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</si>
  <si>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</si>
  <si>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</si>
  <si>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</si>
  <si>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</si>
  <si>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</si>
  <si>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</si>
  <si>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</si>
  <si>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</si>
  <si>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</si>
  <si>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</si>
  <si>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</si>
  <si>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</si>
  <si>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</si>
  <si>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</si>
  <si>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</si>
  <si>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</si>
  <si>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</si>
  <si>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</si>
  <si>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</si>
  <si>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</si>
  <si>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</si>
  <si>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</si>
  <si>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</si>
  <si>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</si>
  <si>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</si>
  <si>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</si>
  <si>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</si>
  <si>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</si>
  <si>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</si>
  <si>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</si>
  <si>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</si>
  <si>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</si>
  <si>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</si>
  <si>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</si>
  <si>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</si>
  <si>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</si>
  <si>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</si>
  <si>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</si>
  <si>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</si>
  <si>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</si>
  <si>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</si>
  <si>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</si>
  <si>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</si>
  <si>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</si>
  <si>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</si>
  <si>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</si>
  <si>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</si>
  <si>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</si>
  <si>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</si>
  <si>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</si>
  <si>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</si>
  <si>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</si>
  <si>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</si>
  <si>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</si>
  <si>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</si>
  <si>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</si>
  <si>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</si>
  <si>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</si>
  <si>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</si>
  <si>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</si>
  <si>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</si>
  <si>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</si>
  <si>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</si>
  <si>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</si>
  <si>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</si>
  <si>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</si>
  <si>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</si>
  <si>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</si>
  <si>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</si>
  <si>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</si>
  <si>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</si>
  <si>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</si>
  <si>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</si>
  <si>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</si>
  <si>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</si>
  <si>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</si>
  <si>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</si>
  <si>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</si>
  <si>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</si>
  <si>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</si>
  <si>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</si>
  <si>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</si>
  <si>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</si>
  <si>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</si>
  <si>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</si>
  <si>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</si>
  <si>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</si>
  <si>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</si>
  <si>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</si>
  <si>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</si>
  <si>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</si>
  <si>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</si>
  <si>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</si>
  <si>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</si>
  <si>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</si>
  <si>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</si>
  <si>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</si>
  <si>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</si>
  <si>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</si>
  <si>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</si>
  <si>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</si>
  <si>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</si>
  <si>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</si>
  <si>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</si>
  <si>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</si>
  <si>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</si>
  <si>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</si>
  <si>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</si>
  <si>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</si>
  <si>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</si>
  <si>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</si>
  <si>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</si>
  <si>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</si>
  <si>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</si>
  <si>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</si>
  <si>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</si>
  <si>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</si>
  <si>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</si>
  <si>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</si>
  <si>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</si>
  <si>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</si>
  <si>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</si>
  <si>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</si>
  <si>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</si>
  <si>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</si>
  <si>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</si>
  <si>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</si>
  <si>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</si>
  <si>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</si>
  <si>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</si>
  <si>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</si>
  <si>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</si>
  <si>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</si>
  <si>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</si>
  <si>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</si>
  <si>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</si>
  <si>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</si>
  <si>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</si>
  <si>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</si>
  <si>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</si>
  <si>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</si>
  <si>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</si>
  <si>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</si>
  <si>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</si>
  <si>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</si>
  <si>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</si>
  <si>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</si>
  <si>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</si>
  <si>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</si>
  <si>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</si>
  <si>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</si>
  <si>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</si>
  <si>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</si>
  <si>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</si>
  <si>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</si>
  <si>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</si>
  <si>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</si>
  <si>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</si>
  <si>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</si>
  <si>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</si>
  <si>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</si>
  <si>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</si>
  <si>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</si>
  <si>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</si>
  <si>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</si>
  <si>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</si>
  <si>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</si>
  <si>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</si>
  <si>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</si>
  <si>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</si>
  <si>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</si>
  <si>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</si>
  <si>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</si>
  <si>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</si>
  <si>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</si>
  <si>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</si>
  <si>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</si>
  <si>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</si>
  <si>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</si>
  <si>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</si>
  <si>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</si>
  <si>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</si>
  <si>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</si>
  <si>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</si>
  <si>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</si>
  <si>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</si>
  <si>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</si>
  <si>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</si>
  <si>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</si>
  <si>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</si>
  <si>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</si>
  <si>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</si>
  <si>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</si>
  <si>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</si>
  <si>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</si>
  <si>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</si>
  <si>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</si>
  <si>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</si>
  <si>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</si>
  <si>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</si>
  <si>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</si>
  <si>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</si>
  <si>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</si>
  <si>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</si>
  <si>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</si>
  <si>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</si>
  <si>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</si>
  <si>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</si>
  <si>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</si>
  <si>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</si>
  <si>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</si>
  <si>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</si>
  <si>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</si>
  <si>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</si>
  <si>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</si>
  <si>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</si>
  <si>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</si>
  <si>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</si>
  <si>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</si>
  <si>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</si>
  <si>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</si>
  <si>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</si>
  <si>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</si>
  <si>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</si>
  <si>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</si>
  <si>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</si>
  <si>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</si>
  <si>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</si>
  <si>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</si>
  <si>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</si>
  <si>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</si>
  <si>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</si>
  <si>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</si>
  <si>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</si>
  <si>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</si>
  <si>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</si>
  <si>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</si>
  <si>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</si>
  <si>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</si>
  <si>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</si>
  <si>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</si>
  <si>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</si>
  <si>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</si>
  <si>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</si>
  <si>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</si>
  <si>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</si>
  <si>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</si>
  <si>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</si>
  <si>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</si>
  <si>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</si>
  <si>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</si>
  <si>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</si>
  <si>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</si>
  <si>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</si>
  <si>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</si>
  <si>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</si>
  <si>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</si>
  <si>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</si>
  <si>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</si>
  <si>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</si>
  <si>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</si>
  <si>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</si>
  <si>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</si>
  <si>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</si>
  <si>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</si>
  <si>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</si>
  <si>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</si>
  <si>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</si>
  <si>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</si>
  <si>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</si>
  <si>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</si>
  <si>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</si>
  <si>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</si>
  <si>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</si>
  <si>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</si>
  <si>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</si>
  <si>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</si>
  <si>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</si>
  <si>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</si>
  <si>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</si>
  <si>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</si>
  <si>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</si>
  <si>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</si>
  <si>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</si>
  <si>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</si>
  <si>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</si>
  <si>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</si>
  <si>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</si>
  <si>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</si>
  <si>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</si>
  <si>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</si>
  <si>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</si>
  <si>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</si>
  <si>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</si>
  <si>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</si>
  <si>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</si>
  <si>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</si>
  <si>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</si>
  <si>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</si>
  <si>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</si>
  <si>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</si>
  <si>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</si>
  <si>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</si>
  <si>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</si>
  <si>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</si>
  <si>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</si>
  <si>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</si>
  <si>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</si>
  <si>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</si>
  <si>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</si>
  <si>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</si>
  <si>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</si>
  <si>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</si>
  <si>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</si>
  <si>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</si>
  <si>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</si>
  <si>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</si>
  <si>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</si>
  <si>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</si>
  <si>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</si>
  <si>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</si>
  <si>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</si>
  <si>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</si>
  <si>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</si>
  <si>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</si>
  <si>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</si>
  <si>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</si>
  <si>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</si>
  <si>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</si>
  <si>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</si>
  <si>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</si>
  <si>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</si>
  <si>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</si>
  <si>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</si>
  <si>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</si>
  <si>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</si>
  <si>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</si>
  <si>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</si>
  <si>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</si>
  <si>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</si>
  <si>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</si>
  <si>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</si>
  <si>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</si>
  <si>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</si>
  <si>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</si>
  <si>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</si>
  <si>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</si>
  <si>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</si>
  <si>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</si>
  <si>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</si>
  <si>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</si>
  <si>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</si>
  <si>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</si>
  <si>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</si>
  <si>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</si>
  <si>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</si>
  <si>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</si>
  <si>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</si>
  <si>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</si>
  <si>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</si>
  <si>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</si>
  <si>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</si>
  <si>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</si>
  <si>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</si>
  <si>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</si>
  <si>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</si>
  <si>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</si>
  <si>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</si>
  <si>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</si>
  <si>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</si>
  <si>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</si>
  <si>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</si>
  <si>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</si>
  <si>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</si>
  <si>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</si>
  <si>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</si>
  <si>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</si>
  <si>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</si>
  <si>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</si>
  <si>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</si>
  <si>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</si>
  <si>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</si>
  <si>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</si>
  <si>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</si>
  <si>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</si>
  <si>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</si>
  <si>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</si>
  <si>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</si>
  <si>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</si>
  <si>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</si>
  <si>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</si>
  <si>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</si>
  <si>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</si>
  <si>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</si>
  <si>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</si>
  <si>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</si>
  <si>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</si>
  <si>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</si>
  <si>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</si>
  <si>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</si>
  <si>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</si>
  <si>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</si>
  <si>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</si>
  <si>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</si>
  <si>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</si>
  <si>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</si>
  <si>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</si>
  <si>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</si>
  <si>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</si>
  <si>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</si>
  <si>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</si>
  <si>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</si>
  <si>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</si>
  <si>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</si>
  <si>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</si>
  <si>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</si>
  <si>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</si>
  <si>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</si>
  <si>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</si>
  <si>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</si>
  <si>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</si>
  <si>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</si>
  <si>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</si>
  <si>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</si>
  <si>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</si>
  <si>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</si>
  <si>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</si>
  <si>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</si>
  <si>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</si>
  <si>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</si>
  <si>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</si>
  <si>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</si>
  <si>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</si>
  <si>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</si>
  <si>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</si>
  <si>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</si>
  <si>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</si>
  <si>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</si>
  <si>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</si>
  <si>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</si>
  <si>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</si>
  <si>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</si>
  <si>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</si>
  <si>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</si>
  <si>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</si>
  <si>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</si>
  <si>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</si>
  <si>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</si>
  <si>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</si>
  <si>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</si>
  <si>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</si>
  <si>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</si>
  <si>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</si>
  <si>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</si>
  <si>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</si>
  <si>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</si>
  <si>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</si>
  <si>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</si>
  <si>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</si>
  <si>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</si>
  <si>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</si>
  <si>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</si>
  <si>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</si>
  <si>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</si>
  <si>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</si>
  <si>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</si>
  <si>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</si>
  <si>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</si>
  <si>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</si>
  <si>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</si>
  <si>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</si>
  <si>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</si>
  <si>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</si>
  <si>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</si>
  <si>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</si>
  <si>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</si>
  <si>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</si>
  <si>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</si>
  <si>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</si>
  <si>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</si>
  <si>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</si>
  <si>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</si>
  <si>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</si>
  <si>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</si>
  <si>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</si>
  <si>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</si>
  <si>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</si>
  <si>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</si>
  <si>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</si>
  <si>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</si>
  <si>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</si>
  <si>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</si>
  <si>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</si>
  <si>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</si>
  <si>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</si>
  <si>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</si>
  <si>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</si>
  <si>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</si>
  <si>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</si>
  <si>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</si>
  <si>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</si>
  <si>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</si>
  <si>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</si>
  <si>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</si>
  <si>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</si>
  <si>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</si>
  <si>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</si>
  <si>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</si>
  <si>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</si>
  <si>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</si>
  <si>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</si>
  <si>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</si>
  <si>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</si>
  <si>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</si>
  <si>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</si>
  <si>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</si>
  <si>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</si>
  <si>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</si>
  <si>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</si>
  <si>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</si>
  <si>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</si>
  <si>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</si>
  <si>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</si>
  <si>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</si>
  <si>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</si>
  <si>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</si>
  <si>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</si>
  <si>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</si>
  <si>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</si>
  <si>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</si>
  <si>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</si>
  <si>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</si>
  <si>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</si>
  <si>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</si>
  <si>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</si>
  <si>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</si>
  <si>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</si>
  <si>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</si>
  <si>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</si>
  <si>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</si>
  <si>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</si>
  <si>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</si>
  <si>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</si>
  <si>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</si>
  <si>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</si>
  <si>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</si>
  <si>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</si>
  <si>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</si>
  <si>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</si>
  <si>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</si>
  <si>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</si>
  <si>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</si>
  <si>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</si>
  <si>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</si>
  <si>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</si>
  <si>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</si>
  <si>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</si>
  <si>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</si>
  <si>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</si>
  <si>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</si>
  <si>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</si>
  <si>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</si>
  <si>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</si>
  <si>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</si>
  <si>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</si>
  <si>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</si>
  <si>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</si>
  <si>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</si>
  <si>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</si>
  <si>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</si>
  <si>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</si>
  <si>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</si>
  <si>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</si>
  <si>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</si>
  <si>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</si>
  <si>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</si>
  <si>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</si>
  <si>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</si>
  <si>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</si>
  <si>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</si>
  <si>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</si>
  <si>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</si>
  <si>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</si>
  <si>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</si>
  <si>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</si>
  <si>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</si>
  <si>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</si>
  <si>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</si>
  <si>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</si>
  <si>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</si>
  <si>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</si>
  <si>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</si>
  <si>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</si>
  <si>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</si>
  <si>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</si>
  <si>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</si>
  <si>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</si>
  <si>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</si>
  <si>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</si>
  <si>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</si>
  <si>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</si>
  <si>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</si>
  <si>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</si>
  <si>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</si>
  <si>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</si>
  <si>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</si>
  <si>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</si>
  <si>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</si>
  <si>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</si>
  <si>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</si>
  <si>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</si>
  <si>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</si>
  <si>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</si>
  <si>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</si>
  <si>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</si>
  <si>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</si>
  <si>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</si>
  <si>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</si>
  <si>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</si>
  <si>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</si>
  <si>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</si>
  <si>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</si>
  <si>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</si>
  <si>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</si>
  <si>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</si>
  <si>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</si>
  <si>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</si>
  <si>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</si>
  <si>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</si>
  <si>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</si>
  <si>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</si>
  <si>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</si>
  <si>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</si>
  <si>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</si>
  <si>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</si>
  <si>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</si>
  <si>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</si>
  <si>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</si>
  <si>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</si>
  <si>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</si>
  <si>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</si>
  <si>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</si>
  <si>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</si>
  <si>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</si>
  <si>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</si>
  <si>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</si>
  <si>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</si>
  <si>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</si>
  <si>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</si>
  <si>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</si>
  <si>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</si>
  <si>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</si>
  <si>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</si>
  <si>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</si>
  <si>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</si>
  <si>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</si>
  <si>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</si>
  <si>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</si>
  <si>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</si>
  <si>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</si>
  <si>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</si>
  <si>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</si>
  <si>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</si>
  <si>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</si>
  <si>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</si>
  <si>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</si>
  <si>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</si>
  <si>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</si>
  <si>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</si>
  <si>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</si>
  <si>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</si>
  <si>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</si>
  <si>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</si>
  <si>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</si>
  <si>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</si>
  <si>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</si>
  <si>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</si>
  <si>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</si>
  <si>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</si>
  <si>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</si>
  <si>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</si>
  <si>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</si>
  <si>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</si>
  <si>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</si>
  <si>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</si>
  <si>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</si>
  <si>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</si>
  <si>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</si>
  <si>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</si>
  <si>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</si>
  <si>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</si>
  <si>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</si>
  <si>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</si>
  <si>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</si>
  <si>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</si>
  <si>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</si>
  <si>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</si>
  <si>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</si>
  <si>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</si>
  <si>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</si>
  <si>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</si>
  <si>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</si>
  <si>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</si>
  <si>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</si>
  <si>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</si>
  <si>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</si>
  <si>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</si>
  <si>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</si>
  <si>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</si>
  <si>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</si>
  <si>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</si>
  <si>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</si>
  <si>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</si>
  <si>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</si>
  <si>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</si>
  <si>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</si>
  <si>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</si>
  <si>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</si>
  <si>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</si>
  <si>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</si>
  <si>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</si>
  <si>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</si>
  <si>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</si>
  <si>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</si>
  <si>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</si>
  <si>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</si>
  <si>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</si>
  <si>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</si>
  <si>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</si>
  <si>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</si>
  <si>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</si>
  <si>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</si>
  <si>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</si>
  <si>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</si>
  <si>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</si>
  <si>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</si>
  <si>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</si>
  <si>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</si>
  <si>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</si>
  <si>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</si>
  <si>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</si>
  <si>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</si>
  <si>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</si>
  <si>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</si>
  <si>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</si>
  <si>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</si>
  <si>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</si>
  <si>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</si>
  <si>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</si>
  <si>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</si>
  <si>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</si>
  <si>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</si>
  <si>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</si>
  <si>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</si>
  <si>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</si>
  <si>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</si>
  <si>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</si>
  <si>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</si>
  <si>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</si>
  <si>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</si>
  <si>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</si>
  <si>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</si>
  <si>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</si>
  <si>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</si>
  <si>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</si>
  <si>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</si>
  <si>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</si>
  <si>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</si>
  <si>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</si>
  <si>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</si>
  <si>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</si>
  <si>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</si>
  <si>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</si>
  <si>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</si>
  <si>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</si>
  <si>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</si>
  <si>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</si>
  <si>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</si>
  <si>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</si>
  <si>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</si>
  <si>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</si>
  <si>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</si>
  <si>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</si>
  <si>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</si>
  <si>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</si>
  <si>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</si>
  <si>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</si>
  <si>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</si>
  <si>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</si>
  <si>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</si>
  <si>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</si>
  <si>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</si>
  <si>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</si>
  <si>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</si>
  <si>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</si>
  <si>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</si>
  <si>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</si>
  <si>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</si>
  <si>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</si>
  <si>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</si>
  <si>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</si>
  <si>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</si>
  <si>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</si>
  <si>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</si>
  <si>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</si>
  <si>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</si>
  <si>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</si>
  <si>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</si>
  <si>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</si>
  <si>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</si>
  <si>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</si>
  <si>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</si>
  <si>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</si>
  <si>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</si>
  <si>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</si>
  <si>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</si>
  <si>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</si>
  <si>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</si>
  <si>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</si>
  <si>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</si>
  <si>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</si>
  <si>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</si>
  <si>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</si>
  <si>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</si>
  <si>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</si>
  <si>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</si>
  <si>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</si>
  <si>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</si>
  <si>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</si>
  <si>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</si>
  <si>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</si>
  <si>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</si>
  <si>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</si>
  <si>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</si>
  <si>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</si>
  <si>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</si>
  <si>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</si>
  <si>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</si>
  <si>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</si>
  <si>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</si>
  <si>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</si>
  <si>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</si>
  <si>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</si>
  <si>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</si>
  <si>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</si>
  <si>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</si>
  <si>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</si>
  <si>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</si>
  <si>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</si>
  <si>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</si>
  <si>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</si>
  <si>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</si>
  <si>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</si>
  <si>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</si>
  <si>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</si>
  <si>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</si>
  <si>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</si>
  <si>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</si>
  <si>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</si>
  <si>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</si>
  <si>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</si>
  <si>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</si>
  <si>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</si>
  <si>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</si>
  <si>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</si>
  <si>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</si>
  <si>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</si>
  <si>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</si>
  <si>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</si>
  <si>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</si>
  <si>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</si>
  <si>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</si>
  <si>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</si>
  <si>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</si>
  <si>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</si>
  <si>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</si>
  <si>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</si>
  <si>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</si>
  <si>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</si>
  <si>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</si>
  <si>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</si>
  <si>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</si>
  <si>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</si>
  <si>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</si>
  <si>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</si>
  <si>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</si>
  <si>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</si>
  <si>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</si>
  <si>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</si>
  <si>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</si>
  <si>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</si>
  <si>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</si>
  <si>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</si>
  <si>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</si>
  <si>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</si>
  <si>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</si>
  <si>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</si>
  <si>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</si>
  <si>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</si>
  <si>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</si>
  <si>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</si>
  <si>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</si>
  <si>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</si>
  <si>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</si>
  <si>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</si>
  <si>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</si>
  <si>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</si>
  <si>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</si>
  <si>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</si>
  <si>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</si>
  <si>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</si>
  <si>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</si>
  <si>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</si>
  <si>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</si>
  <si>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</si>
  <si>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</si>
  <si>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</si>
  <si>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</si>
  <si>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</si>
  <si>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</si>
  <si>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</si>
  <si>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</si>
  <si>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</si>
  <si>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</si>
  <si>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</si>
  <si>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</si>
  <si>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</si>
  <si>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</si>
  <si>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</si>
  <si>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</si>
  <si>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</si>
  <si>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</si>
  <si>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</si>
  <si>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</si>
  <si>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</si>
  <si>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</si>
  <si>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</si>
  <si>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</si>
  <si>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</si>
  <si>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</si>
  <si>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</si>
  <si>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</si>
  <si>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</si>
  <si>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</si>
  <si>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</si>
  <si>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</si>
  <si>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</si>
  <si>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</si>
  <si>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</si>
  <si>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</si>
  <si>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</si>
  <si>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</si>
  <si>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</si>
  <si>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</si>
  <si>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</si>
  <si>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</si>
  <si>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</si>
  <si>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</si>
  <si>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</si>
  <si>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</si>
  <si>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</si>
  <si>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</si>
  <si>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</si>
  <si>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</si>
  <si>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</si>
  <si>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</si>
  <si>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</si>
  <si>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</si>
  <si>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</si>
  <si>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</si>
  <si>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</si>
  <si>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</si>
  <si>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</si>
  <si>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</si>
  <si>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</si>
  <si>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</si>
  <si>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</si>
  <si>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</si>
  <si>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</si>
  <si>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</si>
  <si>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</si>
  <si>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</si>
  <si>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</si>
  <si>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</si>
  <si>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</si>
  <si>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</si>
  <si>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</si>
  <si>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</si>
  <si>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</si>
  <si>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</si>
  <si>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</si>
  <si>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</si>
  <si>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</si>
  <si>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</si>
  <si>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</si>
  <si>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</si>
  <si>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</si>
  <si>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</si>
  <si>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</si>
  <si>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</si>
  <si>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</si>
  <si>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</si>
  <si>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</si>
  <si>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</si>
  <si>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</si>
  <si>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</si>
  <si>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</si>
  <si>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</si>
  <si>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</si>
  <si>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</si>
  <si>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</si>
  <si>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</si>
  <si>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</si>
  <si>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</si>
  <si>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</si>
  <si>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</si>
  <si>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</si>
  <si>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</si>
  <si>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</si>
  <si>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</si>
  <si>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</si>
  <si>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</si>
  <si>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</si>
  <si>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</si>
  <si>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</si>
  <si>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</si>
  <si>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</si>
  <si>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</si>
  <si>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</si>
  <si>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</si>
  <si>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</si>
  <si>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</si>
  <si>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</si>
  <si>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</si>
  <si>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</si>
  <si>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</si>
  <si>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</si>
  <si>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</si>
  <si>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</si>
  <si>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</si>
  <si>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</si>
  <si>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</si>
  <si>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</si>
  <si>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</si>
  <si>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</si>
  <si>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</si>
  <si>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</si>
  <si>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</si>
  <si>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</si>
  <si>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</si>
  <si>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</si>
  <si>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</si>
  <si>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</si>
  <si>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</si>
  <si>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</si>
  <si>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</si>
  <si>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</si>
  <si>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</si>
  <si>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</si>
  <si>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</si>
  <si>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</si>
  <si>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</si>
  <si>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</si>
  <si>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</si>
  <si>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</si>
  <si>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</si>
  <si>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</si>
  <si>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</si>
  <si>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</si>
  <si>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</si>
  <si>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</si>
  <si>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</si>
  <si>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</si>
  <si>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</si>
  <si>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</si>
  <si>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</si>
  <si>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</si>
  <si>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</si>
  <si>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</si>
  <si>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</si>
  <si>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</si>
  <si>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</si>
  <si>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</si>
  <si>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</si>
  <si>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</si>
  <si>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</si>
  <si>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</si>
  <si>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</si>
  <si>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</si>
  <si>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</si>
  <si>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</si>
  <si>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</si>
  <si>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</si>
  <si>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</si>
  <si>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</si>
  <si>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</si>
  <si>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</si>
  <si>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</si>
  <si>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</si>
  <si>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</si>
  <si>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</si>
  <si>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</si>
  <si>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</si>
  <si>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</si>
  <si>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</si>
  <si>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</si>
  <si>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</si>
  <si>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</si>
  <si>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</si>
  <si>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</si>
  <si>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</si>
  <si>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</si>
  <si>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</si>
  <si>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</si>
  <si>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</si>
  <si>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</si>
  <si>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</si>
  <si>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</si>
  <si>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</si>
  <si>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</si>
  <si>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</si>
  <si>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</si>
  <si>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</si>
  <si>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</si>
  <si>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</si>
  <si>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</si>
  <si>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</si>
  <si>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</si>
  <si>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</si>
  <si>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</si>
  <si>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</si>
  <si>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</si>
  <si>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</si>
  <si>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</si>
  <si>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</si>
  <si>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</si>
  <si>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</si>
  <si>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</si>
  <si>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</si>
  <si>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</si>
  <si>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</si>
  <si>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</si>
  <si>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</si>
  <si>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</si>
  <si>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</si>
  <si>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</si>
  <si>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</si>
  <si>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</si>
  <si>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</si>
  <si>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</si>
  <si>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</si>
  <si>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</si>
  <si>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</si>
  <si>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</si>
  <si>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</si>
  <si>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</si>
  <si>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</si>
  <si>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</si>
  <si>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</si>
  <si>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</si>
  <si>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</si>
  <si>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</si>
  <si>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</si>
  <si>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</si>
  <si>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</si>
  <si>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</si>
  <si>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</si>
  <si>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</si>
  <si>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</si>
  <si>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</si>
  <si>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</si>
  <si>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</si>
  <si>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</si>
  <si>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</si>
  <si>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</si>
  <si>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</si>
  <si>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</si>
  <si>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</si>
  <si>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</si>
  <si>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</si>
  <si>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</si>
  <si>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</si>
  <si>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</si>
  <si>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</si>
  <si>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</si>
  <si>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</si>
  <si>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</si>
  <si>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</si>
  <si>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</si>
  <si>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</si>
  <si>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</si>
  <si>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</si>
  <si>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</si>
  <si>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</si>
  <si>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</si>
  <si>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</si>
  <si>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</si>
  <si>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</si>
  <si>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</si>
  <si>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</si>
  <si>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</si>
  <si>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</si>
  <si>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</si>
  <si>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</si>
  <si>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</si>
  <si>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</si>
  <si>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</si>
  <si>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</si>
  <si>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</si>
  <si>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</si>
  <si>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</si>
  <si>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</si>
  <si>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</si>
  <si>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</si>
  <si>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</si>
  <si>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</si>
  <si>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</si>
  <si>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</si>
  <si>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</si>
  <si>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</si>
  <si>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</si>
  <si>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</si>
  <si>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</si>
  <si>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</si>
  <si>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</si>
  <si>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</si>
  <si>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</si>
  <si>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</si>
  <si>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</si>
  <si>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</si>
  <si>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</si>
  <si>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</si>
  <si>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</si>
  <si>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</si>
  <si>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</si>
  <si>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</si>
  <si>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</si>
  <si>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</si>
  <si>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</si>
  <si>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</si>
  <si>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</si>
  <si>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</si>
  <si>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</si>
  <si>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</si>
  <si>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</si>
  <si>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</si>
  <si>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</si>
  <si>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</si>
  <si>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</si>
  <si>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</si>
  <si>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</si>
  <si>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</si>
  <si>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</si>
  <si>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</si>
  <si>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</si>
  <si>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</si>
  <si>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</si>
  <si>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</si>
  <si>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</si>
  <si>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</si>
  <si>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</si>
  <si>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</si>
  <si>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</si>
  <si>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</si>
  <si>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</si>
  <si>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</si>
  <si>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</si>
  <si>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</si>
  <si>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</si>
  <si>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</si>
  <si>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</si>
  <si>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</si>
  <si>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</si>
  <si>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</si>
  <si>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</si>
  <si>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</si>
  <si>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</si>
  <si>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</si>
  <si>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</si>
  <si>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</si>
  <si>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</si>
  <si>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</si>
  <si>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</si>
  <si>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</si>
  <si>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</si>
  <si>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</si>
  <si>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</si>
  <si>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</si>
  <si>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</si>
  <si>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</si>
  <si>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</si>
  <si>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</si>
  <si>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</si>
  <si>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</si>
  <si>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</si>
  <si>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</si>
  <si>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</si>
  <si>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</si>
  <si>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</si>
  <si>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</si>
  <si>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</si>
  <si>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</si>
  <si>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</si>
  <si>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</si>
  <si>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</si>
  <si>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</si>
  <si>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</si>
  <si>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</si>
  <si>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</si>
  <si>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</si>
  <si>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</si>
  <si>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</si>
  <si>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</si>
  <si>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</si>
  <si>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</si>
  <si>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</si>
  <si>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</si>
  <si>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</si>
  <si>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</si>
  <si>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</si>
  <si>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</si>
  <si>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</si>
  <si>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</si>
  <si>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</si>
  <si>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</si>
  <si>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</si>
  <si>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</si>
  <si>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</si>
  <si>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</si>
  <si>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</si>
  <si>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</si>
  <si>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</si>
  <si>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</si>
  <si>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</si>
  <si>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</si>
  <si>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</si>
  <si>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</si>
  <si>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</si>
  <si>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</si>
  <si>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</si>
  <si>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</si>
  <si>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</si>
  <si>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</si>
  <si>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</si>
  <si>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</si>
  <si>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</si>
  <si>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</si>
  <si>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</si>
  <si>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</si>
  <si>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</si>
  <si>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</si>
  <si>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</si>
  <si>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</si>
  <si>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</si>
  <si>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</si>
  <si>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</si>
  <si>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</si>
  <si>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</si>
  <si>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</si>
  <si>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</si>
  <si>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</si>
  <si>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</si>
  <si>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</si>
  <si>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</si>
  <si>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</si>
  <si>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</si>
  <si>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</si>
  <si>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</si>
  <si>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</si>
  <si>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</si>
  <si>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</si>
  <si>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</si>
  <si>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</si>
  <si>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</si>
  <si>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</si>
  <si>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</si>
  <si>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</si>
  <si>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</si>
  <si>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</si>
  <si>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</si>
  <si>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</si>
  <si>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</si>
  <si>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</si>
  <si>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</si>
  <si>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</si>
  <si>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</si>
  <si>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</si>
  <si>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</si>
  <si>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</si>
  <si>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</si>
  <si>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</si>
  <si>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</si>
  <si>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</si>
  <si>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</si>
  <si>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</si>
  <si>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</si>
  <si>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</si>
  <si>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</si>
  <si>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</si>
  <si>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</si>
  <si>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</si>
  <si>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</si>
  <si>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</si>
  <si>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</si>
  <si>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</si>
  <si>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</si>
  <si>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</si>
  <si>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</si>
  <si>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</si>
  <si>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</si>
  <si>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</si>
  <si>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</si>
  <si>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</si>
  <si>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</si>
  <si>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</si>
  <si>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</si>
  <si>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</si>
  <si>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</si>
  <si>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</si>
  <si>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</si>
  <si>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</si>
  <si>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</si>
  <si>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</si>
  <si>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</si>
  <si>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</si>
  <si>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</si>
  <si>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</si>
  <si>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</si>
  <si>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</si>
  <si>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</si>
  <si>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</si>
  <si>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</si>
  <si>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</si>
  <si>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</si>
  <si>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</si>
  <si>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</si>
  <si>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</si>
  <si>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</si>
  <si>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</si>
  <si>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</si>
  <si>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</si>
  <si>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</si>
  <si>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</si>
  <si>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</si>
  <si>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</si>
  <si>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</si>
  <si>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</si>
  <si>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</si>
  <si>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</si>
  <si>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</si>
  <si>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</si>
  <si>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</si>
  <si>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</si>
  <si>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</si>
  <si>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</si>
  <si>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</si>
  <si>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</si>
  <si>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</si>
  <si>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</si>
  <si>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</si>
  <si>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</si>
  <si>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</si>
  <si>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</si>
  <si>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</si>
  <si>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</si>
  <si>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</si>
  <si>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</si>
  <si>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</si>
  <si>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</si>
  <si>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</si>
  <si>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</si>
  <si>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</si>
  <si>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</si>
  <si>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</si>
  <si>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</si>
  <si>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</si>
  <si>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</si>
  <si>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</si>
  <si>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</si>
  <si>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</si>
  <si>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</si>
  <si>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</si>
  <si>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</si>
  <si>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</si>
  <si>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</si>
  <si>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</si>
  <si>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</si>
  <si>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</si>
  <si>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</si>
  <si>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</si>
  <si>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</si>
  <si>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</si>
  <si>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</si>
  <si>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</si>
  <si>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</si>
  <si>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</si>
  <si>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</si>
  <si>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</si>
  <si>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</si>
  <si>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</si>
  <si>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</si>
  <si>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</si>
  <si>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</si>
  <si>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</si>
  <si>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</si>
  <si>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</si>
  <si>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</si>
  <si>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</si>
  <si>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</si>
  <si>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</si>
  <si>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</si>
  <si>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</si>
  <si>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</si>
  <si>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</si>
  <si>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</si>
  <si>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</si>
  <si>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</si>
  <si>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</si>
  <si>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</si>
  <si>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</si>
  <si>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</si>
  <si>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</si>
  <si>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</si>
  <si>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</si>
  <si>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</si>
  <si>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</si>
  <si>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</si>
  <si>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</si>
  <si>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</si>
  <si>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</si>
  <si>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</si>
  <si>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</si>
  <si>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</si>
  <si>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</si>
  <si>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</si>
  <si>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</si>
  <si>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</si>
  <si>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</si>
  <si>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</si>
  <si>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</si>
  <si>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</si>
  <si>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</si>
  <si>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</si>
  <si>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</si>
  <si>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</si>
  <si>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</si>
  <si>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</si>
  <si>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</si>
  <si>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</si>
  <si>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</si>
  <si>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</si>
  <si>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</si>
  <si>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</si>
  <si>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</si>
  <si>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</si>
  <si>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</si>
  <si>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</si>
  <si>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</si>
  <si>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</si>
  <si>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</si>
  <si>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</si>
  <si>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</si>
  <si>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</si>
  <si>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</si>
  <si>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</si>
  <si>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</si>
  <si>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</si>
  <si>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</si>
  <si>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</si>
  <si>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</si>
  <si>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</si>
  <si>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</si>
  <si>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</si>
  <si>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</si>
  <si>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</si>
  <si>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</si>
  <si>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</si>
  <si>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</si>
  <si>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</si>
  <si>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</si>
  <si>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</si>
  <si>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</si>
  <si>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</si>
  <si>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</si>
  <si>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</si>
  <si>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</si>
  <si>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</si>
  <si>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</si>
  <si>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</si>
  <si>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</si>
  <si>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</si>
  <si>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</si>
  <si>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</si>
  <si>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</si>
  <si>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</si>
  <si>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</si>
  <si>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</si>
  <si>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</si>
  <si>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</si>
  <si>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</si>
  <si>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</si>
  <si>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</si>
  <si>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</si>
  <si>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</si>
  <si>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</si>
  <si>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</si>
  <si>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</si>
  <si>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</si>
  <si>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</si>
  <si>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</si>
  <si>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</si>
  <si>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</si>
  <si>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</si>
  <si>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</si>
  <si>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</si>
  <si>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</si>
  <si>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</si>
  <si>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</si>
  <si>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</si>
  <si>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</si>
  <si>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</si>
  <si>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</si>
  <si>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</si>
  <si>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</si>
  <si>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</si>
  <si>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</si>
  <si>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</si>
  <si>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</si>
  <si>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</si>
  <si>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</si>
  <si>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</si>
  <si>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</si>
  <si>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</si>
  <si>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</si>
  <si>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</si>
  <si>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</si>
  <si>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</si>
  <si>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</si>
  <si>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</si>
  <si>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</si>
  <si>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</si>
  <si>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</si>
  <si>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</si>
  <si>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</si>
  <si>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</si>
  <si>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</si>
  <si>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</si>
  <si>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</si>
  <si>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</si>
  <si>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</si>
  <si>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</si>
  <si>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</si>
  <si>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</si>
  <si>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</si>
  <si>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</si>
  <si>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</si>
  <si>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</si>
  <si>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</si>
  <si>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</si>
  <si>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</si>
  <si>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</si>
  <si>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</si>
  <si>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</si>
  <si>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</si>
  <si>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</si>
  <si>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</si>
  <si>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</si>
  <si>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</si>
  <si>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</si>
  <si>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</si>
  <si>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</si>
  <si>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</si>
  <si>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</si>
  <si>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</si>
  <si>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</si>
  <si>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</si>
  <si>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</si>
  <si>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</si>
  <si>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</si>
  <si>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</si>
  <si>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</si>
  <si>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</si>
  <si>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</si>
  <si>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</si>
  <si>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</si>
  <si>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</si>
  <si>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</si>
  <si>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</si>
  <si>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</si>
  <si>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</si>
  <si>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</si>
  <si>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</si>
  <si>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</si>
  <si>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</si>
  <si>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</si>
  <si>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</si>
  <si>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</si>
  <si>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</si>
  <si>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</si>
  <si>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</si>
  <si>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</si>
  <si>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</si>
  <si>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</si>
  <si>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</si>
  <si>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</si>
  <si>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</si>
  <si>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</si>
  <si>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</si>
  <si>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</si>
  <si>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</si>
  <si>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</si>
  <si>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</si>
  <si>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</si>
  <si>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</si>
  <si>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</si>
  <si>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</si>
  <si>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</si>
  <si>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</si>
  <si>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</si>
  <si>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</si>
  <si>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</si>
  <si>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</si>
  <si>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</si>
  <si>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</si>
  <si>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</si>
  <si>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</si>
  <si>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</si>
  <si>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</si>
  <si>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</si>
  <si>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</si>
  <si>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</si>
  <si>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</si>
  <si>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</si>
  <si>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</si>
  <si>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</si>
  <si>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</si>
  <si>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</si>
  <si>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</si>
  <si>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</si>
  <si>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</si>
  <si>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</si>
  <si>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</si>
  <si>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</si>
  <si>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</si>
  <si>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</si>
  <si>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</si>
  <si>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</si>
  <si>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</si>
  <si>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</si>
  <si>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</si>
  <si>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</si>
  <si>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</si>
  <si>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</si>
  <si>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</si>
  <si>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</si>
  <si>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</si>
  <si>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</si>
  <si>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</si>
  <si>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</si>
  <si>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</si>
  <si>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</si>
  <si>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</si>
  <si>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</si>
  <si>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</si>
  <si>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</si>
  <si>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</si>
  <si>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</si>
  <si>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</si>
  <si>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</si>
  <si>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</si>
  <si>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</si>
  <si>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</si>
  <si>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</si>
  <si>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</si>
  <si>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</si>
  <si>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</si>
  <si>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</si>
  <si>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</si>
  <si>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</si>
  <si>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</si>
  <si>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</si>
  <si>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</si>
  <si>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</si>
  <si>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</si>
  <si>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</si>
  <si>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</si>
  <si>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</si>
  <si>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</si>
  <si>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</si>
  <si>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</si>
  <si>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</si>
  <si>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</si>
  <si>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</si>
  <si>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</si>
  <si>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</si>
  <si>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</si>
  <si>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</si>
  <si>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</si>
  <si>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</si>
  <si>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</si>
  <si>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</si>
  <si>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</si>
  <si>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</si>
  <si>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</si>
  <si>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Ponto1</t>
  </si>
  <si>
    <t>Ponto2</t>
  </si>
  <si>
    <t>Ponto3</t>
  </si>
  <si>
    <t>Ponto4</t>
  </si>
  <si>
    <t>Ponto5</t>
  </si>
  <si>
    <t>Ponto6</t>
  </si>
  <si>
    <t>Ponto7</t>
  </si>
  <si>
    <t>Ponto8</t>
  </si>
  <si>
    <t>Ponto9</t>
  </si>
  <si>
    <t>Ponto10</t>
  </si>
  <si>
    <t>Ponto11</t>
  </si>
  <si>
    <t>Ponto12</t>
  </si>
  <si>
    <t>Ponto13</t>
  </si>
  <si>
    <t>Ponto14</t>
  </si>
  <si>
    <t>Ônibus</t>
  </si>
  <si>
    <t>Distâncias de condução do Bing Maps (km) / Velocidade média do veículo</t>
  </si>
  <si>
    <t>V1</t>
  </si>
  <si>
    <t>Escola4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</si>
</sst>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mm"/>
    <numFmt numFmtId="170" formatCode="h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0" fontId="22" fillId="2" borderId="0" xfId="0" applyFont="1" applyFill="1" applyBorder="1"/>
    <xf numFmtId="0" fontId="22" fillId="2" borderId="17" xfId="0" applyFont="1" applyFill="1" applyBorder="1"/>
    <xf numFmtId="0" fontId="22" fillId="2" borderId="1" xfId="0" applyFont="1" applyFill="1" applyBorder="1"/>
    <xf numFmtId="0" fontId="22" fillId="2" borderId="15" xfId="0" applyFont="1" applyFill="1" applyBorder="1"/>
    <xf numFmtId="165" fontId="22" fillId="36" borderId="15" xfId="0" applyNumberFormat="1" applyFont="1" applyFill="1" applyBorder="1"/>
    <xf numFmtId="165"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0" fontId="22" fillId="2" borderId="18" xfId="0" applyFont="1" applyFill="1" applyBorder="1"/>
    <xf numFmtId="165" fontId="22" fillId="2" borderId="18"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0" fontId="29" fillId="38" borderId="16" xfId="0" applyFont="1" applyFill="1" applyBorder="1"/>
    <xf numFmtId="2" fontId="22" fillId="37" borderId="0" xfId="0" applyNumberFormat="1" applyFont="1" applyFill="1" applyBorder="1"/>
    <xf numFmtId="165" fontId="22" fillId="37" borderId="0"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9" fillId="38" borderId="0" xfId="0" applyFont="1" applyFill="1" applyBorder="1"/>
    <xf numFmtId="2"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5"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5" fontId="29" fillId="38" borderId="15" xfId="0" applyNumberFormat="1"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170" fontId="21" fillId="0" borderId="0" xfId="0" applyNumberFormat="1" applyFont="1"/>
    <xf numFmtId="165" fontId="22" fillId="37" borderId="1" xfId="0" applyNumberFormat="1" applyFont="1" applyFill="1" applyBorder="1"/>
    <xf numFmtId="0" fontId="22" fillId="36" borderId="21" xfId="0" applyFont="1" applyFill="1" applyBorder="1"/>
    <xf numFmtId="164" fontId="22" fillId="36" borderId="21" xfId="0" applyNumberFormat="1" applyFont="1" applyFill="1" applyBorder="1"/>
    <xf numFmtId="170" fontId="22" fillId="36" borderId="18" xfId="0" applyNumberFormat="1" applyFont="1" applyFill="1" applyBorder="1"/>
    <xf numFmtId="170" fontId="22" fillId="37" borderId="19" xfId="0" applyNumberFormat="1" applyFont="1" applyFill="1" applyBorder="1"/>
    <xf numFmtId="170" fontId="22" fillId="36" borderId="20" xfId="0" applyNumberFormat="1" applyFont="1" applyFill="1" applyBorder="1"/>
    <xf numFmtId="170" fontId="22" fillId="37" borderId="20" xfId="0" applyNumberFormat="1" applyFont="1" applyFill="1" applyBorder="1"/>
    <xf numFmtId="170" fontId="22" fillId="36" borderId="21" xfId="0" applyNumberFormat="1" applyFont="1" applyFill="1" applyBorder="1"/>
    <xf numFmtId="165" fontId="22" fillId="36" borderId="21" xfId="0" applyNumberFormat="1" applyFont="1" applyFill="1" applyBorder="1"/>
    <xf numFmtId="2" fontId="22" fillId="37" borderId="1" xfId="0" applyNumberFormat="1" applyFont="1" applyFill="1" applyBorder="1"/>
    <xf numFmtId="170" fontId="22" fillId="34" borderId="16" xfId="0" applyNumberFormat="1" applyFont="1" applyFill="1" applyBorder="1"/>
    <xf numFmtId="170" fontId="29" fillId="38" borderId="0" xfId="0" applyNumberFormat="1" applyFont="1" applyFill="1" applyBorder="1"/>
    <xf numFmtId="170" fontId="29" fillId="38" borderId="1" xfId="0" applyNumberFormat="1" applyFont="1" applyFill="1" applyBorder="1"/>
    <xf numFmtId="0" fontId="29" fillId="39" borderId="1" xfId="0" applyFont="1" applyFill="1" applyBorder="1"/>
    <xf numFmtId="170" fontId="29" fillId="38" borderId="15" xfId="0" applyNumberFormat="1"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16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8.0000000000000002E-3"/>
          <c:y val="1.020408163265306E-2"/>
          <c:w val="0.77200000000000002"/>
          <c:h val="0.98469387755102045"/>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759F-4D5D-BFFA-F125E9C033F8}"/>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759F-4D5D-BFFA-F125E9C033F8}"/>
              </c:ext>
            </c:extLst>
          </c:dPt>
          <c:dPt>
            <c:idx val="2"/>
            <c:marker>
              <c:spPr>
                <a:solidFill>
                  <a:srgbClr val="339966"/>
                </a:solidFill>
                <a:ln>
                  <a:solidFill>
                    <a:srgbClr val="339966"/>
                  </a:solidFill>
                  <a:prstDash val="solid"/>
                </a:ln>
              </c:spPr>
            </c:marker>
            <c:bubble3D val="0"/>
            <c:extLst>
              <c:ext xmlns:c16="http://schemas.microsoft.com/office/drawing/2014/chart" uri="{C3380CC4-5D6E-409C-BE32-E72D297353CC}">
                <c16:uniqueId val="{00000003-759F-4D5D-BFFA-F125E9C033F8}"/>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759F-4D5D-BFFA-F125E9C033F8}"/>
              </c:ext>
            </c:extLst>
          </c:dPt>
          <c:dPt>
            <c:idx val="4"/>
            <c:marker>
              <c:spPr>
                <a:solidFill>
                  <a:srgbClr val="339966"/>
                </a:solidFill>
                <a:ln>
                  <a:solidFill>
                    <a:srgbClr val="339966"/>
                  </a:solidFill>
                  <a:prstDash val="solid"/>
                </a:ln>
              </c:spPr>
            </c:marker>
            <c:bubble3D val="0"/>
            <c:extLst>
              <c:ext xmlns:c16="http://schemas.microsoft.com/office/drawing/2014/chart" uri="{C3380CC4-5D6E-409C-BE32-E72D297353CC}">
                <c16:uniqueId val="{00000005-759F-4D5D-BFFA-F125E9C033F8}"/>
              </c:ext>
            </c:extLst>
          </c:dPt>
          <c:dPt>
            <c:idx val="5"/>
            <c:marker>
              <c:spPr>
                <a:solidFill>
                  <a:srgbClr val="339966"/>
                </a:solidFill>
                <a:ln>
                  <a:solidFill>
                    <a:srgbClr val="339966"/>
                  </a:solidFill>
                  <a:prstDash val="solid"/>
                </a:ln>
              </c:spPr>
            </c:marker>
            <c:bubble3D val="0"/>
            <c:extLst>
              <c:ext xmlns:c16="http://schemas.microsoft.com/office/drawing/2014/chart" uri="{C3380CC4-5D6E-409C-BE32-E72D297353CC}">
                <c16:uniqueId val="{00000006-759F-4D5D-BFFA-F125E9C033F8}"/>
              </c:ext>
            </c:extLst>
          </c:dPt>
          <c:dPt>
            <c:idx val="6"/>
            <c:marker>
              <c:spPr>
                <a:solidFill>
                  <a:srgbClr val="339966"/>
                </a:solidFill>
                <a:ln>
                  <a:solidFill>
                    <a:srgbClr val="339966"/>
                  </a:solidFill>
                  <a:prstDash val="solid"/>
                </a:ln>
              </c:spPr>
            </c:marker>
            <c:bubble3D val="0"/>
            <c:extLst>
              <c:ext xmlns:c16="http://schemas.microsoft.com/office/drawing/2014/chart" uri="{C3380CC4-5D6E-409C-BE32-E72D297353CC}">
                <c16:uniqueId val="{00000007-759F-4D5D-BFFA-F125E9C033F8}"/>
              </c:ext>
            </c:extLst>
          </c:dPt>
          <c:dPt>
            <c:idx val="7"/>
            <c:marker>
              <c:spPr>
                <a:solidFill>
                  <a:srgbClr val="339966"/>
                </a:solidFill>
                <a:ln>
                  <a:solidFill>
                    <a:srgbClr val="339966"/>
                  </a:solidFill>
                  <a:prstDash val="solid"/>
                </a:ln>
              </c:spPr>
            </c:marker>
            <c:bubble3D val="0"/>
            <c:extLst>
              <c:ext xmlns:c16="http://schemas.microsoft.com/office/drawing/2014/chart" uri="{C3380CC4-5D6E-409C-BE32-E72D297353CC}">
                <c16:uniqueId val="{00000008-759F-4D5D-BFFA-F125E9C033F8}"/>
              </c:ext>
            </c:extLst>
          </c:dPt>
          <c:dPt>
            <c:idx val="8"/>
            <c:marker>
              <c:spPr>
                <a:solidFill>
                  <a:srgbClr val="339966"/>
                </a:solidFill>
                <a:ln>
                  <a:solidFill>
                    <a:srgbClr val="339966"/>
                  </a:solidFill>
                  <a:prstDash val="solid"/>
                </a:ln>
              </c:spPr>
            </c:marker>
            <c:bubble3D val="0"/>
            <c:extLst>
              <c:ext xmlns:c16="http://schemas.microsoft.com/office/drawing/2014/chart" uri="{C3380CC4-5D6E-409C-BE32-E72D297353CC}">
                <c16:uniqueId val="{00000009-759F-4D5D-BFFA-F125E9C033F8}"/>
              </c:ext>
            </c:extLst>
          </c:dPt>
          <c:dPt>
            <c:idx val="9"/>
            <c:marker>
              <c:spPr>
                <a:solidFill>
                  <a:srgbClr val="339966"/>
                </a:solidFill>
                <a:ln>
                  <a:solidFill>
                    <a:srgbClr val="339966"/>
                  </a:solidFill>
                  <a:prstDash val="solid"/>
                </a:ln>
              </c:spPr>
            </c:marker>
            <c:bubble3D val="0"/>
            <c:extLst>
              <c:ext xmlns:c16="http://schemas.microsoft.com/office/drawing/2014/chart" uri="{C3380CC4-5D6E-409C-BE32-E72D297353CC}">
                <c16:uniqueId val="{0000000A-759F-4D5D-BFFA-F125E9C033F8}"/>
              </c:ext>
            </c:extLst>
          </c:dPt>
          <c:dPt>
            <c:idx val="10"/>
            <c:marker>
              <c:spPr>
                <a:solidFill>
                  <a:srgbClr val="339966"/>
                </a:solidFill>
                <a:ln>
                  <a:solidFill>
                    <a:srgbClr val="339966"/>
                  </a:solidFill>
                  <a:prstDash val="solid"/>
                </a:ln>
              </c:spPr>
            </c:marker>
            <c:bubble3D val="0"/>
            <c:extLst>
              <c:ext xmlns:c16="http://schemas.microsoft.com/office/drawing/2014/chart" uri="{C3380CC4-5D6E-409C-BE32-E72D297353CC}">
                <c16:uniqueId val="{0000000B-759F-4D5D-BFFA-F125E9C033F8}"/>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759F-4D5D-BFFA-F125E9C033F8}"/>
              </c:ext>
            </c:extLst>
          </c:dPt>
          <c:dPt>
            <c:idx val="12"/>
            <c:marker>
              <c:spPr>
                <a:solidFill>
                  <a:srgbClr val="339966"/>
                </a:solidFill>
                <a:ln>
                  <a:solidFill>
                    <a:srgbClr val="339966"/>
                  </a:solidFill>
                  <a:prstDash val="solid"/>
                </a:ln>
              </c:spPr>
            </c:marker>
            <c:bubble3D val="0"/>
            <c:extLst>
              <c:ext xmlns:c16="http://schemas.microsoft.com/office/drawing/2014/chart" uri="{C3380CC4-5D6E-409C-BE32-E72D297353CC}">
                <c16:uniqueId val="{0000000D-759F-4D5D-BFFA-F125E9C033F8}"/>
              </c:ext>
            </c:extLst>
          </c:dPt>
          <c:dPt>
            <c:idx val="13"/>
            <c:marker>
              <c:spPr>
                <a:solidFill>
                  <a:srgbClr val="339966"/>
                </a:solidFill>
                <a:ln>
                  <a:solidFill>
                    <a:srgbClr val="339966"/>
                  </a:solidFill>
                  <a:prstDash val="solid"/>
                </a:ln>
              </c:spPr>
            </c:marker>
            <c:bubble3D val="0"/>
            <c:extLst>
              <c:ext xmlns:c16="http://schemas.microsoft.com/office/drawing/2014/chart" uri="{C3380CC4-5D6E-409C-BE32-E72D297353CC}">
                <c16:uniqueId val="{0000000E-759F-4D5D-BFFA-F125E9C033F8}"/>
              </c:ext>
            </c:extLst>
          </c:dPt>
          <c:dPt>
            <c:idx val="14"/>
            <c:marker>
              <c:spPr>
                <a:solidFill>
                  <a:srgbClr val="339966"/>
                </a:solidFill>
                <a:ln>
                  <a:solidFill>
                    <a:srgbClr val="339966"/>
                  </a:solidFill>
                  <a:prstDash val="solid"/>
                </a:ln>
              </c:spPr>
            </c:marker>
            <c:bubble3D val="0"/>
            <c:extLst>
              <c:ext xmlns:c16="http://schemas.microsoft.com/office/drawing/2014/chart" uri="{C3380CC4-5D6E-409C-BE32-E72D297353CC}">
                <c16:uniqueId val="{0000000F-759F-4D5D-BFFA-F125E9C033F8}"/>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59F-4D5D-BFFA-F125E9C033F8}"/>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59F-4D5D-BFFA-F125E9C033F8}"/>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59F-4D5D-BFFA-F125E9C033F8}"/>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59F-4D5D-BFFA-F125E9C033F8}"/>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59F-4D5D-BFFA-F125E9C033F8}"/>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759F-4D5D-BFFA-F125E9C033F8}"/>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59F-4D5D-BFFA-F125E9C033F8}"/>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759F-4D5D-BFFA-F125E9C033F8}"/>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59F-4D5D-BFFA-F125E9C033F8}"/>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759F-4D5D-BFFA-F125E9C033F8}"/>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759F-4D5D-BFFA-F125E9C033F8}"/>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759F-4D5D-BFFA-F125E9C033F8}"/>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759F-4D5D-BFFA-F125E9C033F8}"/>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759F-4D5D-BFFA-F125E9C033F8}"/>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759F-4D5D-BFFA-F125E9C033F8}"/>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Locais'!$E$2:$E$16</c:f>
              <c:numCache>
                <c:formatCode>0.0000000</c:formatCode>
                <c:ptCount val="15"/>
                <c:pt idx="0">
                  <c:v>-48.292639999999999</c:v>
                </c:pt>
                <c:pt idx="1">
                  <c:v>-48.296286299999998</c:v>
                </c:pt>
                <c:pt idx="2">
                  <c:v>-48.290872700000001</c:v>
                </c:pt>
                <c:pt idx="3">
                  <c:v>-48.292353200000001</c:v>
                </c:pt>
                <c:pt idx="4">
                  <c:v>-48.3029917</c:v>
                </c:pt>
                <c:pt idx="5">
                  <c:v>-48.305738300000002</c:v>
                </c:pt>
                <c:pt idx="6">
                  <c:v>-48.307933800000001</c:v>
                </c:pt>
                <c:pt idx="7">
                  <c:v>-48.300898400000001</c:v>
                </c:pt>
                <c:pt idx="8">
                  <c:v>-48.297883400000003</c:v>
                </c:pt>
                <c:pt idx="9">
                  <c:v>-48.297954799999999</c:v>
                </c:pt>
                <c:pt idx="10">
                  <c:v>-48.294329599999998</c:v>
                </c:pt>
                <c:pt idx="11">
                  <c:v>-48.292371699999997</c:v>
                </c:pt>
                <c:pt idx="12">
                  <c:v>-48.292281799999998</c:v>
                </c:pt>
                <c:pt idx="13">
                  <c:v>-48.298534799999999</c:v>
                </c:pt>
                <c:pt idx="14">
                  <c:v>-48.298161200000003</c:v>
                </c:pt>
              </c:numCache>
            </c:numRef>
          </c:xVal>
          <c:yVal>
            <c:numRef>
              <c:f>'1. Locais'!$D$2:$D$16</c:f>
              <c:numCache>
                <c:formatCode>0.0000000</c:formatCode>
                <c:ptCount val="15"/>
                <c:pt idx="0">
                  <c:v>-10.33446</c:v>
                </c:pt>
                <c:pt idx="1">
                  <c:v>-10.341279</c:v>
                </c:pt>
                <c:pt idx="2">
                  <c:v>-10.347388</c:v>
                </c:pt>
                <c:pt idx="3">
                  <c:v>-10.353340599999999</c:v>
                </c:pt>
                <c:pt idx="4">
                  <c:v>-10.3614183</c:v>
                </c:pt>
                <c:pt idx="5">
                  <c:v>-10.352461999999999</c:v>
                </c:pt>
                <c:pt idx="6">
                  <c:v>-10.360037</c:v>
                </c:pt>
                <c:pt idx="7">
                  <c:v>-10.3532926</c:v>
                </c:pt>
                <c:pt idx="8">
                  <c:v>-10.348992300000001</c:v>
                </c:pt>
                <c:pt idx="9">
                  <c:v>-10.348630099999999</c:v>
                </c:pt>
                <c:pt idx="10">
                  <c:v>-10.348596300000001</c:v>
                </c:pt>
                <c:pt idx="11">
                  <c:v>-10.3417335</c:v>
                </c:pt>
                <c:pt idx="12">
                  <c:v>-10.337954099999999</c:v>
                </c:pt>
                <c:pt idx="13">
                  <c:v>-10.333815100000001</c:v>
                </c:pt>
                <c:pt idx="14">
                  <c:v>-10.329828300000001</c:v>
                </c:pt>
              </c:numCache>
            </c:numRef>
          </c:yVal>
          <c:smooth val="0"/>
          <c:extLst>
            <c:ext xmlns:c16="http://schemas.microsoft.com/office/drawing/2014/chart" uri="{C3380CC4-5D6E-409C-BE32-E72D297353CC}">
              <c16:uniqueId val="{00000000-759F-4D5D-BFFA-F125E9C033F8}"/>
            </c:ext>
          </c:extLst>
        </c:ser>
        <c:ser>
          <c:idx val="1"/>
          <c:order val="1"/>
          <c:tx>
            <c:strRef>
              <c:f>'4. Solução'!$B$3</c:f>
              <c:strCache>
                <c:ptCount val="1"/>
                <c:pt idx="0">
                  <c:v>V1</c:v>
                </c:pt>
              </c:strCache>
            </c:strRef>
          </c:tx>
          <c:spPr>
            <a:ln w="22225"/>
          </c:spPr>
          <c:marker>
            <c:symbol val="none"/>
          </c:marker>
          <c:xVal>
            <c:numRef>
              <c:f>'4. Solução'!$E$5:$E$20</c:f>
              <c:numCache>
                <c:formatCode>General</c:formatCode>
                <c:ptCount val="16"/>
                <c:pt idx="0">
                  <c:v>-48.292639999999999</c:v>
                </c:pt>
                <c:pt idx="1">
                  <c:v>-48.292281799999998</c:v>
                </c:pt>
                <c:pt idx="2">
                  <c:v>-48.290872700000001</c:v>
                </c:pt>
                <c:pt idx="3">
                  <c:v>-48.292353200000001</c:v>
                </c:pt>
                <c:pt idx="4">
                  <c:v>-48.3029917</c:v>
                </c:pt>
                <c:pt idx="5">
                  <c:v>-48.305738300000002</c:v>
                </c:pt>
                <c:pt idx="6">
                  <c:v>-48.307933800000001</c:v>
                </c:pt>
                <c:pt idx="7">
                  <c:v>-48.300898400000001</c:v>
                </c:pt>
                <c:pt idx="8">
                  <c:v>-48.297883400000003</c:v>
                </c:pt>
                <c:pt idx="9">
                  <c:v>-48.297954799999999</c:v>
                </c:pt>
                <c:pt idx="10">
                  <c:v>-48.294329599999998</c:v>
                </c:pt>
                <c:pt idx="11">
                  <c:v>-48.292371699999997</c:v>
                </c:pt>
                <c:pt idx="12">
                  <c:v>-48.296286299999998</c:v>
                </c:pt>
                <c:pt idx="13">
                  <c:v>-48.298534799999999</c:v>
                </c:pt>
                <c:pt idx="14">
                  <c:v>-48.298161200000003</c:v>
                </c:pt>
                <c:pt idx="15">
                  <c:v>-48.292639999999999</c:v>
                </c:pt>
              </c:numCache>
            </c:numRef>
          </c:xVal>
          <c:yVal>
            <c:numRef>
              <c:f>'4. Solução'!$D$5:$D$20</c:f>
              <c:numCache>
                <c:formatCode>General</c:formatCode>
                <c:ptCount val="16"/>
                <c:pt idx="0">
                  <c:v>-10.33446</c:v>
                </c:pt>
                <c:pt idx="1">
                  <c:v>-10.337954099999999</c:v>
                </c:pt>
                <c:pt idx="2">
                  <c:v>-10.347388</c:v>
                </c:pt>
                <c:pt idx="3">
                  <c:v>-10.353340599999999</c:v>
                </c:pt>
                <c:pt idx="4">
                  <c:v>-10.3614183</c:v>
                </c:pt>
                <c:pt idx="5">
                  <c:v>-10.352461999999999</c:v>
                </c:pt>
                <c:pt idx="6">
                  <c:v>-10.360037</c:v>
                </c:pt>
                <c:pt idx="7">
                  <c:v>-10.3532926</c:v>
                </c:pt>
                <c:pt idx="8">
                  <c:v>-10.348992300000001</c:v>
                </c:pt>
                <c:pt idx="9">
                  <c:v>-10.348630099999999</c:v>
                </c:pt>
                <c:pt idx="10">
                  <c:v>-10.348596300000001</c:v>
                </c:pt>
                <c:pt idx="11">
                  <c:v>-10.3417335</c:v>
                </c:pt>
                <c:pt idx="12">
                  <c:v>-10.341279</c:v>
                </c:pt>
                <c:pt idx="13">
                  <c:v>-10.333815100000001</c:v>
                </c:pt>
                <c:pt idx="14">
                  <c:v>-10.329828300000001</c:v>
                </c:pt>
                <c:pt idx="15">
                  <c:v>-10.33446</c:v>
                </c:pt>
              </c:numCache>
            </c:numRef>
          </c:yVal>
          <c:smooth val="0"/>
          <c:extLst>
            <c:ext xmlns:c16="http://schemas.microsoft.com/office/drawing/2014/chart" uri="{C3380CC4-5D6E-409C-BE32-E72D297353CC}">
              <c16:uniqueId val="{00000010-759F-4D5D-BFFA-F125E9C033F8}"/>
            </c:ext>
          </c:extLst>
        </c:ser>
        <c:dLbls>
          <c:showLegendKey val="0"/>
          <c:showVal val="0"/>
          <c:showCatName val="0"/>
          <c:showSerName val="0"/>
          <c:showPercent val="0"/>
          <c:showBubbleSize val="0"/>
        </c:dLbls>
        <c:axId val="1555498016"/>
        <c:axId val="1555499264"/>
      </c:scatterChart>
      <c:valAx>
        <c:axId val="1555498016"/>
        <c:scaling>
          <c:orientation val="minMax"/>
          <c:max val="-48.269891738891602"/>
          <c:min val="-48.324823379516602"/>
        </c:scaling>
        <c:delete val="1"/>
        <c:axPos val="b"/>
        <c:numFmt formatCode="0.0000000" sourceLinked="1"/>
        <c:majorTickMark val="out"/>
        <c:minorTickMark val="none"/>
        <c:tickLblPos val="nextTo"/>
        <c:crossAx val="1555499264"/>
        <c:crosses val="autoZero"/>
        <c:crossBetween val="midCat"/>
      </c:valAx>
      <c:valAx>
        <c:axId val="1555499264"/>
        <c:scaling>
          <c:orientation val="minMax"/>
          <c:max val="-10.319225876442371"/>
          <c:min val="-10.373264348478246"/>
        </c:scaling>
        <c:delete val="1"/>
        <c:axPos val="l"/>
        <c:numFmt formatCode="0.0000000" sourceLinked="1"/>
        <c:majorTickMark val="out"/>
        <c:minorTickMark val="none"/>
        <c:tickLblPos val="nextTo"/>
        <c:crossAx val="1555498016"/>
        <c:crosses val="autoZero"/>
        <c:crossBetween val="midCat"/>
      </c:valAx>
      <c:spPr>
        <a:blipFill dpi="0" rotWithShape="1">
          <a:blip xmlns:r="http://schemas.openxmlformats.org/officeDocument/2006/relationships" r:embed="rId1">
            <a:alphaModFix amt="50000"/>
          </a:blip>
          <a:srcRect/>
          <a:stretch>
            <a:fillRect/>
          </a:stretch>
        </a:blipFill>
        <a:ln w="12700">
          <a:solidFill>
            <a:srgbClr val="FFFFFF"/>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10</xdr:col>
      <xdr:colOff>254000</xdr:colOff>
      <xdr:row>26</xdr:row>
      <xdr:rowOff>25400</xdr:rowOff>
    </xdr:to>
    <xdr:graphicFrame macro="">
      <xdr:nvGraphicFramePr>
        <xdr:cNvPr id="2" name="Gráfico 1">
          <a:extLst>
            <a:ext uri="{FF2B5EF4-FFF2-40B4-BE49-F238E27FC236}">
              <a16:creationId xmlns:a16="http://schemas.microsoft.com/office/drawing/2014/main" id="{6BD26EE7-0A3F-484A-B508-95AE877E737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9" sqref="C9"/>
    </sheetView>
  </sheetViews>
  <sheetFormatPr defaultRowHeight="15" x14ac:dyDescent="0.25"/>
  <cols>
    <col min="1" max="1" width="23.7109375" bestFit="1" customWidth="1"/>
    <col min="2" max="2" width="37.7109375" bestFit="1" customWidth="1"/>
    <col min="3" max="3" width="72" bestFit="1"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14</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572A6C-00BB-44A1-8427-223DBA95A315}">
  <dimension ref="A1:L16"/>
  <sheetViews>
    <sheetView tabSelected="1" topLeftCell="B1" workbookViewId="0">
      <selection activeCell="D2" sqref="D2:E16"/>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63" t="s">
        <v>1144</v>
      </c>
      <c r="B1" s="26" t="s">
        <v>197</v>
      </c>
      <c r="C1" s="26" t="s">
        <v>1099</v>
      </c>
      <c r="D1" s="26" t="s">
        <v>552</v>
      </c>
      <c r="E1" s="26" t="s">
        <v>559</v>
      </c>
      <c r="F1" s="26" t="s">
        <v>1642</v>
      </c>
      <c r="G1" s="26" t="s">
        <v>1641</v>
      </c>
      <c r="H1" s="26" t="s">
        <v>1153</v>
      </c>
      <c r="I1" s="26" t="s">
        <v>1623</v>
      </c>
      <c r="J1" s="26" t="s">
        <v>1609</v>
      </c>
      <c r="K1" s="26" t="s">
        <v>1117</v>
      </c>
      <c r="L1" s="26" t="s">
        <v>202</v>
      </c>
    </row>
    <row r="2" spans="1:12" ht="15.75" thickBot="1" x14ac:dyDescent="0.3">
      <c r="A2" s="20">
        <v>0</v>
      </c>
      <c r="B2" s="27" t="s">
        <v>4020</v>
      </c>
      <c r="C2" s="27"/>
      <c r="D2" s="31">
        <v>-10.33446</v>
      </c>
      <c r="E2" s="31">
        <v>-48.292639999999999</v>
      </c>
      <c r="F2" s="67">
        <v>0</v>
      </c>
      <c r="G2" s="67">
        <v>0.99930555555555556</v>
      </c>
      <c r="H2" s="38" t="s">
        <v>1628</v>
      </c>
      <c r="I2" s="39">
        <v>0</v>
      </c>
      <c r="J2" s="38">
        <v>0</v>
      </c>
      <c r="K2" s="38">
        <v>0</v>
      </c>
      <c r="L2" s="38">
        <v>0</v>
      </c>
    </row>
    <row r="3" spans="1:12" ht="15.75" thickTop="1" x14ac:dyDescent="0.25">
      <c r="A3" s="21">
        <v>1</v>
      </c>
      <c r="B3" s="28" t="s">
        <v>4003</v>
      </c>
      <c r="C3" s="28"/>
      <c r="D3" s="32">
        <v>-10.341279</v>
      </c>
      <c r="E3" s="32">
        <v>-48.296286299999998</v>
      </c>
      <c r="F3" s="68">
        <v>0</v>
      </c>
      <c r="G3" s="68">
        <v>0.99930555555555556</v>
      </c>
      <c r="H3" s="28" t="s">
        <v>1152</v>
      </c>
      <c r="I3" s="35">
        <v>0</v>
      </c>
      <c r="J3" s="28">
        <v>2</v>
      </c>
      <c r="K3" s="28">
        <v>0</v>
      </c>
      <c r="L3" s="28">
        <v>0</v>
      </c>
    </row>
    <row r="4" spans="1:12" ht="15.75" thickBot="1" x14ac:dyDescent="0.3">
      <c r="A4" s="23">
        <v>2</v>
      </c>
      <c r="B4" s="29" t="s">
        <v>4004</v>
      </c>
      <c r="C4" s="29"/>
      <c r="D4" s="33">
        <v>-10.347388</v>
      </c>
      <c r="E4" s="33">
        <v>-48.290872700000001</v>
      </c>
      <c r="F4" s="69">
        <v>0</v>
      </c>
      <c r="G4" s="69">
        <v>0.99930555555555556</v>
      </c>
      <c r="H4" s="29" t="s">
        <v>1152</v>
      </c>
      <c r="I4" s="36">
        <v>0</v>
      </c>
      <c r="J4" s="29">
        <v>2</v>
      </c>
      <c r="K4" s="29">
        <v>0</v>
      </c>
      <c r="L4" s="29">
        <v>0</v>
      </c>
    </row>
    <row r="5" spans="1:12" ht="15.75" thickTop="1" x14ac:dyDescent="0.25">
      <c r="A5" s="23">
        <v>3</v>
      </c>
      <c r="B5" s="28" t="s">
        <v>4005</v>
      </c>
      <c r="C5" s="30"/>
      <c r="D5" s="34">
        <v>-10.353340599999999</v>
      </c>
      <c r="E5" s="34">
        <v>-48.292353200000001</v>
      </c>
      <c r="F5" s="70">
        <v>0</v>
      </c>
      <c r="G5" s="70">
        <v>0.99930555555555556</v>
      </c>
      <c r="H5" s="30" t="s">
        <v>1152</v>
      </c>
      <c r="I5" s="37">
        <v>0</v>
      </c>
      <c r="J5" s="30">
        <v>1</v>
      </c>
      <c r="K5" s="30">
        <v>0</v>
      </c>
      <c r="L5" s="30">
        <v>0</v>
      </c>
    </row>
    <row r="6" spans="1:12" ht="15.75" thickBot="1" x14ac:dyDescent="0.3">
      <c r="A6" s="23">
        <v>4</v>
      </c>
      <c r="B6" s="29" t="s">
        <v>4006</v>
      </c>
      <c r="C6" s="29"/>
      <c r="D6" s="33">
        <v>-10.3614183</v>
      </c>
      <c r="E6" s="33">
        <v>-48.3029917</v>
      </c>
      <c r="F6" s="69">
        <v>0</v>
      </c>
      <c r="G6" s="69">
        <v>0.99930555555555556</v>
      </c>
      <c r="H6" s="29" t="s">
        <v>1152</v>
      </c>
      <c r="I6" s="36">
        <v>0</v>
      </c>
      <c r="J6" s="29">
        <v>1</v>
      </c>
      <c r="K6" s="29">
        <v>0</v>
      </c>
      <c r="L6" s="29">
        <v>0</v>
      </c>
    </row>
    <row r="7" spans="1:12" ht="15.75" thickTop="1" x14ac:dyDescent="0.25">
      <c r="A7" s="23">
        <v>5</v>
      </c>
      <c r="B7" s="28" t="s">
        <v>4007</v>
      </c>
      <c r="C7" s="30"/>
      <c r="D7" s="34">
        <v>-10.352461999999999</v>
      </c>
      <c r="E7" s="34">
        <v>-48.305738300000002</v>
      </c>
      <c r="F7" s="70">
        <v>0</v>
      </c>
      <c r="G7" s="70">
        <v>0.99930555555555556</v>
      </c>
      <c r="H7" s="30" t="s">
        <v>1152</v>
      </c>
      <c r="I7" s="37">
        <v>0</v>
      </c>
      <c r="J7" s="30">
        <v>3</v>
      </c>
      <c r="K7" s="30">
        <v>0</v>
      </c>
      <c r="L7" s="30">
        <v>0</v>
      </c>
    </row>
    <row r="8" spans="1:12" ht="15.75" thickBot="1" x14ac:dyDescent="0.3">
      <c r="A8" s="23">
        <v>6</v>
      </c>
      <c r="B8" s="29" t="s">
        <v>4008</v>
      </c>
      <c r="C8" s="29"/>
      <c r="D8" s="33">
        <v>-10.360037</v>
      </c>
      <c r="E8" s="33">
        <v>-48.307933800000001</v>
      </c>
      <c r="F8" s="69">
        <v>0</v>
      </c>
      <c r="G8" s="69">
        <v>0.99930555555555556</v>
      </c>
      <c r="H8" s="29" t="s">
        <v>1152</v>
      </c>
      <c r="I8" s="36">
        <v>0</v>
      </c>
      <c r="J8" s="29">
        <v>1</v>
      </c>
      <c r="K8" s="29">
        <v>0</v>
      </c>
      <c r="L8" s="29">
        <v>0</v>
      </c>
    </row>
    <row r="9" spans="1:12" ht="15.75" thickTop="1" x14ac:dyDescent="0.25">
      <c r="A9" s="23">
        <v>7</v>
      </c>
      <c r="B9" s="28" t="s">
        <v>4009</v>
      </c>
      <c r="C9" s="30"/>
      <c r="D9" s="34">
        <v>-10.3532926</v>
      </c>
      <c r="E9" s="34">
        <v>-48.300898400000001</v>
      </c>
      <c r="F9" s="70">
        <v>0</v>
      </c>
      <c r="G9" s="70">
        <v>0.99930555555555556</v>
      </c>
      <c r="H9" s="30" t="s">
        <v>1152</v>
      </c>
      <c r="I9" s="37">
        <v>0</v>
      </c>
      <c r="J9" s="30">
        <v>2</v>
      </c>
      <c r="K9" s="30">
        <v>0</v>
      </c>
      <c r="L9" s="30">
        <v>0</v>
      </c>
    </row>
    <row r="10" spans="1:12" ht="15.75" thickBot="1" x14ac:dyDescent="0.3">
      <c r="A10" s="23">
        <v>8</v>
      </c>
      <c r="B10" s="29" t="s">
        <v>4010</v>
      </c>
      <c r="C10" s="29"/>
      <c r="D10" s="33">
        <v>-10.348992300000001</v>
      </c>
      <c r="E10" s="33">
        <v>-48.297883400000003</v>
      </c>
      <c r="F10" s="69">
        <v>0</v>
      </c>
      <c r="G10" s="69">
        <v>0.99930555555555556</v>
      </c>
      <c r="H10" s="29" t="s">
        <v>1152</v>
      </c>
      <c r="I10" s="36">
        <v>0</v>
      </c>
      <c r="J10" s="29">
        <v>4</v>
      </c>
      <c r="K10" s="29">
        <v>0</v>
      </c>
      <c r="L10" s="29">
        <v>0</v>
      </c>
    </row>
    <row r="11" spans="1:12" ht="15.75" thickTop="1" x14ac:dyDescent="0.25">
      <c r="A11" s="23">
        <v>9</v>
      </c>
      <c r="B11" s="28" t="s">
        <v>4011</v>
      </c>
      <c r="C11" s="30"/>
      <c r="D11" s="34">
        <v>-10.348630099999999</v>
      </c>
      <c r="E11" s="34">
        <v>-48.297954799999999</v>
      </c>
      <c r="F11" s="70">
        <v>0</v>
      </c>
      <c r="G11" s="70">
        <v>0.99930555555555556</v>
      </c>
      <c r="H11" s="30" t="s">
        <v>1152</v>
      </c>
      <c r="I11" s="37">
        <v>0</v>
      </c>
      <c r="J11" s="30">
        <v>3</v>
      </c>
      <c r="K11" s="30">
        <v>0</v>
      </c>
      <c r="L11" s="30">
        <v>0</v>
      </c>
    </row>
    <row r="12" spans="1:12" ht="15.75" thickBot="1" x14ac:dyDescent="0.3">
      <c r="A12" s="23">
        <v>10</v>
      </c>
      <c r="B12" s="29" t="s">
        <v>4012</v>
      </c>
      <c r="C12" s="29"/>
      <c r="D12" s="33">
        <v>-10.348596300000001</v>
      </c>
      <c r="E12" s="33">
        <v>-48.294329599999998</v>
      </c>
      <c r="F12" s="69">
        <v>0</v>
      </c>
      <c r="G12" s="69">
        <v>0.99930555555555556</v>
      </c>
      <c r="H12" s="29" t="s">
        <v>1152</v>
      </c>
      <c r="I12" s="36">
        <v>0</v>
      </c>
      <c r="J12" s="29">
        <v>2</v>
      </c>
      <c r="K12" s="29">
        <v>0</v>
      </c>
      <c r="L12" s="29">
        <v>0</v>
      </c>
    </row>
    <row r="13" spans="1:12" ht="15.75" thickTop="1" x14ac:dyDescent="0.25">
      <c r="A13" s="23">
        <v>11</v>
      </c>
      <c r="B13" s="28" t="s">
        <v>4013</v>
      </c>
      <c r="C13" s="30"/>
      <c r="D13" s="34">
        <v>-10.3417335</v>
      </c>
      <c r="E13" s="34">
        <v>-48.292371699999997</v>
      </c>
      <c r="F13" s="70">
        <v>0</v>
      </c>
      <c r="G13" s="70">
        <v>0.99930555555555556</v>
      </c>
      <c r="H13" s="30" t="s">
        <v>1152</v>
      </c>
      <c r="I13" s="37">
        <v>0</v>
      </c>
      <c r="J13" s="30">
        <v>1</v>
      </c>
      <c r="K13" s="30">
        <v>0</v>
      </c>
      <c r="L13" s="30">
        <v>0</v>
      </c>
    </row>
    <row r="14" spans="1:12" ht="15.75" thickBot="1" x14ac:dyDescent="0.3">
      <c r="A14" s="23">
        <v>12</v>
      </c>
      <c r="B14" s="29" t="s">
        <v>4014</v>
      </c>
      <c r="C14" s="29"/>
      <c r="D14" s="33">
        <v>-10.337954099999999</v>
      </c>
      <c r="E14" s="33">
        <v>-48.292281799999998</v>
      </c>
      <c r="F14" s="69">
        <v>0</v>
      </c>
      <c r="G14" s="69">
        <v>0.99930555555555556</v>
      </c>
      <c r="H14" s="29" t="s">
        <v>1152</v>
      </c>
      <c r="I14" s="36">
        <v>0</v>
      </c>
      <c r="J14" s="29">
        <v>5</v>
      </c>
      <c r="K14" s="29">
        <v>0</v>
      </c>
      <c r="L14" s="29">
        <v>0</v>
      </c>
    </row>
    <row r="15" spans="1:12" ht="15.75" thickTop="1" x14ac:dyDescent="0.25">
      <c r="A15" s="23">
        <v>13</v>
      </c>
      <c r="B15" s="28" t="s">
        <v>4015</v>
      </c>
      <c r="C15" s="30"/>
      <c r="D15" s="34">
        <v>-10.333815100000001</v>
      </c>
      <c r="E15" s="34">
        <v>-48.298534799999999</v>
      </c>
      <c r="F15" s="70">
        <v>0</v>
      </c>
      <c r="G15" s="70">
        <v>0.99930555555555556</v>
      </c>
      <c r="H15" s="30" t="s">
        <v>1152</v>
      </c>
      <c r="I15" s="37">
        <v>0</v>
      </c>
      <c r="J15" s="30">
        <v>2</v>
      </c>
      <c r="K15" s="30">
        <v>0</v>
      </c>
      <c r="L15" s="30">
        <v>0</v>
      </c>
    </row>
    <row r="16" spans="1:12" x14ac:dyDescent="0.25">
      <c r="A16" s="22">
        <v>14</v>
      </c>
      <c r="B16" s="29" t="s">
        <v>4016</v>
      </c>
      <c r="C16" s="65"/>
      <c r="D16" s="66">
        <v>-10.329828300000001</v>
      </c>
      <c r="E16" s="66">
        <v>-48.298161200000003</v>
      </c>
      <c r="F16" s="71">
        <v>0</v>
      </c>
      <c r="G16" s="71">
        <v>0.99930555555555556</v>
      </c>
      <c r="H16" s="65" t="s">
        <v>1152</v>
      </c>
      <c r="I16" s="72">
        <v>0</v>
      </c>
      <c r="J16" s="65">
        <v>1</v>
      </c>
      <c r="K16" s="65">
        <v>0</v>
      </c>
      <c r="L16" s="65">
        <v>0</v>
      </c>
    </row>
  </sheetData>
  <phoneticPr fontId="28" type="noConversion"/>
  <conditionalFormatting sqref="A2">
    <cfRule type="expression" dxfId="162" priority="1" stopIfTrue="1">
      <formula>ISBLANK(A2)</formula>
    </cfRule>
  </conditionalFormatting>
  <conditionalFormatting sqref="B2">
    <cfRule type="expression" dxfId="161" priority="2" stopIfTrue="1">
      <formula>ISBLANK(B2)</formula>
    </cfRule>
  </conditionalFormatting>
  <conditionalFormatting sqref="F2">
    <cfRule type="cellIs" dxfId="160" priority="3" stopIfTrue="1" operator="greaterThan">
      <formula>G2-$I$2</formula>
    </cfRule>
  </conditionalFormatting>
  <conditionalFormatting sqref="G2">
    <cfRule type="cellIs" dxfId="159" priority="4" stopIfTrue="1" operator="lessThan">
      <formula>F2+$I$2</formula>
    </cfRule>
  </conditionalFormatting>
  <conditionalFormatting sqref="I2">
    <cfRule type="cellIs" dxfId="158" priority="5" stopIfTrue="1" operator="greaterThan">
      <formula>G2-F2 + 0.0001</formula>
    </cfRule>
  </conditionalFormatting>
  <conditionalFormatting sqref="A3">
    <cfRule type="expression" dxfId="157" priority="6" stopIfTrue="1">
      <formula>ISBLANK(A3)</formula>
    </cfRule>
  </conditionalFormatting>
  <conditionalFormatting sqref="B3 B5 B7 B9 B11 B13 B15">
    <cfRule type="expression" dxfId="156" priority="7" stopIfTrue="1">
      <formula>ISBLANK(B3)</formula>
    </cfRule>
  </conditionalFormatting>
  <conditionalFormatting sqref="F3">
    <cfRule type="cellIs" dxfId="155" priority="8" stopIfTrue="1" operator="greaterThan">
      <formula>G3-$I$3</formula>
    </cfRule>
  </conditionalFormatting>
  <conditionalFormatting sqref="G3">
    <cfRule type="cellIs" dxfId="154" priority="9" stopIfTrue="1" operator="lessThan">
      <formula>F3+$I$3</formula>
    </cfRule>
  </conditionalFormatting>
  <conditionalFormatting sqref="H3">
    <cfRule type="cellIs" dxfId="153" priority="10" stopIfTrue="1" operator="equal">
      <formula>"Pode ser visitado"</formula>
    </cfRule>
    <cfRule type="cellIs" dxfId="152" priority="11" stopIfTrue="1" operator="equal">
      <formula>"Não visite"</formula>
    </cfRule>
  </conditionalFormatting>
  <conditionalFormatting sqref="I3">
    <cfRule type="cellIs" dxfId="151" priority="12" stopIfTrue="1" operator="greaterThan">
      <formula>G3-F3 + 0.0001</formula>
    </cfRule>
  </conditionalFormatting>
  <conditionalFormatting sqref="A4">
    <cfRule type="expression" dxfId="150" priority="13" stopIfTrue="1">
      <formula>ISBLANK(A4)</formula>
    </cfRule>
  </conditionalFormatting>
  <conditionalFormatting sqref="B4 B6 B8 B10 B12 B14 B16">
    <cfRule type="expression" dxfId="149" priority="14" stopIfTrue="1">
      <formula>ISBLANK(B4)</formula>
    </cfRule>
  </conditionalFormatting>
  <conditionalFormatting sqref="F4">
    <cfRule type="cellIs" dxfId="148" priority="15" stopIfTrue="1" operator="greaterThan">
      <formula>G4-$I$4</formula>
    </cfRule>
  </conditionalFormatting>
  <conditionalFormatting sqref="G4">
    <cfRule type="cellIs" dxfId="147" priority="16" stopIfTrue="1" operator="lessThan">
      <formula>F4+$I$4</formula>
    </cfRule>
  </conditionalFormatting>
  <conditionalFormatting sqref="H4">
    <cfRule type="cellIs" dxfId="146" priority="17" stopIfTrue="1" operator="equal">
      <formula>"Pode ser visitado"</formula>
    </cfRule>
    <cfRule type="cellIs" dxfId="145" priority="18" stopIfTrue="1" operator="equal">
      <formula>"Não visite"</formula>
    </cfRule>
  </conditionalFormatting>
  <conditionalFormatting sqref="I4">
    <cfRule type="cellIs" dxfId="144" priority="19" stopIfTrue="1" operator="greaterThan">
      <formula>G4-F4 + 0.0001</formula>
    </cfRule>
  </conditionalFormatting>
  <conditionalFormatting sqref="A5">
    <cfRule type="expression" dxfId="143" priority="20" stopIfTrue="1">
      <formula>ISBLANK(A5)</formula>
    </cfRule>
  </conditionalFormatting>
  <conditionalFormatting sqref="B5">
    <cfRule type="expression" dxfId="142" priority="21" stopIfTrue="1">
      <formula>ISBLANK(B5)</formula>
    </cfRule>
  </conditionalFormatting>
  <conditionalFormatting sqref="F5">
    <cfRule type="cellIs" dxfId="141" priority="22" stopIfTrue="1" operator="greaterThan">
      <formula>G5-$I$5</formula>
    </cfRule>
  </conditionalFormatting>
  <conditionalFormatting sqref="G5">
    <cfRule type="cellIs" dxfId="140" priority="23" stopIfTrue="1" operator="lessThan">
      <formula>F5+$I$5</formula>
    </cfRule>
  </conditionalFormatting>
  <conditionalFormatting sqref="H5">
    <cfRule type="cellIs" dxfId="139" priority="24" stopIfTrue="1" operator="equal">
      <formula>"Pode ser visitado"</formula>
    </cfRule>
  </conditionalFormatting>
  <conditionalFormatting sqref="H5">
    <cfRule type="cellIs" dxfId="138" priority="25" stopIfTrue="1" operator="equal">
      <formula>"Não visite"</formula>
    </cfRule>
  </conditionalFormatting>
  <conditionalFormatting sqref="I5">
    <cfRule type="cellIs" dxfId="137" priority="26" stopIfTrue="1" operator="greaterThan">
      <formula>G5-F5 + 0.0001</formula>
    </cfRule>
  </conditionalFormatting>
  <conditionalFormatting sqref="A6">
    <cfRule type="expression" dxfId="136" priority="27" stopIfTrue="1">
      <formula>ISBLANK(A6)</formula>
    </cfRule>
  </conditionalFormatting>
  <conditionalFormatting sqref="B6">
    <cfRule type="expression" dxfId="135" priority="28" stopIfTrue="1">
      <formula>ISBLANK(B6)</formula>
    </cfRule>
  </conditionalFormatting>
  <conditionalFormatting sqref="F6">
    <cfRule type="cellIs" dxfId="134" priority="29" stopIfTrue="1" operator="greaterThan">
      <formula>G6-$I$6</formula>
    </cfRule>
  </conditionalFormatting>
  <conditionalFormatting sqref="G6">
    <cfRule type="cellIs" dxfId="133" priority="30" stopIfTrue="1" operator="lessThan">
      <formula>F6+$I$6</formula>
    </cfRule>
  </conditionalFormatting>
  <conditionalFormatting sqref="H6">
    <cfRule type="cellIs" dxfId="132" priority="31" stopIfTrue="1" operator="equal">
      <formula>"Pode ser visitado"</formula>
    </cfRule>
  </conditionalFormatting>
  <conditionalFormatting sqref="H6">
    <cfRule type="cellIs" dxfId="131" priority="32" stopIfTrue="1" operator="equal">
      <formula>"Não visite"</formula>
    </cfRule>
  </conditionalFormatting>
  <conditionalFormatting sqref="I6">
    <cfRule type="cellIs" dxfId="130" priority="33" stopIfTrue="1" operator="greaterThan">
      <formula>G6-F6 + 0.0001</formula>
    </cfRule>
  </conditionalFormatting>
  <conditionalFormatting sqref="A7">
    <cfRule type="expression" dxfId="129" priority="34" stopIfTrue="1">
      <formula>ISBLANK(A7)</formula>
    </cfRule>
  </conditionalFormatting>
  <conditionalFormatting sqref="B7">
    <cfRule type="expression" dxfId="128" priority="35" stopIfTrue="1">
      <formula>ISBLANK(B7)</formula>
    </cfRule>
  </conditionalFormatting>
  <conditionalFormatting sqref="F7">
    <cfRule type="cellIs" dxfId="127" priority="36" stopIfTrue="1" operator="greaterThan">
      <formula>G7-$I$7</formula>
    </cfRule>
  </conditionalFormatting>
  <conditionalFormatting sqref="G7">
    <cfRule type="cellIs" dxfId="126" priority="37" stopIfTrue="1" operator="lessThan">
      <formula>F7+$I$7</formula>
    </cfRule>
  </conditionalFormatting>
  <conditionalFormatting sqref="H7">
    <cfRule type="cellIs" dxfId="125" priority="38" stopIfTrue="1" operator="equal">
      <formula>"Pode ser visitado"</formula>
    </cfRule>
  </conditionalFormatting>
  <conditionalFormatting sqref="H7">
    <cfRule type="cellIs" dxfId="124" priority="39" stopIfTrue="1" operator="equal">
      <formula>"Não visite"</formula>
    </cfRule>
  </conditionalFormatting>
  <conditionalFormatting sqref="I7">
    <cfRule type="cellIs" dxfId="123" priority="40" stopIfTrue="1" operator="greaterThan">
      <formula>G7-F7 + 0.0001</formula>
    </cfRule>
  </conditionalFormatting>
  <conditionalFormatting sqref="A8">
    <cfRule type="expression" dxfId="122" priority="41" stopIfTrue="1">
      <formula>ISBLANK(A8)</formula>
    </cfRule>
  </conditionalFormatting>
  <conditionalFormatting sqref="B8">
    <cfRule type="expression" dxfId="121" priority="42" stopIfTrue="1">
      <formula>ISBLANK(B8)</formula>
    </cfRule>
  </conditionalFormatting>
  <conditionalFormatting sqref="F8">
    <cfRule type="cellIs" dxfId="120" priority="43" stopIfTrue="1" operator="greaterThan">
      <formula>G8-$I$8</formula>
    </cfRule>
  </conditionalFormatting>
  <conditionalFormatting sqref="G8">
    <cfRule type="cellIs" dxfId="119" priority="44" stopIfTrue="1" operator="lessThan">
      <formula>F8+$I$8</formula>
    </cfRule>
  </conditionalFormatting>
  <conditionalFormatting sqref="H8">
    <cfRule type="cellIs" dxfId="118" priority="45" stopIfTrue="1" operator="equal">
      <formula>"Pode ser visitado"</formula>
    </cfRule>
  </conditionalFormatting>
  <conditionalFormatting sqref="H8">
    <cfRule type="cellIs" dxfId="117" priority="46" stopIfTrue="1" operator="equal">
      <formula>"Não visite"</formula>
    </cfRule>
  </conditionalFormatting>
  <conditionalFormatting sqref="I8">
    <cfRule type="cellIs" dxfId="116" priority="47" stopIfTrue="1" operator="greaterThan">
      <formula>G8-F8 + 0.0001</formula>
    </cfRule>
  </conditionalFormatting>
  <conditionalFormatting sqref="A9">
    <cfRule type="expression" dxfId="115" priority="48" stopIfTrue="1">
      <formula>ISBLANK(A9)</formula>
    </cfRule>
  </conditionalFormatting>
  <conditionalFormatting sqref="B9">
    <cfRule type="expression" dxfId="114" priority="49" stopIfTrue="1">
      <formula>ISBLANK(B9)</formula>
    </cfRule>
  </conditionalFormatting>
  <conditionalFormatting sqref="F9">
    <cfRule type="cellIs" dxfId="113" priority="50" stopIfTrue="1" operator="greaterThan">
      <formula>G9-$I$9</formula>
    </cfRule>
  </conditionalFormatting>
  <conditionalFormatting sqref="G9">
    <cfRule type="cellIs" dxfId="112" priority="51" stopIfTrue="1" operator="lessThan">
      <formula>F9+$I$9</formula>
    </cfRule>
  </conditionalFormatting>
  <conditionalFormatting sqref="H9">
    <cfRule type="cellIs" dxfId="111" priority="52" stopIfTrue="1" operator="equal">
      <formula>"Pode ser visitado"</formula>
    </cfRule>
  </conditionalFormatting>
  <conditionalFormatting sqref="H9">
    <cfRule type="cellIs" dxfId="110" priority="53" stopIfTrue="1" operator="equal">
      <formula>"Não visite"</formula>
    </cfRule>
  </conditionalFormatting>
  <conditionalFormatting sqref="I9">
    <cfRule type="cellIs" dxfId="109" priority="54" stopIfTrue="1" operator="greaterThan">
      <formula>G9-F9 + 0.0001</formula>
    </cfRule>
  </conditionalFormatting>
  <conditionalFormatting sqref="A10">
    <cfRule type="expression" dxfId="108" priority="55" stopIfTrue="1">
      <formula>ISBLANK(A10)</formula>
    </cfRule>
  </conditionalFormatting>
  <conditionalFormatting sqref="B10">
    <cfRule type="expression" dxfId="107" priority="56" stopIfTrue="1">
      <formula>ISBLANK(B10)</formula>
    </cfRule>
  </conditionalFormatting>
  <conditionalFormatting sqref="F10">
    <cfRule type="cellIs" dxfId="106" priority="57" stopIfTrue="1" operator="greaterThan">
      <formula>G10-$I$10</formula>
    </cfRule>
  </conditionalFormatting>
  <conditionalFormatting sqref="G10">
    <cfRule type="cellIs" dxfId="105" priority="58" stopIfTrue="1" operator="lessThan">
      <formula>F10+$I$10</formula>
    </cfRule>
  </conditionalFormatting>
  <conditionalFormatting sqref="H10">
    <cfRule type="cellIs" dxfId="104" priority="59" stopIfTrue="1" operator="equal">
      <formula>"Pode ser visitado"</formula>
    </cfRule>
  </conditionalFormatting>
  <conditionalFormatting sqref="H10">
    <cfRule type="cellIs" dxfId="103" priority="60" stopIfTrue="1" operator="equal">
      <formula>"Não visite"</formula>
    </cfRule>
  </conditionalFormatting>
  <conditionalFormatting sqref="I10">
    <cfRule type="cellIs" dxfId="102" priority="61" stopIfTrue="1" operator="greaterThan">
      <formula>G10-F10 + 0.0001</formula>
    </cfRule>
  </conditionalFormatting>
  <conditionalFormatting sqref="A11">
    <cfRule type="expression" dxfId="101" priority="62" stopIfTrue="1">
      <formula>ISBLANK(A11)</formula>
    </cfRule>
  </conditionalFormatting>
  <conditionalFormatting sqref="B11">
    <cfRule type="expression" dxfId="100" priority="63" stopIfTrue="1">
      <formula>ISBLANK(B11)</formula>
    </cfRule>
  </conditionalFormatting>
  <conditionalFormatting sqref="F11">
    <cfRule type="cellIs" dxfId="99" priority="64" stopIfTrue="1" operator="greaterThan">
      <formula>G11-$I$11</formula>
    </cfRule>
  </conditionalFormatting>
  <conditionalFormatting sqref="G11">
    <cfRule type="cellIs" dxfId="98" priority="65" stopIfTrue="1" operator="lessThan">
      <formula>F11+$I$11</formula>
    </cfRule>
  </conditionalFormatting>
  <conditionalFormatting sqref="H11">
    <cfRule type="cellIs" dxfId="97" priority="66" stopIfTrue="1" operator="equal">
      <formula>"Pode ser visitado"</formula>
    </cfRule>
  </conditionalFormatting>
  <conditionalFormatting sqref="H11">
    <cfRule type="cellIs" dxfId="96" priority="67" stopIfTrue="1" operator="equal">
      <formula>"Não visite"</formula>
    </cfRule>
  </conditionalFormatting>
  <conditionalFormatting sqref="I11">
    <cfRule type="cellIs" dxfId="95" priority="68" stopIfTrue="1" operator="greaterThan">
      <formula>G11-F11 + 0.0001</formula>
    </cfRule>
  </conditionalFormatting>
  <conditionalFormatting sqref="A12">
    <cfRule type="expression" dxfId="94" priority="69" stopIfTrue="1">
      <formula>ISBLANK(A12)</formula>
    </cfRule>
  </conditionalFormatting>
  <conditionalFormatting sqref="B12">
    <cfRule type="expression" dxfId="93" priority="70" stopIfTrue="1">
      <formula>ISBLANK(B12)</formula>
    </cfRule>
  </conditionalFormatting>
  <conditionalFormatting sqref="F12">
    <cfRule type="cellIs" dxfId="92" priority="71" stopIfTrue="1" operator="greaterThan">
      <formula>G12-$I$12</formula>
    </cfRule>
  </conditionalFormatting>
  <conditionalFormatting sqref="G12">
    <cfRule type="cellIs" dxfId="91" priority="72" stopIfTrue="1" operator="lessThan">
      <formula>F12+$I$12</formula>
    </cfRule>
  </conditionalFormatting>
  <conditionalFormatting sqref="H12">
    <cfRule type="cellIs" dxfId="90" priority="73" stopIfTrue="1" operator="equal">
      <formula>"Pode ser visitado"</formula>
    </cfRule>
  </conditionalFormatting>
  <conditionalFormatting sqref="H12">
    <cfRule type="cellIs" dxfId="89" priority="74" stopIfTrue="1" operator="equal">
      <formula>"Não visite"</formula>
    </cfRule>
  </conditionalFormatting>
  <conditionalFormatting sqref="I12">
    <cfRule type="cellIs" dxfId="88" priority="75" stopIfTrue="1" operator="greaterThan">
      <formula>G12-F12 + 0.0001</formula>
    </cfRule>
  </conditionalFormatting>
  <conditionalFormatting sqref="A13">
    <cfRule type="expression" dxfId="87" priority="76" stopIfTrue="1">
      <formula>ISBLANK(A13)</formula>
    </cfRule>
  </conditionalFormatting>
  <conditionalFormatting sqref="B13">
    <cfRule type="expression" dxfId="86" priority="77" stopIfTrue="1">
      <formula>ISBLANK(B13)</formula>
    </cfRule>
  </conditionalFormatting>
  <conditionalFormatting sqref="F13">
    <cfRule type="cellIs" dxfId="85" priority="78" stopIfTrue="1" operator="greaterThan">
      <formula>G13-$I$13</formula>
    </cfRule>
  </conditionalFormatting>
  <conditionalFormatting sqref="G13">
    <cfRule type="cellIs" dxfId="84" priority="79" stopIfTrue="1" operator="lessThan">
      <formula>F13+$I$13</formula>
    </cfRule>
  </conditionalFormatting>
  <conditionalFormatting sqref="H13">
    <cfRule type="cellIs" dxfId="83" priority="80" stopIfTrue="1" operator="equal">
      <formula>"Pode ser visitado"</formula>
    </cfRule>
  </conditionalFormatting>
  <conditionalFormatting sqref="H13">
    <cfRule type="cellIs" dxfId="82" priority="81" stopIfTrue="1" operator="equal">
      <formula>"Não visite"</formula>
    </cfRule>
  </conditionalFormatting>
  <conditionalFormatting sqref="I13">
    <cfRule type="cellIs" dxfId="81" priority="82" stopIfTrue="1" operator="greaterThan">
      <formula>G13-F13 + 0.0001</formula>
    </cfRule>
  </conditionalFormatting>
  <conditionalFormatting sqref="A14">
    <cfRule type="expression" dxfId="80" priority="83" stopIfTrue="1">
      <formula>ISBLANK(A14)</formula>
    </cfRule>
  </conditionalFormatting>
  <conditionalFormatting sqref="B14">
    <cfRule type="expression" dxfId="79" priority="84" stopIfTrue="1">
      <formula>ISBLANK(B14)</formula>
    </cfRule>
  </conditionalFormatting>
  <conditionalFormatting sqref="F14">
    <cfRule type="cellIs" dxfId="78" priority="85" stopIfTrue="1" operator="greaterThan">
      <formula>G14-$I$14</formula>
    </cfRule>
  </conditionalFormatting>
  <conditionalFormatting sqref="G14">
    <cfRule type="cellIs" dxfId="77" priority="86" stopIfTrue="1" operator="lessThan">
      <formula>F14+$I$14</formula>
    </cfRule>
  </conditionalFormatting>
  <conditionalFormatting sqref="H14">
    <cfRule type="cellIs" dxfId="76" priority="87" stopIfTrue="1" operator="equal">
      <formula>"Pode ser visitado"</formula>
    </cfRule>
  </conditionalFormatting>
  <conditionalFormatting sqref="H14">
    <cfRule type="cellIs" dxfId="75" priority="88" stopIfTrue="1" operator="equal">
      <formula>"Não visite"</formula>
    </cfRule>
  </conditionalFormatting>
  <conditionalFormatting sqref="I14">
    <cfRule type="cellIs" dxfId="74" priority="89" stopIfTrue="1" operator="greaterThan">
      <formula>G14-F14 + 0.0001</formula>
    </cfRule>
  </conditionalFormatting>
  <conditionalFormatting sqref="A15">
    <cfRule type="expression" dxfId="73" priority="90" stopIfTrue="1">
      <formula>ISBLANK(A15)</formula>
    </cfRule>
  </conditionalFormatting>
  <conditionalFormatting sqref="B15">
    <cfRule type="expression" dxfId="72" priority="91" stopIfTrue="1">
      <formula>ISBLANK(B15)</formula>
    </cfRule>
  </conditionalFormatting>
  <conditionalFormatting sqref="F15">
    <cfRule type="cellIs" dxfId="71" priority="92" stopIfTrue="1" operator="greaterThan">
      <formula>G15-$I$15</formula>
    </cfRule>
  </conditionalFormatting>
  <conditionalFormatting sqref="G15">
    <cfRule type="cellIs" dxfId="70" priority="93" stopIfTrue="1" operator="lessThan">
      <formula>F15+$I$15</formula>
    </cfRule>
  </conditionalFormatting>
  <conditionalFormatting sqref="H15">
    <cfRule type="cellIs" dxfId="69" priority="94" stopIfTrue="1" operator="equal">
      <formula>"Pode ser visitado"</formula>
    </cfRule>
  </conditionalFormatting>
  <conditionalFormatting sqref="H15">
    <cfRule type="cellIs" dxfId="68" priority="95" stopIfTrue="1" operator="equal">
      <formula>"Não visite"</formula>
    </cfRule>
  </conditionalFormatting>
  <conditionalFormatting sqref="I15">
    <cfRule type="cellIs" dxfId="67" priority="96" stopIfTrue="1" operator="greaterThan">
      <formula>G15-F15 + 0.0001</formula>
    </cfRule>
  </conditionalFormatting>
  <conditionalFormatting sqref="A16">
    <cfRule type="expression" dxfId="66" priority="97" stopIfTrue="1">
      <formula>ISBLANK(A16)</formula>
    </cfRule>
  </conditionalFormatting>
  <conditionalFormatting sqref="B16">
    <cfRule type="expression" dxfId="65" priority="98" stopIfTrue="1">
      <formula>ISBLANK(B16)</formula>
    </cfRule>
  </conditionalFormatting>
  <conditionalFormatting sqref="F16">
    <cfRule type="cellIs" dxfId="64" priority="99" stopIfTrue="1" operator="greaterThan">
      <formula>G16-$I$16</formula>
    </cfRule>
  </conditionalFormatting>
  <conditionalFormatting sqref="G16">
    <cfRule type="cellIs" dxfId="63" priority="100" stopIfTrue="1" operator="lessThan">
      <formula>F16+$I$16</formula>
    </cfRule>
  </conditionalFormatting>
  <conditionalFormatting sqref="H16">
    <cfRule type="cellIs" dxfId="62" priority="101" stopIfTrue="1" operator="equal">
      <formula>"Pode ser visitado"</formula>
    </cfRule>
  </conditionalFormatting>
  <conditionalFormatting sqref="H16">
    <cfRule type="cellIs" dxfId="61" priority="102" stopIfTrue="1" operator="equal">
      <formula>"Não visite"</formula>
    </cfRule>
  </conditionalFormatting>
  <conditionalFormatting sqref="I16">
    <cfRule type="cellIs" dxfId="60" priority="103" stopIfTrue="1" operator="greaterThan">
      <formula>G16-F16 + 0.0001</formula>
    </cfRule>
  </conditionalFormatting>
  <conditionalFormatting sqref="J3:J16">
    <cfRule type="cellIs" dxfId="59" priority="104" stopIfTrue="1" operator="lessThan">
      <formula>0</formula>
    </cfRule>
  </conditionalFormatting>
  <conditionalFormatting sqref="B2:B16">
    <cfRule type="duplicateValues" dxfId="58" priority="105"/>
  </conditionalFormatting>
  <dataValidations count="16">
    <dataValidation type="decimal" operator="greaterThan" allowBlank="1" showInputMessage="1" showErrorMessage="1" error="Insira um valor não negativo" sqref="K2" xr:uid="{48862973-2A34-479B-9384-E51F3BC82E4F}">
      <formula1>-0.0001</formula1>
    </dataValidation>
    <dataValidation type="list" allowBlank="1" showInputMessage="1" showErrorMessage="1" sqref="H3:H16" xr:uid="{88F9581F-5140-451C-AE40-8DBEF80E3D50}">
      <formula1>"Deve ser visitado,Pode ser visitado,Não visite"</formula1>
    </dataValidation>
    <dataValidation type="decimal" operator="greaterThan" allowBlank="1" showInputMessage="1" showErrorMessage="1" error="Insira um valor não negativo" sqref="K3" xr:uid="{9FE42B9D-6432-4C2A-A9EC-D46D821BA67A}">
      <formula1>-0.0001</formula1>
    </dataValidation>
    <dataValidation type="decimal" operator="greaterThan" allowBlank="1" showInputMessage="1" showErrorMessage="1" error="Insira um valor não negativo" sqref="K4" xr:uid="{FD1704C7-1717-42A2-BC19-60C5464F1EB8}">
      <formula1>-0.0001</formula1>
    </dataValidation>
    <dataValidation type="decimal" operator="greaterThan" allowBlank="1" showInputMessage="1" showErrorMessage="1" error="Insira um valor não negativo" sqref="K5" xr:uid="{E6D4545E-ABA8-4C6D-8B83-DD0C4E662C67}">
      <formula1>-0.0001</formula1>
    </dataValidation>
    <dataValidation type="decimal" operator="greaterThan" allowBlank="1" showInputMessage="1" showErrorMessage="1" error="Insira um valor não negativo" sqref="K6" xr:uid="{8C4C0847-E085-46B3-8C52-53972BDEEBB5}">
      <formula1>-0.0001</formula1>
    </dataValidation>
    <dataValidation type="decimal" operator="greaterThan" allowBlank="1" showInputMessage="1" showErrorMessage="1" error="Insira um valor não negativo" sqref="K7" xr:uid="{A49B6709-A7FC-44A6-A371-AAC728036444}">
      <formula1>-0.0001</formula1>
    </dataValidation>
    <dataValidation type="decimal" operator="greaterThan" allowBlank="1" showInputMessage="1" showErrorMessage="1" error="Insira um valor não negativo" sqref="K8" xr:uid="{1C4480D3-8C9A-47C2-BC39-5DAEB5667B1D}">
      <formula1>-0.0001</formula1>
    </dataValidation>
    <dataValidation type="decimal" operator="greaterThan" allowBlank="1" showInputMessage="1" showErrorMessage="1" error="Insira um valor não negativo" sqref="K9" xr:uid="{AB88AEE1-B906-43DE-97EC-CCF654BA473E}">
      <formula1>-0.0001</formula1>
    </dataValidation>
    <dataValidation type="decimal" operator="greaterThan" allowBlank="1" showInputMessage="1" showErrorMessage="1" error="Insira um valor não negativo" sqref="K10" xr:uid="{0725E1F7-D445-43D3-A3B8-431FB340935D}">
      <formula1>-0.0001</formula1>
    </dataValidation>
    <dataValidation type="decimal" operator="greaterThan" allowBlank="1" showInputMessage="1" showErrorMessage="1" error="Insira um valor não negativo" sqref="K11" xr:uid="{965734CB-93B7-4677-B18E-44143EFB75E0}">
      <formula1>-0.0001</formula1>
    </dataValidation>
    <dataValidation type="decimal" operator="greaterThan" allowBlank="1" showInputMessage="1" showErrorMessage="1" error="Insira um valor não negativo" sqref="K12" xr:uid="{FA25E526-7F8D-4699-8DDE-4FC1AB8F579A}">
      <formula1>-0.0001</formula1>
    </dataValidation>
    <dataValidation type="decimal" operator="greaterThan" allowBlank="1" showInputMessage="1" showErrorMessage="1" error="Insira um valor não negativo" sqref="K13" xr:uid="{5DBC57F3-39EE-4EC9-8B73-E1D53B91AA4C}">
      <formula1>-0.0001</formula1>
    </dataValidation>
    <dataValidation type="decimal" operator="greaterThan" allowBlank="1" showInputMessage="1" showErrorMessage="1" error="Insira um valor não negativo" sqref="K14" xr:uid="{2E163D96-BE0A-4BB7-88C4-5824F2AB5DF9}">
      <formula1>-0.0001</formula1>
    </dataValidation>
    <dataValidation type="decimal" operator="greaterThan" allowBlank="1" showInputMessage="1" showErrorMessage="1" error="Insira um valor não negativo" sqref="K15" xr:uid="{C8F7E362-0FC4-402A-939D-5C4531CE5F90}">
      <formula1>-0.0001</formula1>
    </dataValidation>
    <dataValidation type="decimal" operator="greaterThan" allowBlank="1" showInputMessage="1" showErrorMessage="1" error="Insira um valor não negativo" sqref="K16" xr:uid="{95E9B974-147F-46D4-8957-39D3BF1A056D}">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57D5-59EE-42AC-8E3B-3AA264B0940A}">
  <dimension ref="A1:F226"/>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4018</v>
      </c>
    </row>
    <row r="2" spans="1:6" x14ac:dyDescent="0.25">
      <c r="A2" s="20" t="s">
        <v>4020</v>
      </c>
      <c r="B2" s="20" t="s">
        <v>4020</v>
      </c>
      <c r="C2" s="44">
        <v>0</v>
      </c>
      <c r="D2" s="45">
        <v>0</v>
      </c>
    </row>
    <row r="3" spans="1:6" x14ac:dyDescent="0.25">
      <c r="A3" s="23" t="s">
        <v>4020</v>
      </c>
      <c r="B3" s="23" t="s">
        <v>4003</v>
      </c>
      <c r="C3" s="46">
        <v>1.3320000000000001</v>
      </c>
      <c r="D3" s="24">
        <f xml:space="preserve"> C3 / (24 * 'VRP Solver Console'!C11)</f>
        <v>9.2500000000000004E-4</v>
      </c>
    </row>
    <row r="4" spans="1:6" x14ac:dyDescent="0.25">
      <c r="A4" s="23" t="s">
        <v>4020</v>
      </c>
      <c r="B4" s="23" t="s">
        <v>4004</v>
      </c>
      <c r="C4" s="47">
        <v>1.772</v>
      </c>
      <c r="D4" s="25">
        <f xml:space="preserve"> C4 / (24 * 'VRP Solver Console'!C11)</f>
        <v>1.2305555555555555E-3</v>
      </c>
    </row>
    <row r="5" spans="1:6" x14ac:dyDescent="0.25">
      <c r="A5" s="23" t="s">
        <v>4020</v>
      </c>
      <c r="B5" s="23" t="s">
        <v>4005</v>
      </c>
      <c r="C5" s="46">
        <v>2.516</v>
      </c>
      <c r="D5" s="24">
        <f xml:space="preserve"> C5 / (24 * 'VRP Solver Console'!C11)</f>
        <v>1.7472222222222223E-3</v>
      </c>
    </row>
    <row r="6" spans="1:6" x14ac:dyDescent="0.25">
      <c r="A6" s="23" t="s">
        <v>4020</v>
      </c>
      <c r="B6" s="23" t="s">
        <v>4006</v>
      </c>
      <c r="C6" s="47">
        <v>4.2859999999999996</v>
      </c>
      <c r="D6" s="25">
        <f xml:space="preserve"> C6 / (24 * 'VRP Solver Console'!C11)</f>
        <v>2.9763888888888887E-3</v>
      </c>
    </row>
    <row r="7" spans="1:6" x14ac:dyDescent="0.25">
      <c r="A7" s="23" t="s">
        <v>4020</v>
      </c>
      <c r="B7" s="23" t="s">
        <v>4007</v>
      </c>
      <c r="C7" s="46">
        <v>5.5739999999999998</v>
      </c>
      <c r="D7" s="24">
        <f xml:space="preserve"> C7 / (24 * 'VRP Solver Console'!C11)</f>
        <v>3.8708333333333333E-3</v>
      </c>
    </row>
    <row r="8" spans="1:6" x14ac:dyDescent="0.25">
      <c r="A8" s="23" t="s">
        <v>4020</v>
      </c>
      <c r="B8" s="23" t="s">
        <v>4008</v>
      </c>
      <c r="C8" s="47">
        <v>4.9240000000000004</v>
      </c>
      <c r="D8" s="25">
        <f xml:space="preserve"> C8 / (24 * 'VRP Solver Console'!C11)</f>
        <v>3.4194444444444446E-3</v>
      </c>
    </row>
    <row r="9" spans="1:6" x14ac:dyDescent="0.25">
      <c r="A9" s="23" t="s">
        <v>4020</v>
      </c>
      <c r="B9" s="23" t="s">
        <v>4009</v>
      </c>
      <c r="C9" s="46">
        <v>5.2839999999999998</v>
      </c>
      <c r="D9" s="24">
        <f xml:space="preserve"> C9 / (24 * 'VRP Solver Console'!C11)</f>
        <v>3.6694444444444444E-3</v>
      </c>
    </row>
    <row r="10" spans="1:6" x14ac:dyDescent="0.25">
      <c r="A10" s="23" t="s">
        <v>4020</v>
      </c>
      <c r="B10" s="23" t="s">
        <v>4010</v>
      </c>
      <c r="C10" s="47">
        <v>2.1629999999999998</v>
      </c>
      <c r="D10" s="25">
        <f xml:space="preserve"> C10 / (24 * 'VRP Solver Console'!C11)</f>
        <v>1.5020833333333331E-3</v>
      </c>
    </row>
    <row r="11" spans="1:6" x14ac:dyDescent="0.25">
      <c r="A11" s="23" t="s">
        <v>4020</v>
      </c>
      <c r="B11" s="23" t="s">
        <v>4011</v>
      </c>
      <c r="C11" s="46">
        <v>2.125</v>
      </c>
      <c r="D11" s="24">
        <f xml:space="preserve"> C11 / (24 * 'VRP Solver Console'!C11)</f>
        <v>1.4756944444444444E-3</v>
      </c>
    </row>
    <row r="12" spans="1:6" x14ac:dyDescent="0.25">
      <c r="A12" s="23" t="s">
        <v>4020</v>
      </c>
      <c r="B12" s="23" t="s">
        <v>4012</v>
      </c>
      <c r="C12" s="47">
        <v>1.9279999999999999</v>
      </c>
      <c r="D12" s="25">
        <f xml:space="preserve"> C12 / (24 * 'VRP Solver Console'!C11)</f>
        <v>1.3388888888888888E-3</v>
      </c>
    </row>
    <row r="13" spans="1:6" x14ac:dyDescent="0.25">
      <c r="A13" s="23" t="s">
        <v>4020</v>
      </c>
      <c r="B13" s="23" t="s">
        <v>4013</v>
      </c>
      <c r="C13" s="46">
        <v>1.2330000000000001</v>
      </c>
      <c r="D13" s="24">
        <f xml:space="preserve"> C13 / (24 * 'VRP Solver Console'!C11)</f>
        <v>8.5625000000000002E-4</v>
      </c>
    </row>
    <row r="14" spans="1:6" x14ac:dyDescent="0.25">
      <c r="A14" s="23" t="s">
        <v>4020</v>
      </c>
      <c r="B14" s="23" t="s">
        <v>4014</v>
      </c>
      <c r="C14" s="47">
        <v>0.504</v>
      </c>
      <c r="D14" s="25">
        <f xml:space="preserve"> C14 / (24 * 'VRP Solver Console'!C11)</f>
        <v>3.5E-4</v>
      </c>
    </row>
    <row r="15" spans="1:6" x14ac:dyDescent="0.25">
      <c r="A15" s="23" t="s">
        <v>4020</v>
      </c>
      <c r="B15" s="23" t="s">
        <v>4015</v>
      </c>
      <c r="C15" s="46">
        <v>1.087</v>
      </c>
      <c r="D15" s="24">
        <f xml:space="preserve"> C15 / (24 * 'VRP Solver Console'!C11)</f>
        <v>7.548611111111111E-4</v>
      </c>
    </row>
    <row r="16" spans="1:6" x14ac:dyDescent="0.25">
      <c r="A16" s="23" t="s">
        <v>4020</v>
      </c>
      <c r="B16" s="23" t="s">
        <v>4016</v>
      </c>
      <c r="C16" s="47">
        <v>1.5369999999999999</v>
      </c>
      <c r="D16" s="25">
        <f xml:space="preserve"> C16 / (24 * 'VRP Solver Console'!C11)</f>
        <v>1.0673611111111112E-3</v>
      </c>
    </row>
    <row r="17" spans="1:4" x14ac:dyDescent="0.25">
      <c r="A17" s="23" t="s">
        <v>4003</v>
      </c>
      <c r="B17" s="23" t="s">
        <v>4020</v>
      </c>
      <c r="C17" s="46">
        <v>1.3180000000000001</v>
      </c>
      <c r="D17" s="24">
        <f xml:space="preserve"> C17 / (24 * 'VRP Solver Console'!C11)</f>
        <v>9.1527777777777777E-4</v>
      </c>
    </row>
    <row r="18" spans="1:4" x14ac:dyDescent="0.25">
      <c r="A18" s="23" t="s">
        <v>4003</v>
      </c>
      <c r="B18" s="23" t="s">
        <v>4003</v>
      </c>
      <c r="C18" s="47">
        <v>0</v>
      </c>
      <c r="D18" s="25">
        <v>0</v>
      </c>
    </row>
    <row r="19" spans="1:4" x14ac:dyDescent="0.25">
      <c r="A19" s="23" t="s">
        <v>4003</v>
      </c>
      <c r="B19" s="23" t="s">
        <v>4004</v>
      </c>
      <c r="C19" s="46">
        <v>1.272</v>
      </c>
      <c r="D19" s="24">
        <f xml:space="preserve"> C19 / (24 * 'VRP Solver Console'!C11)</f>
        <v>8.833333333333333E-4</v>
      </c>
    </row>
    <row r="20" spans="1:4" x14ac:dyDescent="0.25">
      <c r="A20" s="23" t="s">
        <v>4003</v>
      </c>
      <c r="B20" s="23" t="s">
        <v>4005</v>
      </c>
      <c r="C20" s="47">
        <v>2.016</v>
      </c>
      <c r="D20" s="25">
        <f xml:space="preserve"> C20 / (24 * 'VRP Solver Console'!C11)</f>
        <v>1.4E-3</v>
      </c>
    </row>
    <row r="21" spans="1:4" x14ac:dyDescent="0.25">
      <c r="A21" s="23" t="s">
        <v>4003</v>
      </c>
      <c r="B21" s="23" t="s">
        <v>4006</v>
      </c>
      <c r="C21" s="46">
        <v>3.5529999999999999</v>
      </c>
      <c r="D21" s="24">
        <f xml:space="preserve"> C21 / (24 * 'VRP Solver Console'!C11)</f>
        <v>2.4673611111111111E-3</v>
      </c>
    </row>
    <row r="22" spans="1:4" x14ac:dyDescent="0.25">
      <c r="A22" s="23" t="s">
        <v>4003</v>
      </c>
      <c r="B22" s="23" t="s">
        <v>4007</v>
      </c>
      <c r="C22" s="47">
        <v>4.8410000000000002</v>
      </c>
      <c r="D22" s="25">
        <f xml:space="preserve"> C22 / (24 * 'VRP Solver Console'!C11)</f>
        <v>3.3618055555555558E-3</v>
      </c>
    </row>
    <row r="23" spans="1:4" x14ac:dyDescent="0.25">
      <c r="A23" s="23" t="s">
        <v>4003</v>
      </c>
      <c r="B23" s="23" t="s">
        <v>4008</v>
      </c>
      <c r="C23" s="46">
        <v>4.1909999999999998</v>
      </c>
      <c r="D23" s="24">
        <f xml:space="preserve"> C23 / (24 * 'VRP Solver Console'!C11)</f>
        <v>2.9104166666666666E-3</v>
      </c>
    </row>
    <row r="24" spans="1:4" x14ac:dyDescent="0.25">
      <c r="A24" s="23" t="s">
        <v>4003</v>
      </c>
      <c r="B24" s="23" t="s">
        <v>4009</v>
      </c>
      <c r="C24" s="47">
        <v>4.5510000000000002</v>
      </c>
      <c r="D24" s="25">
        <f xml:space="preserve"> C24 / (24 * 'VRP Solver Console'!C11)</f>
        <v>3.1604166666666668E-3</v>
      </c>
    </row>
    <row r="25" spans="1:4" x14ac:dyDescent="0.25">
      <c r="A25" s="23" t="s">
        <v>4003</v>
      </c>
      <c r="B25" s="23" t="s">
        <v>4010</v>
      </c>
      <c r="C25" s="46">
        <v>0.95099999999999996</v>
      </c>
      <c r="D25" s="24">
        <f xml:space="preserve"> C25 / (24 * 'VRP Solver Console'!C11)</f>
        <v>6.6041666666666668E-4</v>
      </c>
    </row>
    <row r="26" spans="1:4" x14ac:dyDescent="0.25">
      <c r="A26" s="23" t="s">
        <v>4003</v>
      </c>
      <c r="B26" s="23" t="s">
        <v>4011</v>
      </c>
      <c r="C26" s="47">
        <v>0.91300000000000003</v>
      </c>
      <c r="D26" s="25">
        <f xml:space="preserve"> C26 / (24 * 'VRP Solver Console'!C11)</f>
        <v>6.3402777777777784E-4</v>
      </c>
    </row>
    <row r="27" spans="1:4" x14ac:dyDescent="0.25">
      <c r="A27" s="23" t="s">
        <v>4003</v>
      </c>
      <c r="B27" s="23" t="s">
        <v>4012</v>
      </c>
      <c r="C27" s="46">
        <v>1.099</v>
      </c>
      <c r="D27" s="24">
        <f xml:space="preserve"> C27 / (24 * 'VRP Solver Console'!C11)</f>
        <v>7.6319444444444438E-4</v>
      </c>
    </row>
    <row r="28" spans="1:4" x14ac:dyDescent="0.25">
      <c r="A28" s="23" t="s">
        <v>4003</v>
      </c>
      <c r="B28" s="23" t="s">
        <v>4013</v>
      </c>
      <c r="C28" s="47">
        <v>0.72399999999999998</v>
      </c>
      <c r="D28" s="25">
        <f xml:space="preserve"> C28 / (24 * 'VRP Solver Console'!C11)</f>
        <v>5.0277777777777777E-4</v>
      </c>
    </row>
    <row r="29" spans="1:4" x14ac:dyDescent="0.25">
      <c r="A29" s="23" t="s">
        <v>4003</v>
      </c>
      <c r="B29" s="23" t="s">
        <v>4014</v>
      </c>
      <c r="C29" s="46">
        <v>0.93</v>
      </c>
      <c r="D29" s="24">
        <f xml:space="preserve"> C29 / (24 * 'VRP Solver Console'!C11)</f>
        <v>6.4583333333333333E-4</v>
      </c>
    </row>
    <row r="30" spans="1:4" x14ac:dyDescent="0.25">
      <c r="A30" s="23" t="s">
        <v>4003</v>
      </c>
      <c r="B30" s="23" t="s">
        <v>4015</v>
      </c>
      <c r="C30" s="47">
        <v>1.363</v>
      </c>
      <c r="D30" s="25">
        <f xml:space="preserve"> C30 / (24 * 'VRP Solver Console'!C11)</f>
        <v>9.465277777777778E-4</v>
      </c>
    </row>
    <row r="31" spans="1:4" x14ac:dyDescent="0.25">
      <c r="A31" s="23" t="s">
        <v>4003</v>
      </c>
      <c r="B31" s="23" t="s">
        <v>4016</v>
      </c>
      <c r="C31" s="46">
        <v>1.8129999999999999</v>
      </c>
      <c r="D31" s="24">
        <f xml:space="preserve"> C31 / (24 * 'VRP Solver Console'!C11)</f>
        <v>1.2590277777777777E-3</v>
      </c>
    </row>
    <row r="32" spans="1:4" x14ac:dyDescent="0.25">
      <c r="A32" s="23" t="s">
        <v>4004</v>
      </c>
      <c r="B32" s="23" t="s">
        <v>4020</v>
      </c>
      <c r="C32" s="47">
        <v>2.0699999999999998</v>
      </c>
      <c r="D32" s="25">
        <f xml:space="preserve"> C32 / (24 * 'VRP Solver Console'!C11)</f>
        <v>1.4375E-3</v>
      </c>
    </row>
    <row r="33" spans="1:4" x14ac:dyDescent="0.25">
      <c r="A33" s="23" t="s">
        <v>4004</v>
      </c>
      <c r="B33" s="23" t="s">
        <v>4003</v>
      </c>
      <c r="C33" s="46">
        <v>1.4370000000000001</v>
      </c>
      <c r="D33" s="24">
        <f xml:space="preserve"> C33 / (24 * 'VRP Solver Console'!C11)</f>
        <v>9.979166666666667E-4</v>
      </c>
    </row>
    <row r="34" spans="1:4" x14ac:dyDescent="0.25">
      <c r="A34" s="23" t="s">
        <v>4004</v>
      </c>
      <c r="B34" s="23" t="s">
        <v>4004</v>
      </c>
      <c r="C34" s="47">
        <v>0</v>
      </c>
      <c r="D34" s="25">
        <v>0</v>
      </c>
    </row>
    <row r="35" spans="1:4" x14ac:dyDescent="0.25">
      <c r="A35" s="23" t="s">
        <v>4004</v>
      </c>
      <c r="B35" s="23" t="s">
        <v>4005</v>
      </c>
      <c r="C35" s="46">
        <v>0.74299999999999999</v>
      </c>
      <c r="D35" s="24">
        <f xml:space="preserve"> C35 / (24 * 'VRP Solver Console'!C11)</f>
        <v>5.1597222222222224E-4</v>
      </c>
    </row>
    <row r="36" spans="1:4" x14ac:dyDescent="0.25">
      <c r="A36" s="23" t="s">
        <v>4004</v>
      </c>
      <c r="B36" s="23" t="s">
        <v>4006</v>
      </c>
      <c r="C36" s="47">
        <v>2.2530000000000001</v>
      </c>
      <c r="D36" s="25">
        <f xml:space="preserve"> C36 / (24 * 'VRP Solver Console'!C11)</f>
        <v>1.5645833333333334E-3</v>
      </c>
    </row>
    <row r="37" spans="1:4" x14ac:dyDescent="0.25">
      <c r="A37" s="23" t="s">
        <v>4004</v>
      </c>
      <c r="B37" s="23" t="s">
        <v>4007</v>
      </c>
      <c r="C37" s="46">
        <v>3.621</v>
      </c>
      <c r="D37" s="24">
        <f xml:space="preserve"> C37 / (24 * 'VRP Solver Console'!C11)</f>
        <v>2.5145833333333335E-3</v>
      </c>
    </row>
    <row r="38" spans="1:4" x14ac:dyDescent="0.25">
      <c r="A38" s="23" t="s">
        <v>4004</v>
      </c>
      <c r="B38" s="23" t="s">
        <v>4008</v>
      </c>
      <c r="C38" s="47">
        <v>2.891</v>
      </c>
      <c r="D38" s="25">
        <f xml:space="preserve"> C38 / (24 * 'VRP Solver Console'!C11)</f>
        <v>2.0076388888888891E-3</v>
      </c>
    </row>
    <row r="39" spans="1:4" x14ac:dyDescent="0.25">
      <c r="A39" s="23" t="s">
        <v>4004</v>
      </c>
      <c r="B39" s="23" t="s">
        <v>4009</v>
      </c>
      <c r="C39" s="46">
        <v>3.0659999999999998</v>
      </c>
      <c r="D39" s="24">
        <f xml:space="preserve"> C39 / (24 * 'VRP Solver Console'!C11)</f>
        <v>2.1291666666666664E-3</v>
      </c>
    </row>
    <row r="40" spans="1:4" x14ac:dyDescent="0.25">
      <c r="A40" s="23" t="s">
        <v>4004</v>
      </c>
      <c r="B40" s="23" t="s">
        <v>4010</v>
      </c>
      <c r="C40" s="47">
        <v>1.1279999999999999</v>
      </c>
      <c r="D40" s="25">
        <f xml:space="preserve"> C40 / (24 * 'VRP Solver Console'!C11)</f>
        <v>7.8333333333333326E-4</v>
      </c>
    </row>
    <row r="41" spans="1:4" x14ac:dyDescent="0.25">
      <c r="A41" s="23" t="s">
        <v>4004</v>
      </c>
      <c r="B41" s="23" t="s">
        <v>4011</v>
      </c>
      <c r="C41" s="46">
        <v>1.0900000000000001</v>
      </c>
      <c r="D41" s="24">
        <f xml:space="preserve"> C41 / (24 * 'VRP Solver Console'!C11)</f>
        <v>7.5694444444444453E-4</v>
      </c>
    </row>
    <row r="42" spans="1:4" x14ac:dyDescent="0.25">
      <c r="A42" s="23" t="s">
        <v>4004</v>
      </c>
      <c r="B42" s="23" t="s">
        <v>4012</v>
      </c>
      <c r="C42" s="47">
        <v>0.55600000000000005</v>
      </c>
      <c r="D42" s="25">
        <f xml:space="preserve"> C42 / (24 * 'VRP Solver Console'!C11)</f>
        <v>3.8611111111111116E-4</v>
      </c>
    </row>
    <row r="43" spans="1:4" x14ac:dyDescent="0.25">
      <c r="A43" s="23" t="s">
        <v>4004</v>
      </c>
      <c r="B43" s="23" t="s">
        <v>4013</v>
      </c>
      <c r="C43" s="46">
        <v>1.028</v>
      </c>
      <c r="D43" s="24">
        <f xml:space="preserve"> C43 / (24 * 'VRP Solver Console'!C11)</f>
        <v>7.1388888888888891E-4</v>
      </c>
    </row>
    <row r="44" spans="1:4" x14ac:dyDescent="0.25">
      <c r="A44" s="23" t="s">
        <v>4004</v>
      </c>
      <c r="B44" s="23" t="s">
        <v>4014</v>
      </c>
      <c r="C44" s="47">
        <v>1.5860000000000001</v>
      </c>
      <c r="D44" s="25">
        <f xml:space="preserve"> C44 / (24 * 'VRP Solver Console'!C11)</f>
        <v>1.1013888888888889E-3</v>
      </c>
    </row>
    <row r="45" spans="1:4" x14ac:dyDescent="0.25">
      <c r="A45" s="23" t="s">
        <v>4004</v>
      </c>
      <c r="B45" s="23" t="s">
        <v>4015</v>
      </c>
      <c r="C45" s="46">
        <v>2.5779999999999998</v>
      </c>
      <c r="D45" s="24">
        <f xml:space="preserve"> C45 / (24 * 'VRP Solver Console'!C11)</f>
        <v>1.7902777777777776E-3</v>
      </c>
    </row>
    <row r="46" spans="1:4" x14ac:dyDescent="0.25">
      <c r="A46" s="23" t="s">
        <v>4004</v>
      </c>
      <c r="B46" s="23" t="s">
        <v>4016</v>
      </c>
      <c r="C46" s="47">
        <v>3.028</v>
      </c>
      <c r="D46" s="25">
        <f xml:space="preserve"> C46 / (24 * 'VRP Solver Console'!C11)</f>
        <v>2.1027777777777776E-3</v>
      </c>
    </row>
    <row r="47" spans="1:4" x14ac:dyDescent="0.25">
      <c r="A47" s="23" t="s">
        <v>4005</v>
      </c>
      <c r="B47" s="23" t="s">
        <v>4020</v>
      </c>
      <c r="C47" s="46">
        <v>5.1210000000000004</v>
      </c>
      <c r="D47" s="24">
        <f xml:space="preserve"> C47 / (24 * 'VRP Solver Console'!C11)</f>
        <v>3.5562500000000004E-3</v>
      </c>
    </row>
    <row r="48" spans="1:4" x14ac:dyDescent="0.25">
      <c r="A48" s="23" t="s">
        <v>4005</v>
      </c>
      <c r="B48" s="23" t="s">
        <v>4003</v>
      </c>
      <c r="C48" s="47">
        <v>4.048</v>
      </c>
      <c r="D48" s="25">
        <f xml:space="preserve"> C48 / (24 * 'VRP Solver Console'!C11)</f>
        <v>2.811111111111111E-3</v>
      </c>
    </row>
    <row r="49" spans="1:4" x14ac:dyDescent="0.25">
      <c r="A49" s="23" t="s">
        <v>4005</v>
      </c>
      <c r="B49" s="23" t="s">
        <v>4004</v>
      </c>
      <c r="C49" s="46">
        <v>1.252</v>
      </c>
      <c r="D49" s="24">
        <f xml:space="preserve"> C49 / (24 * 'VRP Solver Console'!C11)</f>
        <v>8.694444444444445E-4</v>
      </c>
    </row>
    <row r="50" spans="1:4" x14ac:dyDescent="0.25">
      <c r="A50" s="23" t="s">
        <v>4005</v>
      </c>
      <c r="B50" s="23" t="s">
        <v>4005</v>
      </c>
      <c r="C50" s="47">
        <v>0</v>
      </c>
      <c r="D50" s="25">
        <v>0</v>
      </c>
    </row>
    <row r="51" spans="1:4" x14ac:dyDescent="0.25">
      <c r="A51" s="23" t="s">
        <v>4005</v>
      </c>
      <c r="B51" s="23" t="s">
        <v>4006</v>
      </c>
      <c r="C51" s="46">
        <v>1.51</v>
      </c>
      <c r="D51" s="24">
        <f xml:space="preserve"> C51 / (24 * 'VRP Solver Console'!C11)</f>
        <v>1.0486111111111111E-3</v>
      </c>
    </row>
    <row r="52" spans="1:4" x14ac:dyDescent="0.25">
      <c r="A52" s="23" t="s">
        <v>4005</v>
      </c>
      <c r="B52" s="23" t="s">
        <v>4007</v>
      </c>
      <c r="C52" s="47">
        <v>2.8780000000000001</v>
      </c>
      <c r="D52" s="25">
        <f xml:space="preserve"> C52 / (24 * 'VRP Solver Console'!C11)</f>
        <v>1.9986111111111112E-3</v>
      </c>
    </row>
    <row r="53" spans="1:4" x14ac:dyDescent="0.25">
      <c r="A53" s="23" t="s">
        <v>4005</v>
      </c>
      <c r="B53" s="23" t="s">
        <v>4008</v>
      </c>
      <c r="C53" s="46">
        <v>2.1480000000000001</v>
      </c>
      <c r="D53" s="24">
        <f xml:space="preserve"> C53 / (24 * 'VRP Solver Console'!C11)</f>
        <v>1.4916666666666667E-3</v>
      </c>
    </row>
    <row r="54" spans="1:4" x14ac:dyDescent="0.25">
      <c r="A54" s="23" t="s">
        <v>4005</v>
      </c>
      <c r="B54" s="23" t="s">
        <v>4009</v>
      </c>
      <c r="C54" s="47">
        <v>2.323</v>
      </c>
      <c r="D54" s="25">
        <f xml:space="preserve"> C54 / (24 * 'VRP Solver Console'!C11)</f>
        <v>1.6131944444444444E-3</v>
      </c>
    </row>
    <row r="55" spans="1:4" x14ac:dyDescent="0.25">
      <c r="A55" s="23" t="s">
        <v>4005</v>
      </c>
      <c r="B55" s="23" t="s">
        <v>4010</v>
      </c>
      <c r="C55" s="46">
        <v>1.2050000000000001</v>
      </c>
      <c r="D55" s="24">
        <f xml:space="preserve"> C55 / (24 * 'VRP Solver Console'!C11)</f>
        <v>8.3680555555555559E-4</v>
      </c>
    </row>
    <row r="56" spans="1:4" x14ac:dyDescent="0.25">
      <c r="A56" s="23" t="s">
        <v>4005</v>
      </c>
      <c r="B56" s="23" t="s">
        <v>4011</v>
      </c>
      <c r="C56" s="47">
        <v>1.244</v>
      </c>
      <c r="D56" s="25">
        <f xml:space="preserve"> C56 / (24 * 'VRP Solver Console'!C11)</f>
        <v>8.6388888888888887E-4</v>
      </c>
    </row>
    <row r="57" spans="1:4" x14ac:dyDescent="0.25">
      <c r="A57" s="23" t="s">
        <v>4005</v>
      </c>
      <c r="B57" s="23" t="s">
        <v>4012</v>
      </c>
      <c r="C57" s="46">
        <v>0.89600000000000002</v>
      </c>
      <c r="D57" s="24">
        <f xml:space="preserve"> C57 / (24 * 'VRP Solver Console'!C11)</f>
        <v>6.2222222222222225E-4</v>
      </c>
    </row>
    <row r="58" spans="1:4" x14ac:dyDescent="0.25">
      <c r="A58" s="23" t="s">
        <v>4005</v>
      </c>
      <c r="B58" s="23" t="s">
        <v>4013</v>
      </c>
      <c r="C58" s="47">
        <v>1.7290000000000001</v>
      </c>
      <c r="D58" s="25">
        <f xml:space="preserve"> C58 / (24 * 'VRP Solver Console'!C11)</f>
        <v>1.2006944444444446E-3</v>
      </c>
    </row>
    <row r="59" spans="1:4" x14ac:dyDescent="0.25">
      <c r="A59" s="23" t="s">
        <v>4005</v>
      </c>
      <c r="B59" s="23" t="s">
        <v>4014</v>
      </c>
      <c r="C59" s="46">
        <v>2.2869999999999999</v>
      </c>
      <c r="D59" s="24">
        <f xml:space="preserve"> C59 / (24 * 'VRP Solver Console'!C11)</f>
        <v>1.5881944444444444E-3</v>
      </c>
    </row>
    <row r="60" spans="1:4" x14ac:dyDescent="0.25">
      <c r="A60" s="23" t="s">
        <v>4005</v>
      </c>
      <c r="B60" s="23" t="s">
        <v>4015</v>
      </c>
      <c r="C60" s="47">
        <v>4.5010000000000003</v>
      </c>
      <c r="D60" s="25">
        <f xml:space="preserve"> C60 / (24 * 'VRP Solver Console'!C11)</f>
        <v>3.1256944444444448E-3</v>
      </c>
    </row>
    <row r="61" spans="1:4" x14ac:dyDescent="0.25">
      <c r="A61" s="23" t="s">
        <v>4005</v>
      </c>
      <c r="B61" s="23" t="s">
        <v>4016</v>
      </c>
      <c r="C61" s="46">
        <v>4.9509999999999996</v>
      </c>
      <c r="D61" s="24">
        <f xml:space="preserve"> C61 / (24 * 'VRP Solver Console'!C11)</f>
        <v>3.4381944444444442E-3</v>
      </c>
    </row>
    <row r="62" spans="1:4" x14ac:dyDescent="0.25">
      <c r="A62" s="23" t="s">
        <v>4006</v>
      </c>
      <c r="B62" s="23" t="s">
        <v>4020</v>
      </c>
      <c r="C62" s="47">
        <v>3.9460000000000002</v>
      </c>
      <c r="D62" s="25">
        <f xml:space="preserve"> C62 / (24 * 'VRP Solver Console'!C11)</f>
        <v>2.7402777777777781E-3</v>
      </c>
    </row>
    <row r="63" spans="1:4" x14ac:dyDescent="0.25">
      <c r="A63" s="23" t="s">
        <v>4006</v>
      </c>
      <c r="B63" s="23" t="s">
        <v>4003</v>
      </c>
      <c r="C63" s="46">
        <v>2.8730000000000002</v>
      </c>
      <c r="D63" s="24">
        <f xml:space="preserve"> C63 / (24 * 'VRP Solver Console'!C11)</f>
        <v>1.9951388888888892E-3</v>
      </c>
    </row>
    <row r="64" spans="1:4" x14ac:dyDescent="0.25">
      <c r="A64" s="23" t="s">
        <v>4006</v>
      </c>
      <c r="B64" s="23" t="s">
        <v>4004</v>
      </c>
      <c r="C64" s="47">
        <v>3.2130000000000001</v>
      </c>
      <c r="D64" s="25">
        <f xml:space="preserve"> C64 / (24 * 'VRP Solver Console'!C11)</f>
        <v>2.2312500000000002E-3</v>
      </c>
    </row>
    <row r="65" spans="1:4" x14ac:dyDescent="0.25">
      <c r="A65" s="23" t="s">
        <v>4006</v>
      </c>
      <c r="B65" s="23" t="s">
        <v>4005</v>
      </c>
      <c r="C65" s="46">
        <v>1.81</v>
      </c>
      <c r="D65" s="24">
        <f xml:space="preserve"> C65 / (24 * 'VRP Solver Console'!C11)</f>
        <v>1.2569444444444444E-3</v>
      </c>
    </row>
    <row r="66" spans="1:4" x14ac:dyDescent="0.25">
      <c r="A66" s="23" t="s">
        <v>4006</v>
      </c>
      <c r="B66" s="23" t="s">
        <v>4006</v>
      </c>
      <c r="C66" s="47">
        <v>0</v>
      </c>
      <c r="D66" s="25">
        <v>0</v>
      </c>
    </row>
    <row r="67" spans="1:4" x14ac:dyDescent="0.25">
      <c r="A67" s="23" t="s">
        <v>4006</v>
      </c>
      <c r="B67" s="23" t="s">
        <v>4007</v>
      </c>
      <c r="C67" s="46">
        <v>1.367</v>
      </c>
      <c r="D67" s="24">
        <f xml:space="preserve"> C67 / (24 * 'VRP Solver Console'!C11)</f>
        <v>9.4930555555555556E-4</v>
      </c>
    </row>
    <row r="68" spans="1:4" x14ac:dyDescent="0.25">
      <c r="A68" s="23" t="s">
        <v>4006</v>
      </c>
      <c r="B68" s="23" t="s">
        <v>4008</v>
      </c>
      <c r="C68" s="47">
        <v>0.63700000000000001</v>
      </c>
      <c r="D68" s="25">
        <f xml:space="preserve"> C68 / (24 * 'VRP Solver Console'!C11)</f>
        <v>4.4236111111111115E-4</v>
      </c>
    </row>
    <row r="69" spans="1:4" x14ac:dyDescent="0.25">
      <c r="A69" s="23" t="s">
        <v>4006</v>
      </c>
      <c r="B69" s="23" t="s">
        <v>4009</v>
      </c>
      <c r="C69" s="46">
        <v>1.1479999999999999</v>
      </c>
      <c r="D69" s="24">
        <f xml:space="preserve"> C69 / (24 * 'VRP Solver Console'!C11)</f>
        <v>7.9722222222222217E-4</v>
      </c>
    </row>
    <row r="70" spans="1:4" x14ac:dyDescent="0.25">
      <c r="A70" s="23" t="s">
        <v>4006</v>
      </c>
      <c r="B70" s="23" t="s">
        <v>4010</v>
      </c>
      <c r="C70" s="47">
        <v>1.923</v>
      </c>
      <c r="D70" s="25">
        <f xml:space="preserve"> C70 / (24 * 'VRP Solver Console'!C11)</f>
        <v>1.3354166666666666E-3</v>
      </c>
    </row>
    <row r="71" spans="1:4" x14ac:dyDescent="0.25">
      <c r="A71" s="23" t="s">
        <v>4006</v>
      </c>
      <c r="B71" s="23" t="s">
        <v>4011</v>
      </c>
      <c r="C71" s="46">
        <v>2.2810000000000001</v>
      </c>
      <c r="D71" s="24">
        <f xml:space="preserve"> C71 / (24 * 'VRP Solver Console'!C11)</f>
        <v>1.584027777777778E-3</v>
      </c>
    </row>
    <row r="72" spans="1:4" x14ac:dyDescent="0.25">
      <c r="A72" s="23" t="s">
        <v>4006</v>
      </c>
      <c r="B72" s="23" t="s">
        <v>4012</v>
      </c>
      <c r="C72" s="47">
        <v>2.63</v>
      </c>
      <c r="D72" s="25">
        <f xml:space="preserve"> C72 / (24 * 'VRP Solver Console'!C11)</f>
        <v>1.8263888888888889E-3</v>
      </c>
    </row>
    <row r="73" spans="1:4" x14ac:dyDescent="0.25">
      <c r="A73" s="23" t="s">
        <v>4006</v>
      </c>
      <c r="B73" s="23" t="s">
        <v>4013</v>
      </c>
      <c r="C73" s="46">
        <v>3.0630000000000002</v>
      </c>
      <c r="D73" s="24">
        <f xml:space="preserve"> C73 / (24 * 'VRP Solver Console'!C11)</f>
        <v>2.1270833333333333E-3</v>
      </c>
    </row>
    <row r="74" spans="1:4" x14ac:dyDescent="0.25">
      <c r="A74" s="23" t="s">
        <v>4006</v>
      </c>
      <c r="B74" s="23" t="s">
        <v>4014</v>
      </c>
      <c r="C74" s="47">
        <v>4.4749999999999996</v>
      </c>
      <c r="D74" s="25">
        <f xml:space="preserve"> C74 / (24 * 'VRP Solver Console'!C11)</f>
        <v>3.1076388888888885E-3</v>
      </c>
    </row>
    <row r="75" spans="1:4" x14ac:dyDescent="0.25">
      <c r="A75" s="23" t="s">
        <v>4006</v>
      </c>
      <c r="B75" s="23" t="s">
        <v>4015</v>
      </c>
      <c r="C75" s="46">
        <v>3.3260000000000001</v>
      </c>
      <c r="D75" s="24">
        <f xml:space="preserve"> C75 / (24 * 'VRP Solver Console'!C11)</f>
        <v>2.3097222222222221E-3</v>
      </c>
    </row>
    <row r="76" spans="1:4" x14ac:dyDescent="0.25">
      <c r="A76" s="23" t="s">
        <v>4006</v>
      </c>
      <c r="B76" s="23" t="s">
        <v>4016</v>
      </c>
      <c r="C76" s="47">
        <v>3.7759999999999998</v>
      </c>
      <c r="D76" s="25">
        <f xml:space="preserve"> C76 / (24 * 'VRP Solver Console'!C11)</f>
        <v>2.622222222222222E-3</v>
      </c>
    </row>
    <row r="77" spans="1:4" x14ac:dyDescent="0.25">
      <c r="A77" s="23" t="s">
        <v>4007</v>
      </c>
      <c r="B77" s="23" t="s">
        <v>4020</v>
      </c>
      <c r="C77" s="46">
        <v>5.4939999999999998</v>
      </c>
      <c r="D77" s="24">
        <f xml:space="preserve"> C77 / (24 * 'VRP Solver Console'!C11)</f>
        <v>3.8152777777777777E-3</v>
      </c>
    </row>
    <row r="78" spans="1:4" x14ac:dyDescent="0.25">
      <c r="A78" s="23" t="s">
        <v>4007</v>
      </c>
      <c r="B78" s="23" t="s">
        <v>4003</v>
      </c>
      <c r="C78" s="47">
        <v>4.4210000000000003</v>
      </c>
      <c r="D78" s="25">
        <f xml:space="preserve"> C78 / (24 * 'VRP Solver Console'!C11)</f>
        <v>3.0701388888888892E-3</v>
      </c>
    </row>
    <row r="79" spans="1:4" x14ac:dyDescent="0.25">
      <c r="A79" s="23" t="s">
        <v>4007</v>
      </c>
      <c r="B79" s="23" t="s">
        <v>4004</v>
      </c>
      <c r="C79" s="46">
        <v>4.7610000000000001</v>
      </c>
      <c r="D79" s="24">
        <f xml:space="preserve"> C79 / (24 * 'VRP Solver Console'!C11)</f>
        <v>3.3062500000000002E-3</v>
      </c>
    </row>
    <row r="80" spans="1:4" x14ac:dyDescent="0.25">
      <c r="A80" s="23" t="s">
        <v>4007</v>
      </c>
      <c r="B80" s="23" t="s">
        <v>4005</v>
      </c>
      <c r="C80" s="47">
        <v>3.3580000000000001</v>
      </c>
      <c r="D80" s="25">
        <f xml:space="preserve"> C80 / (24 * 'VRP Solver Console'!C11)</f>
        <v>2.3319444444444446E-3</v>
      </c>
    </row>
    <row r="81" spans="1:4" x14ac:dyDescent="0.25">
      <c r="A81" s="23" t="s">
        <v>4007</v>
      </c>
      <c r="B81" s="23" t="s">
        <v>4006</v>
      </c>
      <c r="C81" s="46">
        <v>1.698</v>
      </c>
      <c r="D81" s="24">
        <f xml:space="preserve"> C81 / (24 * 'VRP Solver Console'!C11)</f>
        <v>1.1791666666666667E-3</v>
      </c>
    </row>
    <row r="82" spans="1:4" x14ac:dyDescent="0.25">
      <c r="A82" s="23" t="s">
        <v>4007</v>
      </c>
      <c r="B82" s="23" t="s">
        <v>4007</v>
      </c>
      <c r="C82" s="47">
        <v>0</v>
      </c>
      <c r="D82" s="25">
        <v>0</v>
      </c>
    </row>
    <row r="83" spans="1:4" x14ac:dyDescent="0.25">
      <c r="A83" s="23" t="s">
        <v>4007</v>
      </c>
      <c r="B83" s="23" t="s">
        <v>4008</v>
      </c>
      <c r="C83" s="46">
        <v>1.167</v>
      </c>
      <c r="D83" s="24">
        <f xml:space="preserve"> C83 / (24 * 'VRP Solver Console'!C11)</f>
        <v>8.1041666666666664E-4</v>
      </c>
    </row>
    <row r="84" spans="1:4" x14ac:dyDescent="0.25">
      <c r="A84" s="23" t="s">
        <v>4007</v>
      </c>
      <c r="B84" s="23" t="s">
        <v>4009</v>
      </c>
      <c r="C84" s="47">
        <v>2.6960000000000002</v>
      </c>
      <c r="D84" s="25">
        <f xml:space="preserve"> C84 / (24 * 'VRP Solver Console'!C11)</f>
        <v>1.8722222222222224E-3</v>
      </c>
    </row>
    <row r="85" spans="1:4" x14ac:dyDescent="0.25">
      <c r="A85" s="23" t="s">
        <v>4007</v>
      </c>
      <c r="B85" s="23" t="s">
        <v>4010</v>
      </c>
      <c r="C85" s="46">
        <v>3.4710000000000001</v>
      </c>
      <c r="D85" s="24">
        <f xml:space="preserve"> C85 / (24 * 'VRP Solver Console'!C11)</f>
        <v>2.4104166666666666E-3</v>
      </c>
    </row>
    <row r="86" spans="1:4" x14ac:dyDescent="0.25">
      <c r="A86" s="23" t="s">
        <v>4007</v>
      </c>
      <c r="B86" s="23" t="s">
        <v>4011</v>
      </c>
      <c r="C86" s="47">
        <v>3.8290000000000002</v>
      </c>
      <c r="D86" s="25">
        <f xml:space="preserve"> C86 / (24 * 'VRP Solver Console'!C11)</f>
        <v>2.659027777777778E-3</v>
      </c>
    </row>
    <row r="87" spans="1:4" x14ac:dyDescent="0.25">
      <c r="A87" s="23" t="s">
        <v>4007</v>
      </c>
      <c r="B87" s="23" t="s">
        <v>4012</v>
      </c>
      <c r="C87" s="46">
        <v>4.1779999999999999</v>
      </c>
      <c r="D87" s="24">
        <f xml:space="preserve"> C87 / (24 * 'VRP Solver Console'!C11)</f>
        <v>2.9013888888888887E-3</v>
      </c>
    </row>
    <row r="88" spans="1:4" x14ac:dyDescent="0.25">
      <c r="A88" s="23" t="s">
        <v>4007</v>
      </c>
      <c r="B88" s="23" t="s">
        <v>4013</v>
      </c>
      <c r="C88" s="47">
        <v>4.6109999999999998</v>
      </c>
      <c r="D88" s="25">
        <f xml:space="preserve"> C88 / (24 * 'VRP Solver Console'!C11)</f>
        <v>3.2020833333333333E-3</v>
      </c>
    </row>
    <row r="89" spans="1:4" x14ac:dyDescent="0.25">
      <c r="A89" s="23" t="s">
        <v>4007</v>
      </c>
      <c r="B89" s="23" t="s">
        <v>4014</v>
      </c>
      <c r="C89" s="46">
        <v>6.0229999999999997</v>
      </c>
      <c r="D89" s="24">
        <f xml:space="preserve"> C89 / (24 * 'VRP Solver Console'!C11)</f>
        <v>4.1826388888888885E-3</v>
      </c>
    </row>
    <row r="90" spans="1:4" x14ac:dyDescent="0.25">
      <c r="A90" s="23" t="s">
        <v>4007</v>
      </c>
      <c r="B90" s="23" t="s">
        <v>4015</v>
      </c>
      <c r="C90" s="47">
        <v>4.8739999999999997</v>
      </c>
      <c r="D90" s="25">
        <f xml:space="preserve"> C90 / (24 * 'VRP Solver Console'!C11)</f>
        <v>3.3847222222222221E-3</v>
      </c>
    </row>
    <row r="91" spans="1:4" x14ac:dyDescent="0.25">
      <c r="A91" s="23" t="s">
        <v>4007</v>
      </c>
      <c r="B91" s="23" t="s">
        <v>4016</v>
      </c>
      <c r="C91" s="46">
        <v>5.3239999999999998</v>
      </c>
      <c r="D91" s="24">
        <f xml:space="preserve"> C91 / (24 * 'VRP Solver Console'!C11)</f>
        <v>3.697222222222222E-3</v>
      </c>
    </row>
    <row r="92" spans="1:4" x14ac:dyDescent="0.25">
      <c r="A92" s="23" t="s">
        <v>4008</v>
      </c>
      <c r="B92" s="23" t="s">
        <v>4020</v>
      </c>
      <c r="C92" s="47">
        <v>4.6859999999999999</v>
      </c>
      <c r="D92" s="25">
        <f xml:space="preserve"> C92 / (24 * 'VRP Solver Console'!C11)</f>
        <v>3.2541666666666665E-3</v>
      </c>
    </row>
    <row r="93" spans="1:4" x14ac:dyDescent="0.25">
      <c r="A93" s="23" t="s">
        <v>4008</v>
      </c>
      <c r="B93" s="23" t="s">
        <v>4003</v>
      </c>
      <c r="C93" s="46">
        <v>3.613</v>
      </c>
      <c r="D93" s="24">
        <f xml:space="preserve"> C93 / (24 * 'VRP Solver Console'!C11)</f>
        <v>2.5090277777777776E-3</v>
      </c>
    </row>
    <row r="94" spans="1:4" x14ac:dyDescent="0.25">
      <c r="A94" s="23" t="s">
        <v>4008</v>
      </c>
      <c r="B94" s="23" t="s">
        <v>4004</v>
      </c>
      <c r="C94" s="47">
        <v>3.9529999999999998</v>
      </c>
      <c r="D94" s="25">
        <f xml:space="preserve"> C94 / (24 * 'VRP Solver Console'!C11)</f>
        <v>2.745138888888889E-3</v>
      </c>
    </row>
    <row r="95" spans="1:4" x14ac:dyDescent="0.25">
      <c r="A95" s="23" t="s">
        <v>4008</v>
      </c>
      <c r="B95" s="23" t="s">
        <v>4005</v>
      </c>
      <c r="C95" s="46">
        <v>2.5499999999999998</v>
      </c>
      <c r="D95" s="24">
        <f xml:space="preserve"> C95 / (24 * 'VRP Solver Console'!C11)</f>
        <v>1.7708333333333332E-3</v>
      </c>
    </row>
    <row r="96" spans="1:4" x14ac:dyDescent="0.25">
      <c r="A96" s="23" t="s">
        <v>4008</v>
      </c>
      <c r="B96" s="23" t="s">
        <v>4006</v>
      </c>
      <c r="C96" s="47">
        <v>1.075</v>
      </c>
      <c r="D96" s="25">
        <f xml:space="preserve"> C96 / (24 * 'VRP Solver Console'!C11)</f>
        <v>7.4652777777777771E-4</v>
      </c>
    </row>
    <row r="97" spans="1:4" x14ac:dyDescent="0.25">
      <c r="A97" s="23" t="s">
        <v>4008</v>
      </c>
      <c r="B97" s="23" t="s">
        <v>4007</v>
      </c>
      <c r="C97" s="46">
        <v>1.1439999999999999</v>
      </c>
      <c r="D97" s="24">
        <f xml:space="preserve"> C97 / (24 * 'VRP Solver Console'!C11)</f>
        <v>7.9444444444444441E-4</v>
      </c>
    </row>
    <row r="98" spans="1:4" x14ac:dyDescent="0.25">
      <c r="A98" s="23" t="s">
        <v>4008</v>
      </c>
      <c r="B98" s="23" t="s">
        <v>4008</v>
      </c>
      <c r="C98" s="47">
        <v>0</v>
      </c>
      <c r="D98" s="25">
        <v>0</v>
      </c>
    </row>
    <row r="99" spans="1:4" x14ac:dyDescent="0.25">
      <c r="A99" s="23" t="s">
        <v>4008</v>
      </c>
      <c r="B99" s="23" t="s">
        <v>4009</v>
      </c>
      <c r="C99" s="46">
        <v>1.8879999999999999</v>
      </c>
      <c r="D99" s="24">
        <f xml:space="preserve"> C99 / (24 * 'VRP Solver Console'!C11)</f>
        <v>1.311111111111111E-3</v>
      </c>
    </row>
    <row r="100" spans="1:4" x14ac:dyDescent="0.25">
      <c r="A100" s="23" t="s">
        <v>4008</v>
      </c>
      <c r="B100" s="23" t="s">
        <v>4010</v>
      </c>
      <c r="C100" s="47">
        <v>2.6629999999999998</v>
      </c>
      <c r="D100" s="25">
        <f xml:space="preserve"> C100 / (24 * 'VRP Solver Console'!C11)</f>
        <v>1.8493055555555554E-3</v>
      </c>
    </row>
    <row r="101" spans="1:4" x14ac:dyDescent="0.25">
      <c r="A101" s="23" t="s">
        <v>4008</v>
      </c>
      <c r="B101" s="23" t="s">
        <v>4011</v>
      </c>
      <c r="C101" s="46">
        <v>3.0209999999999999</v>
      </c>
      <c r="D101" s="24">
        <f xml:space="preserve"> C101 / (24 * 'VRP Solver Console'!C11)</f>
        <v>2.0979166666666668E-3</v>
      </c>
    </row>
    <row r="102" spans="1:4" x14ac:dyDescent="0.25">
      <c r="A102" s="23" t="s">
        <v>4008</v>
      </c>
      <c r="B102" s="23" t="s">
        <v>4012</v>
      </c>
      <c r="C102" s="47">
        <v>3.37</v>
      </c>
      <c r="D102" s="25">
        <f xml:space="preserve"> C102 / (24 * 'VRP Solver Console'!C11)</f>
        <v>2.3402777777777779E-3</v>
      </c>
    </row>
    <row r="103" spans="1:4" x14ac:dyDescent="0.25">
      <c r="A103" s="23" t="s">
        <v>4008</v>
      </c>
      <c r="B103" s="23" t="s">
        <v>4013</v>
      </c>
      <c r="C103" s="46">
        <v>3.8029999999999999</v>
      </c>
      <c r="D103" s="24">
        <f xml:space="preserve"> C103 / (24 * 'VRP Solver Console'!C11)</f>
        <v>2.6409722222222221E-3</v>
      </c>
    </row>
    <row r="104" spans="1:4" x14ac:dyDescent="0.25">
      <c r="A104" s="23" t="s">
        <v>4008</v>
      </c>
      <c r="B104" s="23" t="s">
        <v>4014</v>
      </c>
      <c r="C104" s="47">
        <v>5.2149999999999999</v>
      </c>
      <c r="D104" s="25">
        <f xml:space="preserve"> C104 / (24 * 'VRP Solver Console'!C11)</f>
        <v>3.6215277777777778E-3</v>
      </c>
    </row>
    <row r="105" spans="1:4" x14ac:dyDescent="0.25">
      <c r="A105" s="23" t="s">
        <v>4008</v>
      </c>
      <c r="B105" s="23" t="s">
        <v>4015</v>
      </c>
      <c r="C105" s="46">
        <v>4.0659999999999998</v>
      </c>
      <c r="D105" s="24">
        <f xml:space="preserve"> C105 / (24 * 'VRP Solver Console'!C11)</f>
        <v>2.8236111111111109E-3</v>
      </c>
    </row>
    <row r="106" spans="1:4" x14ac:dyDescent="0.25">
      <c r="A106" s="23" t="s">
        <v>4008</v>
      </c>
      <c r="B106" s="23" t="s">
        <v>4016</v>
      </c>
      <c r="C106" s="47">
        <v>4.516</v>
      </c>
      <c r="D106" s="25">
        <f xml:space="preserve"> C106 / (24 * 'VRP Solver Console'!C11)</f>
        <v>3.1361111111111112E-3</v>
      </c>
    </row>
    <row r="107" spans="1:4" x14ac:dyDescent="0.25">
      <c r="A107" s="23" t="s">
        <v>4009</v>
      </c>
      <c r="B107" s="23" t="s">
        <v>4020</v>
      </c>
      <c r="C107" s="46">
        <v>2.7970000000000002</v>
      </c>
      <c r="D107" s="24">
        <f xml:space="preserve"> C107 / (24 * 'VRP Solver Console'!C11)</f>
        <v>1.9423611111111113E-3</v>
      </c>
    </row>
    <row r="108" spans="1:4" x14ac:dyDescent="0.25">
      <c r="A108" s="23" t="s">
        <v>4009</v>
      </c>
      <c r="B108" s="23" t="s">
        <v>4003</v>
      </c>
      <c r="C108" s="47">
        <v>1.724</v>
      </c>
      <c r="D108" s="25">
        <f xml:space="preserve"> C108 / (24 * 'VRP Solver Console'!C11)</f>
        <v>1.1972222222222221E-3</v>
      </c>
    </row>
    <row r="109" spans="1:4" x14ac:dyDescent="0.25">
      <c r="A109" s="23" t="s">
        <v>4009</v>
      </c>
      <c r="B109" s="23" t="s">
        <v>4004</v>
      </c>
      <c r="C109" s="46">
        <v>2.0640000000000001</v>
      </c>
      <c r="D109" s="24">
        <f xml:space="preserve"> C109 / (24 * 'VRP Solver Console'!C11)</f>
        <v>1.4333333333333333E-3</v>
      </c>
    </row>
    <row r="110" spans="1:4" x14ac:dyDescent="0.25">
      <c r="A110" s="23" t="s">
        <v>4009</v>
      </c>
      <c r="B110" s="23" t="s">
        <v>4005</v>
      </c>
      <c r="C110" s="47">
        <v>1.444</v>
      </c>
      <c r="D110" s="25">
        <f xml:space="preserve"> C110 / (24 * 'VRP Solver Console'!C11)</f>
        <v>1.0027777777777778E-3</v>
      </c>
    </row>
    <row r="111" spans="1:4" x14ac:dyDescent="0.25">
      <c r="A111" s="23" t="s">
        <v>4009</v>
      </c>
      <c r="B111" s="23" t="s">
        <v>4006</v>
      </c>
      <c r="C111" s="46">
        <v>1.6539999999999999</v>
      </c>
      <c r="D111" s="24">
        <f xml:space="preserve"> C111 / (24 * 'VRP Solver Console'!C11)</f>
        <v>1.1486111111111111E-3</v>
      </c>
    </row>
    <row r="112" spans="1:4" x14ac:dyDescent="0.25">
      <c r="A112" s="23" t="s">
        <v>4009</v>
      </c>
      <c r="B112" s="23" t="s">
        <v>4007</v>
      </c>
      <c r="C112" s="47">
        <v>3.9</v>
      </c>
      <c r="D112" s="25">
        <f xml:space="preserve"> C112 / (24 * 'VRP Solver Console'!C11)</f>
        <v>2.7083333333333334E-3</v>
      </c>
    </row>
    <row r="113" spans="1:4" x14ac:dyDescent="0.25">
      <c r="A113" s="23" t="s">
        <v>4009</v>
      </c>
      <c r="B113" s="23" t="s">
        <v>4008</v>
      </c>
      <c r="C113" s="46">
        <v>2.2919999999999998</v>
      </c>
      <c r="D113" s="24">
        <f xml:space="preserve"> C113 / (24 * 'VRP Solver Console'!C11)</f>
        <v>1.5916666666666666E-3</v>
      </c>
    </row>
    <row r="114" spans="1:4" x14ac:dyDescent="0.25">
      <c r="A114" s="23" t="s">
        <v>4009</v>
      </c>
      <c r="B114" s="23" t="s">
        <v>4009</v>
      </c>
      <c r="C114" s="47">
        <v>0</v>
      </c>
      <c r="D114" s="25">
        <v>0</v>
      </c>
    </row>
    <row r="115" spans="1:4" x14ac:dyDescent="0.25">
      <c r="A115" s="23" t="s">
        <v>4009</v>
      </c>
      <c r="B115" s="23" t="s">
        <v>4010</v>
      </c>
      <c r="C115" s="46">
        <v>0.77400000000000002</v>
      </c>
      <c r="D115" s="24">
        <f xml:space="preserve"> C115 / (24 * 'VRP Solver Console'!C11)</f>
        <v>5.375E-4</v>
      </c>
    </row>
    <row r="116" spans="1:4" x14ac:dyDescent="0.25">
      <c r="A116" s="23" t="s">
        <v>4009</v>
      </c>
      <c r="B116" s="23" t="s">
        <v>4011</v>
      </c>
      <c r="C116" s="47">
        <v>1.1319999999999999</v>
      </c>
      <c r="D116" s="25">
        <f xml:space="preserve"> C116 / (24 * 'VRP Solver Console'!C11)</f>
        <v>7.8611111111111102E-4</v>
      </c>
    </row>
    <row r="117" spans="1:4" x14ac:dyDescent="0.25">
      <c r="A117" s="23" t="s">
        <v>4009</v>
      </c>
      <c r="B117" s="23" t="s">
        <v>4012</v>
      </c>
      <c r="C117" s="46">
        <v>1.4810000000000001</v>
      </c>
      <c r="D117" s="24">
        <f xml:space="preserve"> C117 / (24 * 'VRP Solver Console'!C11)</f>
        <v>1.0284722222222223E-3</v>
      </c>
    </row>
    <row r="118" spans="1:4" x14ac:dyDescent="0.25">
      <c r="A118" s="23" t="s">
        <v>4009</v>
      </c>
      <c r="B118" s="23" t="s">
        <v>4013</v>
      </c>
      <c r="C118" s="47">
        <v>2.2160000000000002</v>
      </c>
      <c r="D118" s="25">
        <f xml:space="preserve"> C118 / (24 * 'VRP Solver Console'!C11)</f>
        <v>1.5388888888888891E-3</v>
      </c>
    </row>
    <row r="119" spans="1:4" x14ac:dyDescent="0.25">
      <c r="A119" s="23" t="s">
        <v>4009</v>
      </c>
      <c r="B119" s="23" t="s">
        <v>4014</v>
      </c>
      <c r="C119" s="46">
        <v>3.3260000000000001</v>
      </c>
      <c r="D119" s="24">
        <f xml:space="preserve"> C119 / (24 * 'VRP Solver Console'!C11)</f>
        <v>2.3097222222222221E-3</v>
      </c>
    </row>
    <row r="120" spans="1:4" x14ac:dyDescent="0.25">
      <c r="A120" s="23" t="s">
        <v>4009</v>
      </c>
      <c r="B120" s="23" t="s">
        <v>4015</v>
      </c>
      <c r="C120" s="47">
        <v>2.177</v>
      </c>
      <c r="D120" s="25">
        <f xml:space="preserve"> C120 / (24 * 'VRP Solver Console'!C11)</f>
        <v>1.5118055555555555E-3</v>
      </c>
    </row>
    <row r="121" spans="1:4" x14ac:dyDescent="0.25">
      <c r="A121" s="23" t="s">
        <v>4009</v>
      </c>
      <c r="B121" s="23" t="s">
        <v>4016</v>
      </c>
      <c r="C121" s="46">
        <v>2.6269999999999998</v>
      </c>
      <c r="D121" s="24">
        <f xml:space="preserve"> C121 / (24 * 'VRP Solver Console'!C11)</f>
        <v>1.8243055555555554E-3</v>
      </c>
    </row>
    <row r="122" spans="1:4" x14ac:dyDescent="0.25">
      <c r="A122" s="23" t="s">
        <v>4010</v>
      </c>
      <c r="B122" s="23" t="s">
        <v>4020</v>
      </c>
      <c r="C122" s="47">
        <v>2.9449999999999998</v>
      </c>
      <c r="D122" s="25">
        <f xml:space="preserve"> C122 / (24 * 'VRP Solver Console'!C11)</f>
        <v>2.0451388888888889E-3</v>
      </c>
    </row>
    <row r="123" spans="1:4" x14ac:dyDescent="0.25">
      <c r="A123" s="23" t="s">
        <v>4010</v>
      </c>
      <c r="B123" s="23" t="s">
        <v>4003</v>
      </c>
      <c r="C123" s="46">
        <v>0.95099999999999996</v>
      </c>
      <c r="D123" s="24">
        <f xml:space="preserve"> C123 / (24 * 'VRP Solver Console'!C11)</f>
        <v>6.6041666666666668E-4</v>
      </c>
    </row>
    <row r="124" spans="1:4" x14ac:dyDescent="0.25">
      <c r="A124" s="23" t="s">
        <v>4010</v>
      </c>
      <c r="B124" s="23" t="s">
        <v>4004</v>
      </c>
      <c r="C124" s="47">
        <v>1.2789999999999999</v>
      </c>
      <c r="D124" s="25">
        <f xml:space="preserve"> C124 / (24 * 'VRP Solver Console'!C11)</f>
        <v>8.8819444444444438E-4</v>
      </c>
    </row>
    <row r="125" spans="1:4" x14ac:dyDescent="0.25">
      <c r="A125" s="23" t="s">
        <v>4010</v>
      </c>
      <c r="B125" s="23" t="s">
        <v>4005</v>
      </c>
      <c r="C125" s="46">
        <v>1.177</v>
      </c>
      <c r="D125" s="24">
        <f xml:space="preserve"> C125 / (24 * 'VRP Solver Console'!C11)</f>
        <v>8.1736111111111115E-4</v>
      </c>
    </row>
    <row r="126" spans="1:4" x14ac:dyDescent="0.25">
      <c r="A126" s="23" t="s">
        <v>4010</v>
      </c>
      <c r="B126" s="23" t="s">
        <v>4006</v>
      </c>
      <c r="C126" s="47">
        <v>1.802</v>
      </c>
      <c r="D126" s="25">
        <f xml:space="preserve"> C126 / (24 * 'VRP Solver Console'!C11)</f>
        <v>1.2513888888888889E-3</v>
      </c>
    </row>
    <row r="127" spans="1:4" x14ac:dyDescent="0.25">
      <c r="A127" s="23" t="s">
        <v>4010</v>
      </c>
      <c r="B127" s="23" t="s">
        <v>4007</v>
      </c>
      <c r="C127" s="46">
        <v>4.048</v>
      </c>
      <c r="D127" s="24">
        <f xml:space="preserve"> C127 / (24 * 'VRP Solver Console'!C11)</f>
        <v>2.811111111111111E-3</v>
      </c>
    </row>
    <row r="128" spans="1:4" x14ac:dyDescent="0.25">
      <c r="A128" s="23" t="s">
        <v>4010</v>
      </c>
      <c r="B128" s="23" t="s">
        <v>4008</v>
      </c>
      <c r="C128" s="47">
        <v>2.44</v>
      </c>
      <c r="D128" s="25">
        <f xml:space="preserve"> C128 / (24 * 'VRP Solver Console'!C11)</f>
        <v>1.6944444444444444E-3</v>
      </c>
    </row>
    <row r="129" spans="1:4" x14ac:dyDescent="0.25">
      <c r="A129" s="23" t="s">
        <v>4010</v>
      </c>
      <c r="B129" s="23" t="s">
        <v>4009</v>
      </c>
      <c r="C129" s="46">
        <v>2.8</v>
      </c>
      <c r="D129" s="24">
        <f xml:space="preserve"> C129 / (24 * 'VRP Solver Console'!C11)</f>
        <v>1.9444444444444444E-3</v>
      </c>
    </row>
    <row r="130" spans="1:4" x14ac:dyDescent="0.25">
      <c r="A130" s="23" t="s">
        <v>4010</v>
      </c>
      <c r="B130" s="23" t="s">
        <v>4010</v>
      </c>
      <c r="C130" s="47">
        <v>0</v>
      </c>
      <c r="D130" s="25">
        <v>0</v>
      </c>
    </row>
    <row r="131" spans="1:4" x14ac:dyDescent="0.25">
      <c r="A131" s="23" t="s">
        <v>4010</v>
      </c>
      <c r="B131" s="23" t="s">
        <v>4011</v>
      </c>
      <c r="C131" s="46">
        <v>3.7999999999999999E-2</v>
      </c>
      <c r="D131" s="24">
        <f xml:space="preserve"> C131 / (24 * 'VRP Solver Console'!C11)</f>
        <v>2.6388888888888888E-5</v>
      </c>
    </row>
    <row r="132" spans="1:4" x14ac:dyDescent="0.25">
      <c r="A132" s="23" t="s">
        <v>4010</v>
      </c>
      <c r="B132" s="23" t="s">
        <v>4012</v>
      </c>
      <c r="C132" s="47">
        <v>0.49299999999999999</v>
      </c>
      <c r="D132" s="25">
        <f xml:space="preserve"> C132 / (24 * 'VRP Solver Console'!C11)</f>
        <v>3.423611111111111E-4</v>
      </c>
    </row>
    <row r="133" spans="1:4" x14ac:dyDescent="0.25">
      <c r="A133" s="23" t="s">
        <v>4010</v>
      </c>
      <c r="B133" s="23" t="s">
        <v>4013</v>
      </c>
      <c r="C133" s="46">
        <v>1.4450000000000001</v>
      </c>
      <c r="D133" s="24">
        <f xml:space="preserve"> C133 / (24 * 'VRP Solver Console'!C11)</f>
        <v>1.0034722222222222E-3</v>
      </c>
    </row>
    <row r="134" spans="1:4" x14ac:dyDescent="0.25">
      <c r="A134" s="23" t="s">
        <v>4010</v>
      </c>
      <c r="B134" s="23" t="s">
        <v>4014</v>
      </c>
      <c r="C134" s="47">
        <v>1.8839999999999999</v>
      </c>
      <c r="D134" s="25">
        <f xml:space="preserve"> C134 / (24 * 'VRP Solver Console'!C11)</f>
        <v>1.3083333333333332E-3</v>
      </c>
    </row>
    <row r="135" spans="1:4" x14ac:dyDescent="0.25">
      <c r="A135" s="23" t="s">
        <v>4010</v>
      </c>
      <c r="B135" s="23" t="s">
        <v>4015</v>
      </c>
      <c r="C135" s="46">
        <v>2.3250000000000002</v>
      </c>
      <c r="D135" s="24">
        <f xml:space="preserve"> C135 / (24 * 'VRP Solver Console'!C11)</f>
        <v>1.6145833333333335E-3</v>
      </c>
    </row>
    <row r="136" spans="1:4" x14ac:dyDescent="0.25">
      <c r="A136" s="23" t="s">
        <v>4010</v>
      </c>
      <c r="B136" s="23" t="s">
        <v>4016</v>
      </c>
      <c r="C136" s="47">
        <v>2.7749999999999999</v>
      </c>
      <c r="D136" s="25">
        <f xml:space="preserve"> C136 / (24 * 'VRP Solver Console'!C11)</f>
        <v>1.9270833333333332E-3</v>
      </c>
    </row>
    <row r="137" spans="1:4" x14ac:dyDescent="0.25">
      <c r="A137" s="23" t="s">
        <v>4011</v>
      </c>
      <c r="B137" s="23" t="s">
        <v>4020</v>
      </c>
      <c r="C137" s="46">
        <v>2.5089999999999999</v>
      </c>
      <c r="D137" s="24">
        <f xml:space="preserve"> C137 / (24 * 'VRP Solver Console'!C11)</f>
        <v>1.742361111111111E-3</v>
      </c>
    </row>
    <row r="138" spans="1:4" x14ac:dyDescent="0.25">
      <c r="A138" s="23" t="s">
        <v>4011</v>
      </c>
      <c r="B138" s="23" t="s">
        <v>4003</v>
      </c>
      <c r="C138" s="47">
        <v>0.91300000000000003</v>
      </c>
      <c r="D138" s="25">
        <f xml:space="preserve"> C138 / (24 * 'VRP Solver Console'!C11)</f>
        <v>6.3402777777777784E-4</v>
      </c>
    </row>
    <row r="139" spans="1:4" x14ac:dyDescent="0.25">
      <c r="A139" s="23" t="s">
        <v>4011</v>
      </c>
      <c r="B139" s="23" t="s">
        <v>4004</v>
      </c>
      <c r="C139" s="46">
        <v>1.2410000000000001</v>
      </c>
      <c r="D139" s="24">
        <f xml:space="preserve"> C139 / (24 * 'VRP Solver Console'!C11)</f>
        <v>8.6180555555555565E-4</v>
      </c>
    </row>
    <row r="140" spans="1:4" x14ac:dyDescent="0.25">
      <c r="A140" s="23" t="s">
        <v>4011</v>
      </c>
      <c r="B140" s="23" t="s">
        <v>4005</v>
      </c>
      <c r="C140" s="47">
        <v>1.331</v>
      </c>
      <c r="D140" s="25">
        <f xml:space="preserve"> C140 / (24 * 'VRP Solver Console'!C11)</f>
        <v>9.2430555555555549E-4</v>
      </c>
    </row>
    <row r="141" spans="1:4" x14ac:dyDescent="0.25">
      <c r="A141" s="23" t="s">
        <v>4011</v>
      </c>
      <c r="B141" s="23" t="s">
        <v>4006</v>
      </c>
      <c r="C141" s="46">
        <v>2.3239999999999998</v>
      </c>
      <c r="D141" s="24">
        <f xml:space="preserve"> C141 / (24 * 'VRP Solver Console'!C11)</f>
        <v>1.6138888888888889E-3</v>
      </c>
    </row>
    <row r="142" spans="1:4" x14ac:dyDescent="0.25">
      <c r="A142" s="23" t="s">
        <v>4011</v>
      </c>
      <c r="B142" s="23" t="s">
        <v>4007</v>
      </c>
      <c r="C142" s="47">
        <v>3.6120000000000001</v>
      </c>
      <c r="D142" s="25">
        <f xml:space="preserve"> C142 / (24 * 'VRP Solver Console'!C11)</f>
        <v>2.5083333333333333E-3</v>
      </c>
    </row>
    <row r="143" spans="1:4" x14ac:dyDescent="0.25">
      <c r="A143" s="23" t="s">
        <v>4011</v>
      </c>
      <c r="B143" s="23" t="s">
        <v>4008</v>
      </c>
      <c r="C143" s="46">
        <v>2.9620000000000002</v>
      </c>
      <c r="D143" s="24">
        <f xml:space="preserve"> C143 / (24 * 'VRP Solver Console'!C11)</f>
        <v>2.0569444444444446E-3</v>
      </c>
    </row>
    <row r="144" spans="1:4" x14ac:dyDescent="0.25">
      <c r="A144" s="23" t="s">
        <v>4011</v>
      </c>
      <c r="B144" s="23" t="s">
        <v>4009</v>
      </c>
      <c r="C144" s="47">
        <v>3.3220000000000001</v>
      </c>
      <c r="D144" s="25">
        <f xml:space="preserve"> C144 / (24 * 'VRP Solver Console'!C11)</f>
        <v>2.3069444444444444E-3</v>
      </c>
    </row>
    <row r="145" spans="1:4" x14ac:dyDescent="0.25">
      <c r="A145" s="23" t="s">
        <v>4011</v>
      </c>
      <c r="B145" s="23" t="s">
        <v>4010</v>
      </c>
      <c r="C145" s="46">
        <v>3.7999999999999999E-2</v>
      </c>
      <c r="D145" s="24">
        <f xml:space="preserve"> C145 / (24 * 'VRP Solver Console'!C11)</f>
        <v>2.6388888888888888E-5</v>
      </c>
    </row>
    <row r="146" spans="1:4" x14ac:dyDescent="0.25">
      <c r="A146" s="23" t="s">
        <v>4011</v>
      </c>
      <c r="B146" s="23" t="s">
        <v>4011</v>
      </c>
      <c r="C146" s="47">
        <v>0</v>
      </c>
      <c r="D146" s="25">
        <v>0</v>
      </c>
    </row>
    <row r="147" spans="1:4" x14ac:dyDescent="0.25">
      <c r="A147" s="23" t="s">
        <v>4011</v>
      </c>
      <c r="B147" s="23" t="s">
        <v>4012</v>
      </c>
      <c r="C147" s="46">
        <v>0.45500000000000002</v>
      </c>
      <c r="D147" s="24">
        <f xml:space="preserve"> C147 / (24 * 'VRP Solver Console'!C11)</f>
        <v>3.1597222222222221E-4</v>
      </c>
    </row>
    <row r="148" spans="1:4" x14ac:dyDescent="0.25">
      <c r="A148" s="23" t="s">
        <v>4011</v>
      </c>
      <c r="B148" s="23" t="s">
        <v>4013</v>
      </c>
      <c r="C148" s="47">
        <v>1.407</v>
      </c>
      <c r="D148" s="25">
        <f xml:space="preserve"> C148 / (24 * 'VRP Solver Console'!C11)</f>
        <v>9.7708333333333328E-4</v>
      </c>
    </row>
    <row r="149" spans="1:4" x14ac:dyDescent="0.25">
      <c r="A149" s="23" t="s">
        <v>4011</v>
      </c>
      <c r="B149" s="23" t="s">
        <v>4014</v>
      </c>
      <c r="C149" s="46">
        <v>1.8460000000000001</v>
      </c>
      <c r="D149" s="24">
        <f xml:space="preserve"> C149 / (24 * 'VRP Solver Console'!C11)</f>
        <v>1.2819444444444445E-3</v>
      </c>
    </row>
    <row r="150" spans="1:4" x14ac:dyDescent="0.25">
      <c r="A150" s="23" t="s">
        <v>4011</v>
      </c>
      <c r="B150" s="23" t="s">
        <v>4015</v>
      </c>
      <c r="C150" s="47">
        <v>1.889</v>
      </c>
      <c r="D150" s="25">
        <f xml:space="preserve"> C150 / (24 * 'VRP Solver Console'!C11)</f>
        <v>1.3118055555555556E-3</v>
      </c>
    </row>
    <row r="151" spans="1:4" x14ac:dyDescent="0.25">
      <c r="A151" s="23" t="s">
        <v>4011</v>
      </c>
      <c r="B151" s="23" t="s">
        <v>4016</v>
      </c>
      <c r="C151" s="46">
        <v>2.339</v>
      </c>
      <c r="D151" s="24">
        <f xml:space="preserve"> C151 / (24 * 'VRP Solver Console'!C11)</f>
        <v>1.6243055555555555E-3</v>
      </c>
    </row>
    <row r="152" spans="1:4" x14ac:dyDescent="0.25">
      <c r="A152" s="23" t="s">
        <v>4012</v>
      </c>
      <c r="B152" s="23" t="s">
        <v>4020</v>
      </c>
      <c r="C152" s="47">
        <v>1.8720000000000001</v>
      </c>
      <c r="D152" s="25">
        <f xml:space="preserve"> C152 / (24 * 'VRP Solver Console'!C11)</f>
        <v>1.3000000000000002E-3</v>
      </c>
    </row>
    <row r="153" spans="1:4" x14ac:dyDescent="0.25">
      <c r="A153" s="23" t="s">
        <v>4012</v>
      </c>
      <c r="B153" s="23" t="s">
        <v>4003</v>
      </c>
      <c r="C153" s="46">
        <v>1.099</v>
      </c>
      <c r="D153" s="24">
        <f xml:space="preserve"> C153 / (24 * 'VRP Solver Console'!C11)</f>
        <v>7.6319444444444438E-4</v>
      </c>
    </row>
    <row r="154" spans="1:4" x14ac:dyDescent="0.25">
      <c r="A154" s="23" t="s">
        <v>4012</v>
      </c>
      <c r="B154" s="23" t="s">
        <v>4004</v>
      </c>
      <c r="C154" s="47">
        <v>0.79300000000000004</v>
      </c>
      <c r="D154" s="25">
        <f xml:space="preserve"> C154 / (24 * 'VRP Solver Console'!C11)</f>
        <v>5.5069444444444447E-4</v>
      </c>
    </row>
    <row r="155" spans="1:4" x14ac:dyDescent="0.25">
      <c r="A155" s="23" t="s">
        <v>4012</v>
      </c>
      <c r="B155" s="23" t="s">
        <v>4005</v>
      </c>
      <c r="C155" s="46">
        <v>0.98399999999999999</v>
      </c>
      <c r="D155" s="24">
        <f xml:space="preserve"> C155 / (24 * 'VRP Solver Console'!C11)</f>
        <v>6.8333333333333332E-4</v>
      </c>
    </row>
    <row r="156" spans="1:4" x14ac:dyDescent="0.25">
      <c r="A156" s="23" t="s">
        <v>4012</v>
      </c>
      <c r="B156" s="23" t="s">
        <v>4006</v>
      </c>
      <c r="C156" s="47">
        <v>2.673</v>
      </c>
      <c r="D156" s="25">
        <f xml:space="preserve"> C156 / (24 * 'VRP Solver Console'!C11)</f>
        <v>1.85625E-3</v>
      </c>
    </row>
    <row r="157" spans="1:4" x14ac:dyDescent="0.25">
      <c r="A157" s="23" t="s">
        <v>4012</v>
      </c>
      <c r="B157" s="23" t="s">
        <v>4007</v>
      </c>
      <c r="C157" s="46">
        <v>3.9609999999999999</v>
      </c>
      <c r="D157" s="24">
        <f xml:space="preserve"> C157 / (24 * 'VRP Solver Console'!C11)</f>
        <v>2.7506944444444445E-3</v>
      </c>
    </row>
    <row r="158" spans="1:4" x14ac:dyDescent="0.25">
      <c r="A158" s="23" t="s">
        <v>4012</v>
      </c>
      <c r="B158" s="23" t="s">
        <v>4008</v>
      </c>
      <c r="C158" s="47">
        <v>3.3109999999999999</v>
      </c>
      <c r="D158" s="25">
        <f xml:space="preserve"> C158 / (24 * 'VRP Solver Console'!C11)</f>
        <v>2.2993055555555553E-3</v>
      </c>
    </row>
    <row r="159" spans="1:4" x14ac:dyDescent="0.25">
      <c r="A159" s="23" t="s">
        <v>4012</v>
      </c>
      <c r="B159" s="23" t="s">
        <v>4009</v>
      </c>
      <c r="C159" s="46">
        <v>2.8039999999999998</v>
      </c>
      <c r="D159" s="24">
        <f xml:space="preserve"> C159 / (24 * 'VRP Solver Console'!C11)</f>
        <v>1.9472222222222221E-3</v>
      </c>
    </row>
    <row r="160" spans="1:4" x14ac:dyDescent="0.25">
      <c r="A160" s="23" t="s">
        <v>4012</v>
      </c>
      <c r="B160" s="23" t="s">
        <v>4010</v>
      </c>
      <c r="C160" s="47">
        <v>0.49299999999999999</v>
      </c>
      <c r="D160" s="25">
        <f xml:space="preserve"> C160 / (24 * 'VRP Solver Console'!C11)</f>
        <v>3.423611111111111E-4</v>
      </c>
    </row>
    <row r="161" spans="1:4" x14ac:dyDescent="0.25">
      <c r="A161" s="23" t="s">
        <v>4012</v>
      </c>
      <c r="B161" s="23" t="s">
        <v>4011</v>
      </c>
      <c r="C161" s="46">
        <v>0.45500000000000002</v>
      </c>
      <c r="D161" s="24">
        <f xml:space="preserve"> C161 / (24 * 'VRP Solver Console'!C11)</f>
        <v>3.1597222222222221E-4</v>
      </c>
    </row>
    <row r="162" spans="1:4" x14ac:dyDescent="0.25">
      <c r="A162" s="23" t="s">
        <v>4012</v>
      </c>
      <c r="B162" s="23" t="s">
        <v>4012</v>
      </c>
      <c r="C162" s="47">
        <v>0</v>
      </c>
      <c r="D162" s="25">
        <v>0</v>
      </c>
    </row>
    <row r="163" spans="1:4" x14ac:dyDescent="0.25">
      <c r="A163" s="23" t="s">
        <v>4012</v>
      </c>
      <c r="B163" s="23" t="s">
        <v>4013</v>
      </c>
      <c r="C163" s="46">
        <v>0.95199999999999996</v>
      </c>
      <c r="D163" s="24">
        <f xml:space="preserve"> C163 / (24 * 'VRP Solver Console'!C11)</f>
        <v>6.6111111111111112E-4</v>
      </c>
    </row>
    <row r="164" spans="1:4" x14ac:dyDescent="0.25">
      <c r="A164" s="23" t="s">
        <v>4012</v>
      </c>
      <c r="B164" s="23" t="s">
        <v>4014</v>
      </c>
      <c r="C164" s="47">
        <v>1.3879999999999999</v>
      </c>
      <c r="D164" s="25">
        <f xml:space="preserve"> C164 / (24 * 'VRP Solver Console'!C11)</f>
        <v>9.638888888888888E-4</v>
      </c>
    </row>
    <row r="165" spans="1:4" x14ac:dyDescent="0.25">
      <c r="A165" s="23" t="s">
        <v>4012</v>
      </c>
      <c r="B165" s="23" t="s">
        <v>4015</v>
      </c>
      <c r="C165" s="46">
        <v>2.238</v>
      </c>
      <c r="D165" s="24">
        <f xml:space="preserve"> C165 / (24 * 'VRP Solver Console'!C11)</f>
        <v>1.5541666666666666E-3</v>
      </c>
    </row>
    <row r="166" spans="1:4" x14ac:dyDescent="0.25">
      <c r="A166" s="23" t="s">
        <v>4012</v>
      </c>
      <c r="B166" s="23" t="s">
        <v>4016</v>
      </c>
      <c r="C166" s="47">
        <v>2.6880000000000002</v>
      </c>
      <c r="D166" s="25">
        <f xml:space="preserve"> C166 / (24 * 'VRP Solver Console'!C11)</f>
        <v>1.8666666666666669E-3</v>
      </c>
    </row>
    <row r="167" spans="1:4" x14ac:dyDescent="0.25">
      <c r="A167" s="23" t="s">
        <v>4013</v>
      </c>
      <c r="B167" s="23" t="s">
        <v>4020</v>
      </c>
      <c r="C167" s="46">
        <v>1.0409999999999999</v>
      </c>
      <c r="D167" s="24">
        <f xml:space="preserve"> C167 / (24 * 'VRP Solver Console'!C11)</f>
        <v>7.2291666666666663E-4</v>
      </c>
    </row>
    <row r="168" spans="1:4" x14ac:dyDescent="0.25">
      <c r="A168" s="23" t="s">
        <v>4013</v>
      </c>
      <c r="B168" s="23" t="s">
        <v>4003</v>
      </c>
      <c r="C168" s="47">
        <v>0.63300000000000001</v>
      </c>
      <c r="D168" s="25">
        <f xml:space="preserve"> C168 / (24 * 'VRP Solver Console'!C11)</f>
        <v>4.3958333333333333E-4</v>
      </c>
    </row>
    <row r="169" spans="1:4" x14ac:dyDescent="0.25">
      <c r="A169" s="23" t="s">
        <v>4013</v>
      </c>
      <c r="B169" s="23" t="s">
        <v>4004</v>
      </c>
      <c r="C169" s="46">
        <v>0.93500000000000005</v>
      </c>
      <c r="D169" s="24">
        <f xml:space="preserve"> C169 / (24 * 'VRP Solver Console'!C11)</f>
        <v>6.4930555555555564E-4</v>
      </c>
    </row>
    <row r="170" spans="1:4" x14ac:dyDescent="0.25">
      <c r="A170" s="23" t="s">
        <v>4013</v>
      </c>
      <c r="B170" s="23" t="s">
        <v>4005</v>
      </c>
      <c r="C170" s="47">
        <v>1.679</v>
      </c>
      <c r="D170" s="25">
        <f xml:space="preserve"> C170 / (24 * 'VRP Solver Console'!C11)</f>
        <v>1.1659722222222223E-3</v>
      </c>
    </row>
    <row r="171" spans="1:4" x14ac:dyDescent="0.25">
      <c r="A171" s="23" t="s">
        <v>4013</v>
      </c>
      <c r="B171" s="23" t="s">
        <v>4006</v>
      </c>
      <c r="C171" s="46">
        <v>3.1890000000000001</v>
      </c>
      <c r="D171" s="24">
        <f xml:space="preserve"> C171 / (24 * 'VRP Solver Console'!C11)</f>
        <v>2.2145833333333332E-3</v>
      </c>
    </row>
    <row r="172" spans="1:4" x14ac:dyDescent="0.25">
      <c r="A172" s="23" t="s">
        <v>4013</v>
      </c>
      <c r="B172" s="23" t="s">
        <v>4007</v>
      </c>
      <c r="C172" s="47">
        <v>5.8890000000000002</v>
      </c>
      <c r="D172" s="25">
        <f xml:space="preserve"> C172 / (24 * 'VRP Solver Console'!C11)</f>
        <v>4.0895833333333331E-3</v>
      </c>
    </row>
    <row r="173" spans="1:4" x14ac:dyDescent="0.25">
      <c r="A173" s="23" t="s">
        <v>4013</v>
      </c>
      <c r="B173" s="23" t="s">
        <v>4008</v>
      </c>
      <c r="C173" s="46">
        <v>3.827</v>
      </c>
      <c r="D173" s="24">
        <f xml:space="preserve"> C173 / (24 * 'VRP Solver Console'!C11)</f>
        <v>2.6576388888888891E-3</v>
      </c>
    </row>
    <row r="174" spans="1:4" x14ac:dyDescent="0.25">
      <c r="A174" s="23" t="s">
        <v>4013</v>
      </c>
      <c r="B174" s="23" t="s">
        <v>4009</v>
      </c>
      <c r="C174" s="47">
        <v>4.0019999999999998</v>
      </c>
      <c r="D174" s="25">
        <f xml:space="preserve"> C174 / (24 * 'VRP Solver Console'!C11)</f>
        <v>2.7791666666666663E-3</v>
      </c>
    </row>
    <row r="175" spans="1:4" x14ac:dyDescent="0.25">
      <c r="A175" s="23" t="s">
        <v>4013</v>
      </c>
      <c r="B175" s="23" t="s">
        <v>4010</v>
      </c>
      <c r="C175" s="46">
        <v>1.585</v>
      </c>
      <c r="D175" s="24">
        <f xml:space="preserve"> C175 / (24 * 'VRP Solver Console'!C11)</f>
        <v>1.1006944444444445E-3</v>
      </c>
    </row>
    <row r="176" spans="1:4" x14ac:dyDescent="0.25">
      <c r="A176" s="23" t="s">
        <v>4013</v>
      </c>
      <c r="B176" s="23" t="s">
        <v>4011</v>
      </c>
      <c r="C176" s="47">
        <v>1.5469999999999999</v>
      </c>
      <c r="D176" s="25">
        <f xml:space="preserve"> C176 / (24 * 'VRP Solver Console'!C11)</f>
        <v>1.0743055555555556E-3</v>
      </c>
    </row>
    <row r="177" spans="1:4" x14ac:dyDescent="0.25">
      <c r="A177" s="23" t="s">
        <v>4013</v>
      </c>
      <c r="B177" s="23" t="s">
        <v>4012</v>
      </c>
      <c r="C177" s="46">
        <v>1.091</v>
      </c>
      <c r="D177" s="24">
        <f xml:space="preserve"> C177 / (24 * 'VRP Solver Console'!C11)</f>
        <v>7.5763888888888886E-4</v>
      </c>
    </row>
    <row r="178" spans="1:4" x14ac:dyDescent="0.25">
      <c r="A178" s="23" t="s">
        <v>4013</v>
      </c>
      <c r="B178" s="23" t="s">
        <v>4013</v>
      </c>
      <c r="C178" s="47">
        <v>0</v>
      </c>
      <c r="D178" s="25">
        <v>0</v>
      </c>
    </row>
    <row r="179" spans="1:4" x14ac:dyDescent="0.25">
      <c r="A179" s="23" t="s">
        <v>4013</v>
      </c>
      <c r="B179" s="23" t="s">
        <v>4014</v>
      </c>
      <c r="C179" s="46">
        <v>0.55700000000000005</v>
      </c>
      <c r="D179" s="24">
        <f xml:space="preserve"> C179 / (24 * 'VRP Solver Console'!C11)</f>
        <v>3.868055555555556E-4</v>
      </c>
    </row>
    <row r="180" spans="1:4" x14ac:dyDescent="0.25">
      <c r="A180" s="23" t="s">
        <v>4013</v>
      </c>
      <c r="B180" s="23" t="s">
        <v>4015</v>
      </c>
      <c r="C180" s="47">
        <v>1.4019999999999999</v>
      </c>
      <c r="D180" s="25">
        <f xml:space="preserve"> C180 / (24 * 'VRP Solver Console'!C11)</f>
        <v>9.7361111111111107E-4</v>
      </c>
    </row>
    <row r="181" spans="1:4" x14ac:dyDescent="0.25">
      <c r="A181" s="23" t="s">
        <v>4013</v>
      </c>
      <c r="B181" s="23" t="s">
        <v>4016</v>
      </c>
      <c r="C181" s="46">
        <v>1.8520000000000001</v>
      </c>
      <c r="D181" s="24">
        <f xml:space="preserve"> C181 / (24 * 'VRP Solver Console'!C11)</f>
        <v>1.2861111111111111E-3</v>
      </c>
    </row>
    <row r="182" spans="1:4" x14ac:dyDescent="0.25">
      <c r="A182" s="23" t="s">
        <v>4014</v>
      </c>
      <c r="B182" s="23" t="s">
        <v>4020</v>
      </c>
      <c r="C182" s="47">
        <v>0.51600000000000001</v>
      </c>
      <c r="D182" s="25">
        <f xml:space="preserve"> C182 / (24 * 'VRP Solver Console'!C11)</f>
        <v>3.5833333333333333E-4</v>
      </c>
    </row>
    <row r="183" spans="1:4" x14ac:dyDescent="0.25">
      <c r="A183" s="23" t="s">
        <v>4014</v>
      </c>
      <c r="B183" s="23" t="s">
        <v>4003</v>
      </c>
      <c r="C183" s="46">
        <v>1.4379999999999999</v>
      </c>
      <c r="D183" s="24">
        <f xml:space="preserve"> C183 / (24 * 'VRP Solver Console'!C11)</f>
        <v>9.9861111111111114E-4</v>
      </c>
    </row>
    <row r="184" spans="1:4" x14ac:dyDescent="0.25">
      <c r="A184" s="23" t="s">
        <v>4014</v>
      </c>
      <c r="B184" s="23" t="s">
        <v>4004</v>
      </c>
      <c r="C184" s="47">
        <v>1.2829999999999999</v>
      </c>
      <c r="D184" s="25">
        <f xml:space="preserve"> C184 / (24 * 'VRP Solver Console'!C11)</f>
        <v>8.9097222222222214E-4</v>
      </c>
    </row>
    <row r="185" spans="1:4" x14ac:dyDescent="0.25">
      <c r="A185" s="23" t="s">
        <v>4014</v>
      </c>
      <c r="B185" s="23" t="s">
        <v>4005</v>
      </c>
      <c r="C185" s="46">
        <v>2.0270000000000001</v>
      </c>
      <c r="D185" s="24">
        <f xml:space="preserve"> C185 / (24 * 'VRP Solver Console'!C11)</f>
        <v>1.407638888888889E-3</v>
      </c>
    </row>
    <row r="186" spans="1:4" x14ac:dyDescent="0.25">
      <c r="A186" s="23" t="s">
        <v>4014</v>
      </c>
      <c r="B186" s="23" t="s">
        <v>4006</v>
      </c>
      <c r="C186" s="47">
        <v>4.3920000000000003</v>
      </c>
      <c r="D186" s="25">
        <f xml:space="preserve"> C186 / (24 * 'VRP Solver Console'!C11)</f>
        <v>3.0500000000000002E-3</v>
      </c>
    </row>
    <row r="187" spans="1:4" x14ac:dyDescent="0.25">
      <c r="A187" s="23" t="s">
        <v>4014</v>
      </c>
      <c r="B187" s="23" t="s">
        <v>4007</v>
      </c>
      <c r="C187" s="46">
        <v>5.68</v>
      </c>
      <c r="D187" s="24">
        <f xml:space="preserve"> C187 / (24 * 'VRP Solver Console'!C11)</f>
        <v>3.944444444444444E-3</v>
      </c>
    </row>
    <row r="188" spans="1:4" x14ac:dyDescent="0.25">
      <c r="A188" s="23" t="s">
        <v>4014</v>
      </c>
      <c r="B188" s="23" t="s">
        <v>4008</v>
      </c>
      <c r="C188" s="47">
        <v>5.03</v>
      </c>
      <c r="D188" s="25">
        <f xml:space="preserve"> C188 / (24 * 'VRP Solver Console'!C11)</f>
        <v>3.4930555555555557E-3</v>
      </c>
    </row>
    <row r="189" spans="1:4" x14ac:dyDescent="0.25">
      <c r="A189" s="23" t="s">
        <v>4014</v>
      </c>
      <c r="B189" s="23" t="s">
        <v>4009</v>
      </c>
      <c r="C189" s="46">
        <v>5.39</v>
      </c>
      <c r="D189" s="24">
        <f xml:space="preserve"> C189 / (24 * 'VRP Solver Console'!C11)</f>
        <v>3.7430555555555555E-3</v>
      </c>
    </row>
    <row r="190" spans="1:4" x14ac:dyDescent="0.25">
      <c r="A190" s="23" t="s">
        <v>4014</v>
      </c>
      <c r="B190" s="23" t="s">
        <v>4010</v>
      </c>
      <c r="C190" s="47">
        <v>2.2690000000000001</v>
      </c>
      <c r="D190" s="25">
        <f xml:space="preserve"> C190 / (24 * 'VRP Solver Console'!C11)</f>
        <v>1.5756944444444445E-3</v>
      </c>
    </row>
    <row r="191" spans="1:4" x14ac:dyDescent="0.25">
      <c r="A191" s="23" t="s">
        <v>4014</v>
      </c>
      <c r="B191" s="23" t="s">
        <v>4011</v>
      </c>
      <c r="C191" s="46">
        <v>2.2309999999999999</v>
      </c>
      <c r="D191" s="24">
        <f xml:space="preserve"> C191 / (24 * 'VRP Solver Console'!C11)</f>
        <v>1.5493055555555555E-3</v>
      </c>
    </row>
    <row r="192" spans="1:4" x14ac:dyDescent="0.25">
      <c r="A192" s="23" t="s">
        <v>4014</v>
      </c>
      <c r="B192" s="23" t="s">
        <v>4012</v>
      </c>
      <c r="C192" s="47">
        <v>1.5629999999999999</v>
      </c>
      <c r="D192" s="25">
        <f xml:space="preserve"> C192 / (24 * 'VRP Solver Console'!C11)</f>
        <v>1.0854166666666666E-3</v>
      </c>
    </row>
    <row r="193" spans="1:4" x14ac:dyDescent="0.25">
      <c r="A193" s="23" t="s">
        <v>4014</v>
      </c>
      <c r="B193" s="23" t="s">
        <v>4013</v>
      </c>
      <c r="C193" s="46">
        <v>0.86899999999999999</v>
      </c>
      <c r="D193" s="24">
        <f xml:space="preserve"> C193 / (24 * 'VRP Solver Console'!C11)</f>
        <v>6.0347222222222226E-4</v>
      </c>
    </row>
    <row r="194" spans="1:4" x14ac:dyDescent="0.25">
      <c r="A194" s="23" t="s">
        <v>4014</v>
      </c>
      <c r="B194" s="23" t="s">
        <v>4014</v>
      </c>
      <c r="C194" s="47">
        <v>0</v>
      </c>
      <c r="D194" s="25">
        <v>0</v>
      </c>
    </row>
    <row r="195" spans="1:4" x14ac:dyDescent="0.25">
      <c r="A195" s="23" t="s">
        <v>4014</v>
      </c>
      <c r="B195" s="23" t="s">
        <v>4015</v>
      </c>
      <c r="C195" s="46">
        <v>1.1930000000000001</v>
      </c>
      <c r="D195" s="24">
        <f xml:space="preserve"> C195 / (24 * 'VRP Solver Console'!C11)</f>
        <v>8.2847222222222231E-4</v>
      </c>
    </row>
    <row r="196" spans="1:4" x14ac:dyDescent="0.25">
      <c r="A196" s="23" t="s">
        <v>4014</v>
      </c>
      <c r="B196" s="23" t="s">
        <v>4016</v>
      </c>
      <c r="C196" s="47">
        <v>1.643</v>
      </c>
      <c r="D196" s="25">
        <f xml:space="preserve"> C196 / (24 * 'VRP Solver Console'!C11)</f>
        <v>1.1409722222222223E-3</v>
      </c>
    </row>
    <row r="197" spans="1:4" x14ac:dyDescent="0.25">
      <c r="A197" s="23" t="s">
        <v>4015</v>
      </c>
      <c r="B197" s="23" t="s">
        <v>4020</v>
      </c>
      <c r="C197" s="46">
        <v>0.94499999999999995</v>
      </c>
      <c r="D197" s="24">
        <f xml:space="preserve"> C197 / (24 * 'VRP Solver Console'!C11)</f>
        <v>6.5624999999999993E-4</v>
      </c>
    </row>
    <row r="198" spans="1:4" x14ac:dyDescent="0.25">
      <c r="A198" s="23" t="s">
        <v>4015</v>
      </c>
      <c r="B198" s="23" t="s">
        <v>4003</v>
      </c>
      <c r="C198" s="47">
        <v>1.347</v>
      </c>
      <c r="D198" s="25">
        <f xml:space="preserve"> C198 / (24 * 'VRP Solver Console'!C11)</f>
        <v>9.3541666666666664E-4</v>
      </c>
    </row>
    <row r="199" spans="1:4" x14ac:dyDescent="0.25">
      <c r="A199" s="23" t="s">
        <v>4015</v>
      </c>
      <c r="B199" s="23" t="s">
        <v>4004</v>
      </c>
      <c r="C199" s="46">
        <v>2.1230000000000002</v>
      </c>
      <c r="D199" s="24">
        <f xml:space="preserve"> C199 / (24 * 'VRP Solver Console'!C11)</f>
        <v>1.4743055555555557E-3</v>
      </c>
    </row>
    <row r="200" spans="1:4" x14ac:dyDescent="0.25">
      <c r="A200" s="23" t="s">
        <v>4015</v>
      </c>
      <c r="B200" s="23" t="s">
        <v>4005</v>
      </c>
      <c r="C200" s="47">
        <v>4.859</v>
      </c>
      <c r="D200" s="25">
        <f xml:space="preserve"> C200 / (24 * 'VRP Solver Console'!C11)</f>
        <v>3.3743055555555557E-3</v>
      </c>
    </row>
    <row r="201" spans="1:4" x14ac:dyDescent="0.25">
      <c r="A201" s="23" t="s">
        <v>4015</v>
      </c>
      <c r="B201" s="23" t="s">
        <v>4006</v>
      </c>
      <c r="C201" s="46">
        <v>3.1989999999999998</v>
      </c>
      <c r="D201" s="24">
        <f xml:space="preserve"> C201 / (24 * 'VRP Solver Console'!C11)</f>
        <v>2.2215277777777776E-3</v>
      </c>
    </row>
    <row r="202" spans="1:4" x14ac:dyDescent="0.25">
      <c r="A202" s="23" t="s">
        <v>4015</v>
      </c>
      <c r="B202" s="23" t="s">
        <v>4007</v>
      </c>
      <c r="C202" s="47">
        <v>4.4870000000000001</v>
      </c>
      <c r="D202" s="25">
        <f xml:space="preserve"> C202 / (24 * 'VRP Solver Console'!C11)</f>
        <v>3.1159722222222222E-3</v>
      </c>
    </row>
    <row r="203" spans="1:4" x14ac:dyDescent="0.25">
      <c r="A203" s="23" t="s">
        <v>4015</v>
      </c>
      <c r="B203" s="23" t="s">
        <v>4008</v>
      </c>
      <c r="C203" s="46">
        <v>3.8370000000000002</v>
      </c>
      <c r="D203" s="24">
        <f xml:space="preserve"> C203 / (24 * 'VRP Solver Console'!C11)</f>
        <v>2.6645833333333335E-3</v>
      </c>
    </row>
    <row r="204" spans="1:4" x14ac:dyDescent="0.25">
      <c r="A204" s="23" t="s">
        <v>4015</v>
      </c>
      <c r="B204" s="23" t="s">
        <v>4009</v>
      </c>
      <c r="C204" s="47">
        <v>4.1970000000000001</v>
      </c>
      <c r="D204" s="25">
        <f xml:space="preserve"> C204 / (24 * 'VRP Solver Console'!C11)</f>
        <v>2.9145833333333333E-3</v>
      </c>
    </row>
    <row r="205" spans="1:4" x14ac:dyDescent="0.25">
      <c r="A205" s="23" t="s">
        <v>4015</v>
      </c>
      <c r="B205" s="23" t="s">
        <v>4010</v>
      </c>
      <c r="C205" s="46">
        <v>2.3860000000000001</v>
      </c>
      <c r="D205" s="24">
        <f xml:space="preserve"> C205 / (24 * 'VRP Solver Console'!C11)</f>
        <v>1.6569444444444446E-3</v>
      </c>
    </row>
    <row r="206" spans="1:4" x14ac:dyDescent="0.25">
      <c r="A206" s="23" t="s">
        <v>4015</v>
      </c>
      <c r="B206" s="23" t="s">
        <v>4011</v>
      </c>
      <c r="C206" s="47">
        <v>2.3479999999999999</v>
      </c>
      <c r="D206" s="25">
        <f xml:space="preserve"> C206 / (24 * 'VRP Solver Console'!C11)</f>
        <v>1.6305555555555554E-3</v>
      </c>
    </row>
    <row r="207" spans="1:4" x14ac:dyDescent="0.25">
      <c r="A207" s="23" t="s">
        <v>4015</v>
      </c>
      <c r="B207" s="23" t="s">
        <v>4012</v>
      </c>
      <c r="C207" s="46">
        <v>2.6920000000000002</v>
      </c>
      <c r="D207" s="24">
        <f xml:space="preserve"> C207 / (24 * 'VRP Solver Console'!C11)</f>
        <v>1.8694444444444446E-3</v>
      </c>
    </row>
    <row r="208" spans="1:4" x14ac:dyDescent="0.25">
      <c r="A208" s="23" t="s">
        <v>4015</v>
      </c>
      <c r="B208" s="23" t="s">
        <v>4013</v>
      </c>
      <c r="C208" s="47">
        <v>1.7470000000000001</v>
      </c>
      <c r="D208" s="25">
        <f xml:space="preserve"> C208 / (24 * 'VRP Solver Console'!C11)</f>
        <v>1.2131944444444445E-3</v>
      </c>
    </row>
    <row r="209" spans="1:4" x14ac:dyDescent="0.25">
      <c r="A209" s="23" t="s">
        <v>4015</v>
      </c>
      <c r="B209" s="23" t="s">
        <v>4014</v>
      </c>
      <c r="C209" s="46">
        <v>1.474</v>
      </c>
      <c r="D209" s="24">
        <f xml:space="preserve"> C209 / (24 * 'VRP Solver Console'!C11)</f>
        <v>1.023611111111111E-3</v>
      </c>
    </row>
    <row r="210" spans="1:4" x14ac:dyDescent="0.25">
      <c r="A210" s="23" t="s">
        <v>4015</v>
      </c>
      <c r="B210" s="23" t="s">
        <v>4015</v>
      </c>
      <c r="C210" s="47">
        <v>0</v>
      </c>
      <c r="D210" s="25">
        <v>0</v>
      </c>
    </row>
    <row r="211" spans="1:4" x14ac:dyDescent="0.25">
      <c r="A211" s="23" t="s">
        <v>4015</v>
      </c>
      <c r="B211" s="23" t="s">
        <v>4016</v>
      </c>
      <c r="C211" s="46">
        <v>0.45</v>
      </c>
      <c r="D211" s="24">
        <f xml:space="preserve"> C211 / (24 * 'VRP Solver Console'!C11)</f>
        <v>3.1250000000000001E-4</v>
      </c>
    </row>
    <row r="212" spans="1:4" x14ac:dyDescent="0.25">
      <c r="A212" s="23" t="s">
        <v>4016</v>
      </c>
      <c r="B212" s="23" t="s">
        <v>4020</v>
      </c>
      <c r="C212" s="47">
        <v>1.2669999999999999</v>
      </c>
      <c r="D212" s="25">
        <f xml:space="preserve"> C212 / (24 * 'VRP Solver Console'!C11)</f>
        <v>8.7986111111111099E-4</v>
      </c>
    </row>
    <row r="213" spans="1:4" x14ac:dyDescent="0.25">
      <c r="A213" s="23" t="s">
        <v>4016</v>
      </c>
      <c r="B213" s="23" t="s">
        <v>4003</v>
      </c>
      <c r="C213" s="46">
        <v>1.7629999999999999</v>
      </c>
      <c r="D213" s="24">
        <f xml:space="preserve"> C213 / (24 * 'VRP Solver Console'!C11)</f>
        <v>1.2243055555555555E-3</v>
      </c>
    </row>
    <row r="214" spans="1:4" x14ac:dyDescent="0.25">
      <c r="A214" s="23" t="s">
        <v>4016</v>
      </c>
      <c r="B214" s="23" t="s">
        <v>4004</v>
      </c>
      <c r="C214" s="47">
        <v>2.4449999999999998</v>
      </c>
      <c r="D214" s="25">
        <f xml:space="preserve"> C214 / (24 * 'VRP Solver Console'!C11)</f>
        <v>1.6979166666666666E-3</v>
      </c>
    </row>
    <row r="215" spans="1:4" x14ac:dyDescent="0.25">
      <c r="A215" s="23" t="s">
        <v>4016</v>
      </c>
      <c r="B215" s="23" t="s">
        <v>4005</v>
      </c>
      <c r="C215" s="46">
        <v>3.1890000000000001</v>
      </c>
      <c r="D215" s="24">
        <f xml:space="preserve"> C215 / (24 * 'VRP Solver Console'!C11)</f>
        <v>2.2145833333333332E-3</v>
      </c>
    </row>
    <row r="216" spans="1:4" x14ac:dyDescent="0.25">
      <c r="A216" s="23" t="s">
        <v>4016</v>
      </c>
      <c r="B216" s="23" t="s">
        <v>4006</v>
      </c>
      <c r="C216" s="47">
        <v>3.6150000000000002</v>
      </c>
      <c r="D216" s="25">
        <f xml:space="preserve"> C216 / (24 * 'VRP Solver Console'!C11)</f>
        <v>2.5104166666666669E-3</v>
      </c>
    </row>
    <row r="217" spans="1:4" x14ac:dyDescent="0.25">
      <c r="A217" s="23" t="s">
        <v>4016</v>
      </c>
      <c r="B217" s="23" t="s">
        <v>4007</v>
      </c>
      <c r="C217" s="46">
        <v>4.9029999999999996</v>
      </c>
      <c r="D217" s="24">
        <f xml:space="preserve"> C217 / (24 * 'VRP Solver Console'!C11)</f>
        <v>3.4048611111111107E-3</v>
      </c>
    </row>
    <row r="218" spans="1:4" x14ac:dyDescent="0.25">
      <c r="A218" s="23" t="s">
        <v>4016</v>
      </c>
      <c r="B218" s="23" t="s">
        <v>4008</v>
      </c>
      <c r="C218" s="47">
        <v>4.2530000000000001</v>
      </c>
      <c r="D218" s="25">
        <f xml:space="preserve"> C218 / (24 * 'VRP Solver Console'!C11)</f>
        <v>2.9534722222222223E-3</v>
      </c>
    </row>
    <row r="219" spans="1:4" x14ac:dyDescent="0.25">
      <c r="A219" s="23" t="s">
        <v>4016</v>
      </c>
      <c r="B219" s="23" t="s">
        <v>4009</v>
      </c>
      <c r="C219" s="46">
        <v>4.6130000000000004</v>
      </c>
      <c r="D219" s="24">
        <f xml:space="preserve"> C219 / (24 * 'VRP Solver Console'!C11)</f>
        <v>3.2034722222222226E-3</v>
      </c>
    </row>
    <row r="220" spans="1:4" x14ac:dyDescent="0.25">
      <c r="A220" s="23" t="s">
        <v>4016</v>
      </c>
      <c r="B220" s="23" t="s">
        <v>4010</v>
      </c>
      <c r="C220" s="47">
        <v>2.802</v>
      </c>
      <c r="D220" s="25">
        <f xml:space="preserve"> C220 / (24 * 'VRP Solver Console'!C11)</f>
        <v>1.9458333333333333E-3</v>
      </c>
    </row>
    <row r="221" spans="1:4" x14ac:dyDescent="0.25">
      <c r="A221" s="23" t="s">
        <v>4016</v>
      </c>
      <c r="B221" s="23" t="s">
        <v>4011</v>
      </c>
      <c r="C221" s="46">
        <v>2.7639999999999998</v>
      </c>
      <c r="D221" s="24">
        <f xml:space="preserve"> C221 / (24 * 'VRP Solver Console'!C11)</f>
        <v>1.9194444444444443E-3</v>
      </c>
    </row>
    <row r="222" spans="1:4" x14ac:dyDescent="0.25">
      <c r="A222" s="23" t="s">
        <v>4016</v>
      </c>
      <c r="B222" s="23" t="s">
        <v>4012</v>
      </c>
      <c r="C222" s="47">
        <v>3.1080000000000001</v>
      </c>
      <c r="D222" s="25">
        <f xml:space="preserve"> C222 / (24 * 'VRP Solver Console'!C11)</f>
        <v>2.1583333333333333E-3</v>
      </c>
    </row>
    <row r="223" spans="1:4" x14ac:dyDescent="0.25">
      <c r="A223" s="23" t="s">
        <v>4016</v>
      </c>
      <c r="B223" s="23" t="s">
        <v>4013</v>
      </c>
      <c r="C223" s="46">
        <v>2.069</v>
      </c>
      <c r="D223" s="24">
        <f xml:space="preserve"> C223 / (24 * 'VRP Solver Console'!C11)</f>
        <v>1.4368055555555555E-3</v>
      </c>
    </row>
    <row r="224" spans="1:4" x14ac:dyDescent="0.25">
      <c r="A224" s="23" t="s">
        <v>4016</v>
      </c>
      <c r="B224" s="23" t="s">
        <v>4014</v>
      </c>
      <c r="C224" s="47">
        <v>1.796</v>
      </c>
      <c r="D224" s="25">
        <f xml:space="preserve"> C224 / (24 * 'VRP Solver Console'!C11)</f>
        <v>1.2472222222222223E-3</v>
      </c>
    </row>
    <row r="225" spans="1:4" x14ac:dyDescent="0.25">
      <c r="A225" s="23" t="s">
        <v>4016</v>
      </c>
      <c r="B225" s="23" t="s">
        <v>4015</v>
      </c>
      <c r="C225" s="46">
        <v>0.57099999999999995</v>
      </c>
      <c r="D225" s="24">
        <f xml:space="preserve"> C225 / (24 * 'VRP Solver Console'!C11)</f>
        <v>3.9652777777777776E-4</v>
      </c>
    </row>
    <row r="226" spans="1:4" x14ac:dyDescent="0.25">
      <c r="A226" s="22" t="s">
        <v>4016</v>
      </c>
      <c r="B226" s="22" t="s">
        <v>4016</v>
      </c>
      <c r="C226" s="73">
        <v>0</v>
      </c>
      <c r="D226" s="64">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7602B-2A87-4527-AE43-BED7A183DEAF}">
  <dimension ref="A1:M3"/>
  <sheetViews>
    <sheetView topLeftCell="F1" workbookViewId="0">
      <selection activeCell="G2" sqref="G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4020</v>
      </c>
      <c r="B2" s="40" t="s">
        <v>4017</v>
      </c>
      <c r="C2" s="40">
        <v>44</v>
      </c>
      <c r="D2" s="41">
        <v>0</v>
      </c>
      <c r="E2" s="41">
        <v>11.22</v>
      </c>
      <c r="F2" s="41">
        <v>1</v>
      </c>
      <c r="G2" s="41">
        <v>100</v>
      </c>
      <c r="H2" s="74">
        <v>0.25</v>
      </c>
      <c r="I2" s="42">
        <v>0.125</v>
      </c>
      <c r="J2" s="42">
        <v>0.375</v>
      </c>
      <c r="K2" s="40" t="s">
        <v>4020</v>
      </c>
      <c r="L2" s="43">
        <f>IFERROR(MATCH(K2,'1. Locais'!$B$2:$B$2,0) - 1," ")</f>
        <v>0</v>
      </c>
      <c r="M2" s="40">
        <v>1</v>
      </c>
    </row>
    <row r="3" spans="1:13" ht="15.75" thickTop="1" x14ac:dyDescent="0.25"/>
  </sheetData>
  <dataValidations count="6">
    <dataValidation type="decimal" operator="greaterThan" allowBlank="1" showInputMessage="1" showErrorMessage="1" error="Insira um valor não negativo" sqref="C2" xr:uid="{F84518C6-BB22-46FA-8747-EEF66BB17E51}">
      <formula1>-0.0001</formula1>
    </dataValidation>
    <dataValidation type="decimal" operator="greaterThan" allowBlank="1" showInputMessage="1" showErrorMessage="1" error="Insira um valor não negativo" sqref="D2" xr:uid="{40990DFA-E2F0-4B45-B077-322DAC00345D}">
      <formula1>-0.0001</formula1>
    </dataValidation>
    <dataValidation type="decimal" operator="greaterThan" allowBlank="1" showInputMessage="1" showErrorMessage="1" error="Insira um valor não negativo" sqref="E2" xr:uid="{034DCDB5-D074-406D-9326-0F6083562C1B}">
      <formula1>-0.0001</formula1>
    </dataValidation>
    <dataValidation type="decimal" operator="greaterThan" allowBlank="1" showInputMessage="1" showErrorMessage="1" error="Insira um valor positivo" sqref="F2" xr:uid="{0352D3DF-0C4D-4974-B36F-7315E6FFB572}">
      <formula1>0</formula1>
    </dataValidation>
    <dataValidation type="whole" operator="greaterThan" allowBlank="1" showInputMessage="1" showErrorMessage="1" error="Insira um valor inteiro não negativo" sqref="G2" xr:uid="{1BACE72A-7109-48A5-9252-6291A2776C76}">
      <formula1>-1</formula1>
    </dataValidation>
    <dataValidation type="decimal" operator="greaterThan" allowBlank="1" showInputMessage="1" showErrorMessage="1" error="Insira um valor positivo" sqref="J2" xr:uid="{86DC7BF3-BC3F-420D-8A96-04A60D431728}">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CC3C2178-EFEB-46DD-AD89-7EFFF102FCC5}">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09165-B5DB-4E3C-8AE7-6362D4726B12}">
  <dimension ref="A1:P22"/>
  <sheetViews>
    <sheetView workbookViewId="0">
      <selection activeCell="B5" sqref="B5:B19"/>
    </sheetView>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59">
        <f ca="1">+I3</f>
        <v>-161.50067999999999</v>
      </c>
    </row>
    <row r="2" spans="1:16" s="18" customFormat="1" x14ac:dyDescent="0.25">
      <c r="A2" s="62"/>
      <c r="B2" s="62"/>
      <c r="C2" s="62"/>
      <c r="D2" s="62"/>
      <c r="E2" s="62"/>
      <c r="F2" s="62"/>
      <c r="G2" s="62"/>
      <c r="H2" s="62"/>
      <c r="I2" s="62"/>
      <c r="J2" s="62"/>
      <c r="K2" s="62"/>
      <c r="L2" s="62"/>
      <c r="M2" s="62"/>
      <c r="N2" s="62"/>
      <c r="O2" s="62"/>
      <c r="P2" s="62"/>
    </row>
    <row r="3" spans="1:16" s="18" customFormat="1" x14ac:dyDescent="0.25">
      <c r="A3" s="18" t="s">
        <v>1647</v>
      </c>
      <c r="B3" s="18" t="s">
        <v>4019</v>
      </c>
      <c r="F3" s="18" t="s">
        <v>1630</v>
      </c>
      <c r="G3" s="60">
        <f>COUNTA(B6:B20)</f>
        <v>15</v>
      </c>
      <c r="H3" s="18" t="s">
        <v>1154</v>
      </c>
      <c r="I3" s="61">
        <f ca="1">INDEX(K5:K20,G3 + 1)-(INDEX(F5:$F$20,G3+ 1) * '3. Veículos'!E2)- IF(INDIRECT("G3") &gt; 1, INDIRECT("'3. Veículos'!D2"), 0)</f>
        <v>-161.50067999999999</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0">
        <v>0</v>
      </c>
      <c r="B5" s="20" t="str">
        <f>'1. Locais'!B2</f>
        <v>Escola4</v>
      </c>
      <c r="C5" s="20">
        <f ca="1">IFERROR(MATCH(INDIRECT("B5"),'1. Locais'!B2:B16, 0) - 1," ")</f>
        <v>0</v>
      </c>
      <c r="D5" s="48">
        <f ca="1">IFERROR(IF(ISNUMBER(C5),INDEX('1. Locais'!D2:D16,C5 + 1),NA()),NA())</f>
        <v>-10.33446</v>
      </c>
      <c r="E5" s="48">
        <f ca="1">IFERROR(IF(ISNUMBER(C5),INDEX('1. Locais'!E2:E16,C5 + 1),NA()),NA())</f>
        <v>-48.292639999999999</v>
      </c>
      <c r="F5" s="49">
        <v>0</v>
      </c>
      <c r="G5" s="50">
        <v>0</v>
      </c>
      <c r="H5" s="75"/>
      <c r="I5" s="75">
        <f>'3. Veículos'!H2</f>
        <v>0.25</v>
      </c>
      <c r="J5" s="50">
        <v>0</v>
      </c>
      <c r="K5" s="48">
        <v>0</v>
      </c>
      <c r="L5" s="49">
        <v>0</v>
      </c>
      <c r="M5" s="49">
        <v>0</v>
      </c>
      <c r="N5" s="49">
        <v>0</v>
      </c>
      <c r="O5" s="49">
        <f ca="1">IFERROR(IF(ISNUMBER(C5),IF(B6 = B5, 0, IF(B6 = "", 0, O6 + M6))," ")," ")</f>
        <v>0</v>
      </c>
      <c r="P5" s="48">
        <f ca="1">IFERROR(IF(ISNUMBER(C5),N5 + O5," ")," ")</f>
        <v>0</v>
      </c>
    </row>
    <row r="6" spans="1:16" x14ac:dyDescent="0.25">
      <c r="A6" s="23">
        <v>1</v>
      </c>
      <c r="B6" s="54" t="s">
        <v>4014</v>
      </c>
      <c r="C6" s="55">
        <f ca="1">IFERROR(MATCH(INDIRECT("B6"),'1. Locais'!B2:B16, 0) - 1," ")</f>
        <v>12</v>
      </c>
      <c r="D6" s="55">
        <f ca="1">IFERROR(IF(ISNUMBER(C6),INDEX('1. Locais'!D2:D16,C6 + 1),NA()),NA())</f>
        <v>-10.337954099999999</v>
      </c>
      <c r="E6" s="55">
        <f ca="1">IFERROR(IF(ISNUMBER(C6),INDEX('1. Locais'!E2:E16,C6 + 1),NA()),NA())</f>
        <v>-48.292281799999998</v>
      </c>
      <c r="F6" s="56">
        <f ca="1">IFERROR(IF(ISNUMBER(C6),INDEX('2. Distâncias'!C2:C226,C5*15+C6+ 1) +F5," ")," ")</f>
        <v>0.504</v>
      </c>
      <c r="G6" s="57">
        <f ca="1">IFERROR(IF(ISNUMBER(C6),'3. Veículos'!F2 * INDEX('2. Distâncias'!D2:D226,C5*15+C6 + 1) +G5," ")," ")</f>
        <v>3.5E-4</v>
      </c>
      <c r="H6" s="78">
        <f ca="1">IFERROR(IF(ISNUMBER(C6),'3. Veículos'!F2 * INDEX('2. Distâncias'!D2:D226,C5*15+C6 + 1) +I5," ")," ")</f>
        <v>0.25035000000000002</v>
      </c>
      <c r="I6" s="78">
        <f ca="1">IFERROR(IF(AND(C5&lt;&gt;C6,ISNUMBER(H6)),INDEX('1. Locais'!I2:I16,C6 + 1) + MAX(H6,INDEX('1. Locais'!F2:F16,C6 + 1))," ")," ")</f>
        <v>0.25035000000000002</v>
      </c>
      <c r="J6" s="57">
        <f ca="1">IFERROR(IF(AND(B6 = B5, B7 = ""), H6 - I5, I6 - I5)," ")</f>
        <v>3.5000000000001696E-4</v>
      </c>
      <c r="K6" s="55">
        <f ca="1">IFERROR(IF(ISNUMBER(C6),INDEX('1. Locais'!L2:L16,C6 + 1) + K5," ")," ")</f>
        <v>0</v>
      </c>
      <c r="L6" s="56">
        <f ca="1">IFERROR(IF(ISNUMBER(C6),INDEX('1. Locais'!J2:J16,C6 + 1)," ")," ")</f>
        <v>5</v>
      </c>
      <c r="M6" s="56">
        <f ca="1">IFERROR(IF(ISNUMBER(C6),INDEX('1. Locais'!K2:K16,C6 + 1)," ")," ")</f>
        <v>0</v>
      </c>
      <c r="N6" s="56">
        <f ca="1">IFERROR(IF(ISNUMBER(C6),IF(B6 = B5, 0, L6 + N5)," ")," ")</f>
        <v>5</v>
      </c>
      <c r="O6" s="56">
        <f ca="1">IFERROR(IF(ISNUMBER(C6),IF(B7 = B5, 0, IF(B7 = "", 0, O7 + M7))," ")," ")</f>
        <v>0</v>
      </c>
      <c r="P6" s="55">
        <f ca="1">IFERROR(IF(ISNUMBER(C6),N6 + O6," ")," ")</f>
        <v>5</v>
      </c>
    </row>
    <row r="7" spans="1:16" x14ac:dyDescent="0.25">
      <c r="A7" s="23">
        <v>2</v>
      </c>
      <c r="B7" s="58" t="s">
        <v>4004</v>
      </c>
      <c r="C7" s="55">
        <f ca="1">IFERROR(MATCH(INDIRECT("B7"),'1. Locais'!B2:B16, 0) - 1," ")</f>
        <v>2</v>
      </c>
      <c r="D7" s="55">
        <f ca="1">IFERROR(IF(ISNUMBER(C7),INDEX('1. Locais'!D2:D16,C7 + 1),NA()),NA())</f>
        <v>-10.347388</v>
      </c>
      <c r="E7" s="55">
        <f ca="1">IFERROR(IF(ISNUMBER(C7),INDEX('1. Locais'!E2:E16,C7 + 1),NA()),NA())</f>
        <v>-48.290872700000001</v>
      </c>
      <c r="F7" s="56">
        <f ca="1">IFERROR(IF(ISNUMBER(C7),INDEX('2. Distâncias'!C2:C226,C6*15+C7+ 1) +F6," ")," ")</f>
        <v>1.7869999999999999</v>
      </c>
      <c r="G7" s="57">
        <f ca="1">IFERROR(IF(ISNUMBER(C7),'3. Veículos'!F2 * INDEX('2. Distâncias'!D2:D226,C6*15+C7 + 1) +G6," ")," ")</f>
        <v>1.2409722222222221E-3</v>
      </c>
      <c r="H7" s="78">
        <f ca="1">IFERROR(IF(ISNUMBER(C7),'3. Veículos'!F2 * INDEX('2. Distâncias'!D2:D226,C6*15+C7 + 1) +I6," ")," ")</f>
        <v>0.25124097222222225</v>
      </c>
      <c r="I7" s="78">
        <f ca="1">IFERROR(IF(AND(C5&lt;&gt;C7,ISNUMBER(H7)),INDEX('1. Locais'!I2:I16,C7 + 1) + MAX(H7,INDEX('1. Locais'!F2:F16,C7 + 1))," ")," ")</f>
        <v>0.25124097222222225</v>
      </c>
      <c r="J7" s="57">
        <f ca="1">IFERROR(IF(AND(B7 = B5, B8 = ""), H7 - I5, I7 - I5)," ")</f>
        <v>1.2409722222222475E-3</v>
      </c>
      <c r="K7" s="55">
        <f ca="1">IFERROR(IF(ISNUMBER(C7),INDEX('1. Locais'!L2:L16,C7 + 1) + K6," ")," ")</f>
        <v>0</v>
      </c>
      <c r="L7" s="56">
        <f ca="1">IFERROR(IF(ISNUMBER(C7),INDEX('1. Locais'!J2:J16,C7 + 1)," ")," ")</f>
        <v>2</v>
      </c>
      <c r="M7" s="56">
        <f ca="1">IFERROR(IF(ISNUMBER(C7),INDEX('1. Locais'!K2:K16,C7 + 1)," ")," ")</f>
        <v>0</v>
      </c>
      <c r="N7" s="56">
        <f ca="1">IFERROR(IF(ISNUMBER(C7),IF(B7 = B5, 0, L7 + N6)," ")," ")</f>
        <v>7</v>
      </c>
      <c r="O7" s="56">
        <f ca="1">IFERROR(IF(ISNUMBER(C7),IF(B8 = B5, 0, IF(B8 = "", 0, O8 + M8))," ")," ")</f>
        <v>0</v>
      </c>
      <c r="P7" s="55">
        <f ca="1">IFERROR(IF(ISNUMBER(C7),N7 + O7," ")," ")</f>
        <v>7</v>
      </c>
    </row>
    <row r="8" spans="1:16" x14ac:dyDescent="0.25">
      <c r="A8" s="23">
        <v>3</v>
      </c>
      <c r="B8" s="54" t="s">
        <v>4005</v>
      </c>
      <c r="C8" s="55">
        <f ca="1">IFERROR(MATCH(INDIRECT("B8"),'1. Locais'!B2:B16, 0) - 1," ")</f>
        <v>3</v>
      </c>
      <c r="D8" s="55">
        <f ca="1">IFERROR(IF(ISNUMBER(C8),INDEX('1. Locais'!D2:D16,C8 + 1),NA()),NA())</f>
        <v>-10.353340599999999</v>
      </c>
      <c r="E8" s="55">
        <f ca="1">IFERROR(IF(ISNUMBER(C8),INDEX('1. Locais'!E2:E16,C8 + 1),NA()),NA())</f>
        <v>-48.292353200000001</v>
      </c>
      <c r="F8" s="56">
        <f ca="1">IFERROR(IF(ISNUMBER(C8),INDEX('2. Distâncias'!C2:C226,C7*15+C8+ 1) +F7," ")," ")</f>
        <v>2.5299999999999998</v>
      </c>
      <c r="G8" s="57">
        <f ca="1">IFERROR(IF(ISNUMBER(C8),'3. Veículos'!F2 * INDEX('2. Distâncias'!D2:D226,C7*15+C8 + 1) +G7," ")," ")</f>
        <v>1.7569444444444442E-3</v>
      </c>
      <c r="H8" s="78">
        <f ca="1">IFERROR(IF(ISNUMBER(C8),'3. Veículos'!F2 * INDEX('2. Distâncias'!D2:D226,C7*15+C8 + 1) +I7," ")," ")</f>
        <v>0.25175694444444446</v>
      </c>
      <c r="I8" s="78">
        <f ca="1">IFERROR(IF(AND(C5&lt;&gt;C8,ISNUMBER(H8)),INDEX('1. Locais'!I2:I16,C8 + 1) + MAX(H8,INDEX('1. Locais'!F2:F16,C8 + 1))," ")," ")</f>
        <v>0.25175694444444446</v>
      </c>
      <c r="J8" s="57">
        <f ca="1">IFERROR(IF(AND(B8 = B5, B9 = ""), H8 - I5, I8 - I5)," ")</f>
        <v>1.7569444444444637E-3</v>
      </c>
      <c r="K8" s="55">
        <f ca="1">IFERROR(IF(ISNUMBER(C8),INDEX('1. Locais'!L2:L16,C8 + 1) + K7," ")," ")</f>
        <v>0</v>
      </c>
      <c r="L8" s="56">
        <f ca="1">IFERROR(IF(ISNUMBER(C8),INDEX('1. Locais'!J2:J16,C8 + 1)," ")," ")</f>
        <v>1</v>
      </c>
      <c r="M8" s="56">
        <f ca="1">IFERROR(IF(ISNUMBER(C8),INDEX('1. Locais'!K2:K16,C8 + 1)," ")," ")</f>
        <v>0</v>
      </c>
      <c r="N8" s="56">
        <f ca="1">IFERROR(IF(ISNUMBER(C8),IF(B8 = B5, 0, L8 + N7)," ")," ")</f>
        <v>8</v>
      </c>
      <c r="O8" s="56">
        <f ca="1">IFERROR(IF(ISNUMBER(C8),IF(B9 = B5, 0, IF(B9 = "", 0, O9 + M9))," ")," ")</f>
        <v>0</v>
      </c>
      <c r="P8" s="55">
        <f ca="1">IFERROR(IF(ISNUMBER(C8),N8 + O8," ")," ")</f>
        <v>8</v>
      </c>
    </row>
    <row r="9" spans="1:16" x14ac:dyDescent="0.25">
      <c r="A9" s="23">
        <v>4</v>
      </c>
      <c r="B9" s="58" t="s">
        <v>4006</v>
      </c>
      <c r="C9" s="55">
        <f ca="1">IFERROR(MATCH(INDIRECT("B9"),'1. Locais'!B2:B16, 0) - 1," ")</f>
        <v>4</v>
      </c>
      <c r="D9" s="55">
        <f ca="1">IFERROR(IF(ISNUMBER(C9),INDEX('1. Locais'!D2:D16,C9 + 1),NA()),NA())</f>
        <v>-10.3614183</v>
      </c>
      <c r="E9" s="55">
        <f ca="1">IFERROR(IF(ISNUMBER(C9),INDEX('1. Locais'!E2:E16,C9 + 1),NA()),NA())</f>
        <v>-48.3029917</v>
      </c>
      <c r="F9" s="56">
        <f ca="1">IFERROR(IF(ISNUMBER(C9),INDEX('2. Distâncias'!C2:C226,C8*15+C9+ 1) +F8," ")," ")</f>
        <v>4.04</v>
      </c>
      <c r="G9" s="57">
        <f ca="1">IFERROR(IF(ISNUMBER(C9),'3. Veículos'!F2 * INDEX('2. Distâncias'!D2:D226,C8*15+C9 + 1) +G8," ")," ")</f>
        <v>2.8055555555555551E-3</v>
      </c>
      <c r="H9" s="78">
        <f ca="1">IFERROR(IF(ISNUMBER(C9),'3. Veículos'!F2 * INDEX('2. Distâncias'!D2:D226,C8*15+C9 + 1) +I8," ")," ")</f>
        <v>0.25280555555555556</v>
      </c>
      <c r="I9" s="78">
        <f ca="1">IFERROR(IF(AND(C5&lt;&gt;C9,ISNUMBER(H9)),INDEX('1. Locais'!I2:I16,C9 + 1) + MAX(H9,INDEX('1. Locais'!F2:F16,C9 + 1))," ")," ")</f>
        <v>0.25280555555555556</v>
      </c>
      <c r="J9" s="57">
        <f ca="1">IFERROR(IF(AND(B9 = B5, B10 = ""), H9 - I5, I9 - I5)," ")</f>
        <v>2.8055555555555611E-3</v>
      </c>
      <c r="K9" s="55">
        <f ca="1">IFERROR(IF(ISNUMBER(C9),INDEX('1. Locais'!L2:L16,C9 + 1) + K8," ")," ")</f>
        <v>0</v>
      </c>
      <c r="L9" s="56">
        <f ca="1">IFERROR(IF(ISNUMBER(C9),INDEX('1. Locais'!J2:J16,C9 + 1)," ")," ")</f>
        <v>1</v>
      </c>
      <c r="M9" s="56">
        <f ca="1">IFERROR(IF(ISNUMBER(C9),INDEX('1. Locais'!K2:K16,C9 + 1)," ")," ")</f>
        <v>0</v>
      </c>
      <c r="N9" s="56">
        <f ca="1">IFERROR(IF(ISNUMBER(C9),IF(B9 = B5, 0, L9 + N8)," ")," ")</f>
        <v>9</v>
      </c>
      <c r="O9" s="56">
        <f ca="1">IFERROR(IF(ISNUMBER(C9),IF(B10 = B5, 0, IF(B10 = "", 0, O10 + M10))," ")," ")</f>
        <v>0</v>
      </c>
      <c r="P9" s="55">
        <f ca="1">IFERROR(IF(ISNUMBER(C9),N9 + O9," ")," ")</f>
        <v>9</v>
      </c>
    </row>
    <row r="10" spans="1:16" x14ac:dyDescent="0.25">
      <c r="A10" s="23">
        <v>5</v>
      </c>
      <c r="B10" s="54" t="s">
        <v>4007</v>
      </c>
      <c r="C10" s="55">
        <f ca="1">IFERROR(MATCH(INDIRECT("B10"),'1. Locais'!B2:B16, 0) - 1," ")</f>
        <v>5</v>
      </c>
      <c r="D10" s="55">
        <f ca="1">IFERROR(IF(ISNUMBER(C10),INDEX('1. Locais'!D2:D16,C10 + 1),NA()),NA())</f>
        <v>-10.352461999999999</v>
      </c>
      <c r="E10" s="55">
        <f ca="1">IFERROR(IF(ISNUMBER(C10),INDEX('1. Locais'!E2:E16,C10 + 1),NA()),NA())</f>
        <v>-48.305738300000002</v>
      </c>
      <c r="F10" s="56">
        <f ca="1">IFERROR(IF(ISNUMBER(C10),INDEX('2. Distâncias'!C2:C226,C9*15+C10+ 1) +F9," ")," ")</f>
        <v>5.407</v>
      </c>
      <c r="G10" s="57">
        <f ca="1">IFERROR(IF(ISNUMBER(C10),'3. Veículos'!F2 * INDEX('2. Distâncias'!D2:D226,C9*15+C10 + 1) +G9," ")," ")</f>
        <v>3.7548611111111107E-3</v>
      </c>
      <c r="H10" s="78">
        <f ca="1">IFERROR(IF(ISNUMBER(C10),'3. Veículos'!F2 * INDEX('2. Distâncias'!D2:D226,C9*15+C10 + 1) +I9," ")," ")</f>
        <v>0.25375486111111112</v>
      </c>
      <c r="I10" s="78">
        <f ca="1">IFERROR(IF(AND(C5&lt;&gt;C10,ISNUMBER(H10)),INDEX('1. Locais'!I2:I16,C10 + 1) + MAX(H10,INDEX('1. Locais'!F2:F16,C10 + 1))," ")," ")</f>
        <v>0.25375486111111112</v>
      </c>
      <c r="J10" s="57">
        <f ca="1">IFERROR(IF(AND(B10 = B5, B11 = ""), H10 - I5, I10 - I5)," ")</f>
        <v>3.7548611111111185E-3</v>
      </c>
      <c r="K10" s="55">
        <f ca="1">IFERROR(IF(ISNUMBER(C10),INDEX('1. Locais'!L2:L16,C10 + 1) + K9," ")," ")</f>
        <v>0</v>
      </c>
      <c r="L10" s="56">
        <f ca="1">IFERROR(IF(ISNUMBER(C10),INDEX('1. Locais'!J2:J16,C10 + 1)," ")," ")</f>
        <v>3</v>
      </c>
      <c r="M10" s="56">
        <f ca="1">IFERROR(IF(ISNUMBER(C10),INDEX('1. Locais'!K2:K16,C10 + 1)," ")," ")</f>
        <v>0</v>
      </c>
      <c r="N10" s="56">
        <f ca="1">IFERROR(IF(ISNUMBER(C10),IF(B10 = B5, 0, L10 + N9)," ")," ")</f>
        <v>12</v>
      </c>
      <c r="O10" s="56">
        <f ca="1">IFERROR(IF(ISNUMBER(C10),IF(B11 = B5, 0, IF(B11 = "", 0, O11 + M11))," ")," ")</f>
        <v>0</v>
      </c>
      <c r="P10" s="55">
        <f ca="1">IFERROR(IF(ISNUMBER(C10),N10 + O10," ")," ")</f>
        <v>12</v>
      </c>
    </row>
    <row r="11" spans="1:16" x14ac:dyDescent="0.25">
      <c r="A11" s="23">
        <v>6</v>
      </c>
      <c r="B11" s="58" t="s">
        <v>4008</v>
      </c>
      <c r="C11" s="55">
        <f ca="1">IFERROR(MATCH(INDIRECT("B11"),'1. Locais'!B2:B16, 0) - 1," ")</f>
        <v>6</v>
      </c>
      <c r="D11" s="55">
        <f ca="1">IFERROR(IF(ISNUMBER(C11),INDEX('1. Locais'!D2:D16,C11 + 1),NA()),NA())</f>
        <v>-10.360037</v>
      </c>
      <c r="E11" s="55">
        <f ca="1">IFERROR(IF(ISNUMBER(C11),INDEX('1. Locais'!E2:E16,C11 + 1),NA()),NA())</f>
        <v>-48.307933800000001</v>
      </c>
      <c r="F11" s="56">
        <f ca="1">IFERROR(IF(ISNUMBER(C11),INDEX('2. Distâncias'!C2:C226,C10*15+C11+ 1) +F10," ")," ")</f>
        <v>6.5739999999999998</v>
      </c>
      <c r="G11" s="57">
        <f ca="1">IFERROR(IF(ISNUMBER(C11),'3. Veículos'!F2 * INDEX('2. Distâncias'!D2:D226,C10*15+C11 + 1) +G10," ")," ")</f>
        <v>4.5652777777777775E-3</v>
      </c>
      <c r="H11" s="78">
        <f ca="1">IFERROR(IF(ISNUMBER(C11),'3. Veículos'!F2 * INDEX('2. Distâncias'!D2:D226,C10*15+C11 + 1) +I10," ")," ")</f>
        <v>0.25456527777777777</v>
      </c>
      <c r="I11" s="78">
        <f ca="1">IFERROR(IF(AND(C5&lt;&gt;C11,ISNUMBER(H11)),INDEX('1. Locais'!I2:I16,C11 + 1) + MAX(H11,INDEX('1. Locais'!F2:F16,C11 + 1))," ")," ")</f>
        <v>0.25456527777777777</v>
      </c>
      <c r="J11" s="57">
        <f ca="1">IFERROR(IF(AND(B11 = B5, B12 = ""), H11 - I5, I11 - I5)," ")</f>
        <v>4.5652777777777653E-3</v>
      </c>
      <c r="K11" s="55">
        <f ca="1">IFERROR(IF(ISNUMBER(C11),INDEX('1. Locais'!L2:L16,C11 + 1) + K10," ")," ")</f>
        <v>0</v>
      </c>
      <c r="L11" s="56">
        <f ca="1">IFERROR(IF(ISNUMBER(C11),INDEX('1. Locais'!J2:J16,C11 + 1)," ")," ")</f>
        <v>1</v>
      </c>
      <c r="M11" s="56">
        <f ca="1">IFERROR(IF(ISNUMBER(C11),INDEX('1. Locais'!K2:K16,C11 + 1)," ")," ")</f>
        <v>0</v>
      </c>
      <c r="N11" s="56">
        <f ca="1">IFERROR(IF(ISNUMBER(C11),IF(B11 = B5, 0, L11 + N10)," ")," ")</f>
        <v>13</v>
      </c>
      <c r="O11" s="56">
        <f ca="1">IFERROR(IF(ISNUMBER(C11),IF(B12 = B5, 0, IF(B12 = "", 0, O12 + M12))," ")," ")</f>
        <v>0</v>
      </c>
      <c r="P11" s="55">
        <f ca="1">IFERROR(IF(ISNUMBER(C11),N11 + O11," ")," ")</f>
        <v>13</v>
      </c>
    </row>
    <row r="12" spans="1:16" x14ac:dyDescent="0.25">
      <c r="A12" s="23">
        <v>7</v>
      </c>
      <c r="B12" s="54" t="s">
        <v>4009</v>
      </c>
      <c r="C12" s="55">
        <f ca="1">IFERROR(MATCH(INDIRECT("B12"),'1. Locais'!B2:B16, 0) - 1," ")</f>
        <v>7</v>
      </c>
      <c r="D12" s="55">
        <f ca="1">IFERROR(IF(ISNUMBER(C12),INDEX('1. Locais'!D2:D16,C12 + 1),NA()),NA())</f>
        <v>-10.3532926</v>
      </c>
      <c r="E12" s="55">
        <f ca="1">IFERROR(IF(ISNUMBER(C12),INDEX('1. Locais'!E2:E16,C12 + 1),NA()),NA())</f>
        <v>-48.300898400000001</v>
      </c>
      <c r="F12" s="56">
        <f ca="1">IFERROR(IF(ISNUMBER(C12),INDEX('2. Distâncias'!C2:C226,C11*15+C12+ 1) +F11," ")," ")</f>
        <v>8.4619999999999997</v>
      </c>
      <c r="G12" s="57">
        <f ca="1">IFERROR(IF(ISNUMBER(C12),'3. Veículos'!F2 * INDEX('2. Distâncias'!D2:D226,C11*15+C12 + 1) +G11," ")," ")</f>
        <v>5.8763888888888885E-3</v>
      </c>
      <c r="H12" s="78">
        <f ca="1">IFERROR(IF(ISNUMBER(C12),'3. Veículos'!F2 * INDEX('2. Distâncias'!D2:D226,C11*15+C12 + 1) +I11," ")," ")</f>
        <v>0.25587638888888886</v>
      </c>
      <c r="I12" s="78">
        <f ca="1">IFERROR(IF(AND(C5&lt;&gt;C12,ISNUMBER(H12)),INDEX('1. Locais'!I2:I16,C12 + 1) + MAX(H12,INDEX('1. Locais'!F2:F16,C12 + 1))," ")," ")</f>
        <v>0.25587638888888886</v>
      </c>
      <c r="J12" s="57">
        <f ca="1">IFERROR(IF(AND(B12 = B5, B13 = ""), H12 - I5, I12 - I5)," ")</f>
        <v>5.8763888888888616E-3</v>
      </c>
      <c r="K12" s="55">
        <f ca="1">IFERROR(IF(ISNUMBER(C12),INDEX('1. Locais'!L2:L16,C12 + 1) + K11," ")," ")</f>
        <v>0</v>
      </c>
      <c r="L12" s="56">
        <f ca="1">IFERROR(IF(ISNUMBER(C12),INDEX('1. Locais'!J2:J16,C12 + 1)," ")," ")</f>
        <v>2</v>
      </c>
      <c r="M12" s="56">
        <f ca="1">IFERROR(IF(ISNUMBER(C12),INDEX('1. Locais'!K2:K16,C12 + 1)," ")," ")</f>
        <v>0</v>
      </c>
      <c r="N12" s="56">
        <f ca="1">IFERROR(IF(ISNUMBER(C12),IF(B12 = B5, 0, L12 + N11)," ")," ")</f>
        <v>15</v>
      </c>
      <c r="O12" s="56">
        <f ca="1">IFERROR(IF(ISNUMBER(C12),IF(B13 = B5, 0, IF(B13 = "", 0, O13 + M13))," ")," ")</f>
        <v>0</v>
      </c>
      <c r="P12" s="55">
        <f ca="1">IFERROR(IF(ISNUMBER(C12),N12 + O12," ")," ")</f>
        <v>15</v>
      </c>
    </row>
    <row r="13" spans="1:16" x14ac:dyDescent="0.25">
      <c r="A13" s="23">
        <v>8</v>
      </c>
      <c r="B13" s="58" t="s">
        <v>4010</v>
      </c>
      <c r="C13" s="55">
        <f ca="1">IFERROR(MATCH(INDIRECT("B13"),'1. Locais'!B2:B16, 0) - 1," ")</f>
        <v>8</v>
      </c>
      <c r="D13" s="55">
        <f ca="1">IFERROR(IF(ISNUMBER(C13),INDEX('1. Locais'!D2:D16,C13 + 1),NA()),NA())</f>
        <v>-10.348992300000001</v>
      </c>
      <c r="E13" s="55">
        <f ca="1">IFERROR(IF(ISNUMBER(C13),INDEX('1. Locais'!E2:E16,C13 + 1),NA()),NA())</f>
        <v>-48.297883400000003</v>
      </c>
      <c r="F13" s="56">
        <f ca="1">IFERROR(IF(ISNUMBER(C13),INDEX('2. Distâncias'!C2:C226,C12*15+C13+ 1) +F12," ")," ")</f>
        <v>9.2360000000000007</v>
      </c>
      <c r="G13" s="57">
        <f ca="1">IFERROR(IF(ISNUMBER(C13),'3. Veículos'!F2 * INDEX('2. Distâncias'!D2:D226,C12*15+C13 + 1) +G12," ")," ")</f>
        <v>6.4138888888888882E-3</v>
      </c>
      <c r="H13" s="78">
        <f ca="1">IFERROR(IF(ISNUMBER(C13),'3. Veículos'!F2 * INDEX('2. Distâncias'!D2:D226,C12*15+C13 + 1) +I12," ")," ")</f>
        <v>0.25641388888888889</v>
      </c>
      <c r="I13" s="78">
        <f ca="1">IFERROR(IF(AND(C5&lt;&gt;C13,ISNUMBER(H13)),INDEX('1. Locais'!I2:I16,C13 + 1) + MAX(H13,INDEX('1. Locais'!F2:F16,C13 + 1))," ")," ")</f>
        <v>0.25641388888888889</v>
      </c>
      <c r="J13" s="57">
        <f ca="1">IFERROR(IF(AND(B13 = B5, B14 = ""), H13 - I5, I13 - I5)," ")</f>
        <v>6.4138888888888856E-3</v>
      </c>
      <c r="K13" s="55">
        <f ca="1">IFERROR(IF(ISNUMBER(C13),INDEX('1. Locais'!L2:L16,C13 + 1) + K12," ")," ")</f>
        <v>0</v>
      </c>
      <c r="L13" s="56">
        <f ca="1">IFERROR(IF(ISNUMBER(C13),INDEX('1. Locais'!J2:J16,C13 + 1)," ")," ")</f>
        <v>4</v>
      </c>
      <c r="M13" s="56">
        <f ca="1">IFERROR(IF(ISNUMBER(C13),INDEX('1. Locais'!K2:K16,C13 + 1)," ")," ")</f>
        <v>0</v>
      </c>
      <c r="N13" s="56">
        <f ca="1">IFERROR(IF(ISNUMBER(C13),IF(B13 = B5, 0, L13 + N12)," ")," ")</f>
        <v>19</v>
      </c>
      <c r="O13" s="56">
        <f ca="1">IFERROR(IF(ISNUMBER(C13),IF(B14 = B5, 0, IF(B14 = "", 0, O14 + M14))," ")," ")</f>
        <v>0</v>
      </c>
      <c r="P13" s="55">
        <f ca="1">IFERROR(IF(ISNUMBER(C13),N13 + O13," ")," ")</f>
        <v>19</v>
      </c>
    </row>
    <row r="14" spans="1:16" x14ac:dyDescent="0.25">
      <c r="A14" s="23">
        <v>9</v>
      </c>
      <c r="B14" s="54" t="s">
        <v>4011</v>
      </c>
      <c r="C14" s="55">
        <f ca="1">IFERROR(MATCH(INDIRECT("B14"),'1. Locais'!B2:B16, 0) - 1," ")</f>
        <v>9</v>
      </c>
      <c r="D14" s="55">
        <f ca="1">IFERROR(IF(ISNUMBER(C14),INDEX('1. Locais'!D2:D16,C14 + 1),NA()),NA())</f>
        <v>-10.348630099999999</v>
      </c>
      <c r="E14" s="55">
        <f ca="1">IFERROR(IF(ISNUMBER(C14),INDEX('1. Locais'!E2:E16,C14 + 1),NA()),NA())</f>
        <v>-48.297954799999999</v>
      </c>
      <c r="F14" s="56">
        <f ca="1">IFERROR(IF(ISNUMBER(C14),INDEX('2. Distâncias'!C2:C226,C13*15+C14+ 1) +F13," ")," ")</f>
        <v>9.2740000000000009</v>
      </c>
      <c r="G14" s="57">
        <f ca="1">IFERROR(IF(ISNUMBER(C14),'3. Veículos'!F2 * INDEX('2. Distâncias'!D2:D226,C13*15+C14 + 1) +G13," ")," ")</f>
        <v>6.4402777777777774E-3</v>
      </c>
      <c r="H14" s="78">
        <f ca="1">IFERROR(IF(ISNUMBER(C14),'3. Veículos'!F2 * INDEX('2. Distâncias'!D2:D226,C13*15+C14 + 1) +I13," ")," ")</f>
        <v>0.25644027777777778</v>
      </c>
      <c r="I14" s="78">
        <f ca="1">IFERROR(IF(AND(C5&lt;&gt;C14,ISNUMBER(H14)),INDEX('1. Locais'!I2:I16,C14 + 1) + MAX(H14,INDEX('1. Locais'!F2:F16,C14 + 1))," ")," ")</f>
        <v>0.25644027777777778</v>
      </c>
      <c r="J14" s="57">
        <f ca="1">IFERROR(IF(AND(B14 = B5, B15 = ""), H14 - I5, I14 - I5)," ")</f>
        <v>6.4402777777777809E-3</v>
      </c>
      <c r="K14" s="55">
        <f ca="1">IFERROR(IF(ISNUMBER(C14),INDEX('1. Locais'!L2:L16,C14 + 1) + K13," ")," ")</f>
        <v>0</v>
      </c>
      <c r="L14" s="56">
        <f ca="1">IFERROR(IF(ISNUMBER(C14),INDEX('1. Locais'!J2:J16,C14 + 1)," ")," ")</f>
        <v>3</v>
      </c>
      <c r="M14" s="56">
        <f ca="1">IFERROR(IF(ISNUMBER(C14),INDEX('1. Locais'!K2:K16,C14 + 1)," ")," ")</f>
        <v>0</v>
      </c>
      <c r="N14" s="56">
        <f ca="1">IFERROR(IF(ISNUMBER(C14),IF(B14 = B5, 0, L14 + N13)," ")," ")</f>
        <v>22</v>
      </c>
      <c r="O14" s="56">
        <f ca="1">IFERROR(IF(ISNUMBER(C14),IF(B15 = B5, 0, IF(B15 = "", 0, O15 + M15))," ")," ")</f>
        <v>0</v>
      </c>
      <c r="P14" s="55">
        <f ca="1">IFERROR(IF(ISNUMBER(C14),N14 + O14," ")," ")</f>
        <v>22</v>
      </c>
    </row>
    <row r="15" spans="1:16" x14ac:dyDescent="0.25">
      <c r="A15" s="23">
        <v>10</v>
      </c>
      <c r="B15" s="58" t="s">
        <v>4012</v>
      </c>
      <c r="C15" s="55">
        <f ca="1">IFERROR(MATCH(INDIRECT("B15"),'1. Locais'!B2:B16, 0) - 1," ")</f>
        <v>10</v>
      </c>
      <c r="D15" s="55">
        <f ca="1">IFERROR(IF(ISNUMBER(C15),INDEX('1. Locais'!D2:D16,C15 + 1),NA()),NA())</f>
        <v>-10.348596300000001</v>
      </c>
      <c r="E15" s="55">
        <f ca="1">IFERROR(IF(ISNUMBER(C15),INDEX('1. Locais'!E2:E16,C15 + 1),NA()),NA())</f>
        <v>-48.294329599999998</v>
      </c>
      <c r="F15" s="56">
        <f ca="1">IFERROR(IF(ISNUMBER(C15),INDEX('2. Distâncias'!C2:C226,C14*15+C15+ 1) +F14," ")," ")</f>
        <v>9.729000000000001</v>
      </c>
      <c r="G15" s="57">
        <f ca="1">IFERROR(IF(ISNUMBER(C15),'3. Veículos'!F2 * INDEX('2. Distâncias'!D2:D226,C14*15+C15 + 1) +G14," ")," ")</f>
        <v>6.7562499999999992E-3</v>
      </c>
      <c r="H15" s="78">
        <f ca="1">IFERROR(IF(ISNUMBER(C15),'3. Veículos'!F2 * INDEX('2. Distâncias'!D2:D226,C14*15+C15 + 1) +I14," ")," ")</f>
        <v>0.25675625000000002</v>
      </c>
      <c r="I15" s="78">
        <f ca="1">IFERROR(IF(AND(C5&lt;&gt;C15,ISNUMBER(H15)),INDEX('1. Locais'!I2:I16,C15 + 1) + MAX(H15,INDEX('1. Locais'!F2:F16,C15 + 1))," ")," ")</f>
        <v>0.25675625000000002</v>
      </c>
      <c r="J15" s="57">
        <f ca="1">IFERROR(IF(AND(B15 = B5, B16 = ""), H15 - I5, I15 - I5)," ")</f>
        <v>6.7562500000000192E-3</v>
      </c>
      <c r="K15" s="55">
        <f ca="1">IFERROR(IF(ISNUMBER(C15),INDEX('1. Locais'!L2:L16,C15 + 1) + K14," ")," ")</f>
        <v>0</v>
      </c>
      <c r="L15" s="56">
        <f ca="1">IFERROR(IF(ISNUMBER(C15),INDEX('1. Locais'!J2:J16,C15 + 1)," ")," ")</f>
        <v>2</v>
      </c>
      <c r="M15" s="56">
        <f ca="1">IFERROR(IF(ISNUMBER(C15),INDEX('1. Locais'!K2:K16,C15 + 1)," ")," ")</f>
        <v>0</v>
      </c>
      <c r="N15" s="56">
        <f ca="1">IFERROR(IF(ISNUMBER(C15),IF(B15 = B5, 0, L15 + N14)," ")," ")</f>
        <v>24</v>
      </c>
      <c r="O15" s="56">
        <f ca="1">IFERROR(IF(ISNUMBER(C15),IF(B16 = B5, 0, IF(B16 = "", 0, O16 + M16))," ")," ")</f>
        <v>0</v>
      </c>
      <c r="P15" s="55">
        <f ca="1">IFERROR(IF(ISNUMBER(C15),N15 + O15," ")," ")</f>
        <v>24</v>
      </c>
    </row>
    <row r="16" spans="1:16" x14ac:dyDescent="0.25">
      <c r="A16" s="23">
        <v>11</v>
      </c>
      <c r="B16" s="54" t="s">
        <v>4013</v>
      </c>
      <c r="C16" s="55">
        <f ca="1">IFERROR(MATCH(INDIRECT("B16"),'1. Locais'!B2:B16, 0) - 1," ")</f>
        <v>11</v>
      </c>
      <c r="D16" s="55">
        <f ca="1">IFERROR(IF(ISNUMBER(C16),INDEX('1. Locais'!D2:D16,C16 + 1),NA()),NA())</f>
        <v>-10.3417335</v>
      </c>
      <c r="E16" s="55">
        <f ca="1">IFERROR(IF(ISNUMBER(C16),INDEX('1. Locais'!E2:E16,C16 + 1),NA()),NA())</f>
        <v>-48.292371699999997</v>
      </c>
      <c r="F16" s="56">
        <f ca="1">IFERROR(IF(ISNUMBER(C16),INDEX('2. Distâncias'!C2:C226,C15*15+C16+ 1) +F15," ")," ")</f>
        <v>10.681000000000001</v>
      </c>
      <c r="G16" s="57">
        <f ca="1">IFERROR(IF(ISNUMBER(C16),'3. Veículos'!F2 * INDEX('2. Distâncias'!D2:D226,C15*15+C16 + 1) +G15," ")," ")</f>
        <v>7.4173611111111107E-3</v>
      </c>
      <c r="H16" s="78">
        <f ca="1">IFERROR(IF(ISNUMBER(C16),'3. Veículos'!F2 * INDEX('2. Distâncias'!D2:D226,C15*15+C16 + 1) +I15," ")," ")</f>
        <v>0.25741736111111113</v>
      </c>
      <c r="I16" s="78">
        <f ca="1">IFERROR(IF(AND(C5&lt;&gt;C16,ISNUMBER(H16)),INDEX('1. Locais'!I2:I16,C16 + 1) + MAX(H16,INDEX('1. Locais'!F2:F16,C16 + 1))," ")," ")</f>
        <v>0.25741736111111113</v>
      </c>
      <c r="J16" s="57">
        <f ca="1">IFERROR(IF(AND(B16 = B5, B17 = ""), H16 - I5, I16 - I5)," ")</f>
        <v>7.4173611111111315E-3</v>
      </c>
      <c r="K16" s="55">
        <f ca="1">IFERROR(IF(ISNUMBER(C16),INDEX('1. Locais'!L2:L16,C16 + 1) + K15," ")," ")</f>
        <v>0</v>
      </c>
      <c r="L16" s="56">
        <f ca="1">IFERROR(IF(ISNUMBER(C16),INDEX('1. Locais'!J2:J16,C16 + 1)," ")," ")</f>
        <v>1</v>
      </c>
      <c r="M16" s="56">
        <f ca="1">IFERROR(IF(ISNUMBER(C16),INDEX('1. Locais'!K2:K16,C16 + 1)," ")," ")</f>
        <v>0</v>
      </c>
      <c r="N16" s="56">
        <f ca="1">IFERROR(IF(ISNUMBER(C16),IF(B16 = B5, 0, L16 + N15)," ")," ")</f>
        <v>25</v>
      </c>
      <c r="O16" s="56">
        <f ca="1">IFERROR(IF(ISNUMBER(C16),IF(B17 = B5, 0, IF(B17 = "", 0, O17 + M17))," ")," ")</f>
        <v>0</v>
      </c>
      <c r="P16" s="55">
        <f ca="1">IFERROR(IF(ISNUMBER(C16),N16 + O16," ")," ")</f>
        <v>25</v>
      </c>
    </row>
    <row r="17" spans="1:16" x14ac:dyDescent="0.25">
      <c r="A17" s="23">
        <v>12</v>
      </c>
      <c r="B17" s="58" t="s">
        <v>4003</v>
      </c>
      <c r="C17" s="55">
        <f ca="1">IFERROR(MATCH(INDIRECT("B17"),'1. Locais'!B2:B16, 0) - 1," ")</f>
        <v>1</v>
      </c>
      <c r="D17" s="55">
        <f ca="1">IFERROR(IF(ISNUMBER(C17),INDEX('1. Locais'!D2:D16,C17 + 1),NA()),NA())</f>
        <v>-10.341279</v>
      </c>
      <c r="E17" s="55">
        <f ca="1">IFERROR(IF(ISNUMBER(C17),INDEX('1. Locais'!E2:E16,C17 + 1),NA()),NA())</f>
        <v>-48.296286299999998</v>
      </c>
      <c r="F17" s="56">
        <f ca="1">IFERROR(IF(ISNUMBER(C17),INDEX('2. Distâncias'!C2:C226,C16*15+C17+ 1) +F16," ")," ")</f>
        <v>11.314</v>
      </c>
      <c r="G17" s="57">
        <f ca="1">IFERROR(IF(ISNUMBER(C17),'3. Veículos'!F2 * INDEX('2. Distâncias'!D2:D226,C16*15+C17 + 1) +G16," ")," ")</f>
        <v>7.8569444444444442E-3</v>
      </c>
      <c r="H17" s="78">
        <f ca="1">IFERROR(IF(ISNUMBER(C17),'3. Veículos'!F2 * INDEX('2. Distâncias'!D2:D226,C16*15+C17 + 1) +I16," ")," ")</f>
        <v>0.25785694444444446</v>
      </c>
      <c r="I17" s="78">
        <f ca="1">IFERROR(IF(AND(C5&lt;&gt;C17,ISNUMBER(H17)),INDEX('1. Locais'!I2:I16,C17 + 1) + MAX(H17,INDEX('1. Locais'!F2:F16,C17 + 1))," ")," ")</f>
        <v>0.25785694444444446</v>
      </c>
      <c r="J17" s="57">
        <f ca="1">IFERROR(IF(AND(B17 = B5, B18 = ""), H17 - I5, I17 - I5)," ")</f>
        <v>7.8569444444444581E-3</v>
      </c>
      <c r="K17" s="55">
        <f ca="1">IFERROR(IF(ISNUMBER(C17),INDEX('1. Locais'!L2:L16,C17 + 1) + K16," ")," ")</f>
        <v>0</v>
      </c>
      <c r="L17" s="56">
        <f ca="1">IFERROR(IF(ISNUMBER(C17),INDEX('1. Locais'!J2:J16,C17 + 1)," ")," ")</f>
        <v>2</v>
      </c>
      <c r="M17" s="56">
        <f ca="1">IFERROR(IF(ISNUMBER(C17),INDEX('1. Locais'!K2:K16,C17 + 1)," ")," ")</f>
        <v>0</v>
      </c>
      <c r="N17" s="56">
        <f ca="1">IFERROR(IF(ISNUMBER(C17),IF(B17 = B5, 0, L17 + N16)," ")," ")</f>
        <v>27</v>
      </c>
      <c r="O17" s="56">
        <f ca="1">IFERROR(IF(ISNUMBER(C17),IF(B18 = B5, 0, IF(B18 = "", 0, O18 + M18))," ")," ")</f>
        <v>0</v>
      </c>
      <c r="P17" s="55">
        <f ca="1">IFERROR(IF(ISNUMBER(C17),N17 + O17," ")," ")</f>
        <v>27</v>
      </c>
    </row>
    <row r="18" spans="1:16" x14ac:dyDescent="0.25">
      <c r="A18" s="23">
        <v>13</v>
      </c>
      <c r="B18" s="54" t="s">
        <v>4015</v>
      </c>
      <c r="C18" s="55">
        <f ca="1">IFERROR(MATCH(INDIRECT("B18"),'1. Locais'!B2:B16, 0) - 1," ")</f>
        <v>13</v>
      </c>
      <c r="D18" s="55">
        <f ca="1">IFERROR(IF(ISNUMBER(C18),INDEX('1. Locais'!D2:D16,C18 + 1),NA()),NA())</f>
        <v>-10.333815100000001</v>
      </c>
      <c r="E18" s="55">
        <f ca="1">IFERROR(IF(ISNUMBER(C18),INDEX('1. Locais'!E2:E16,C18 + 1),NA()),NA())</f>
        <v>-48.298534799999999</v>
      </c>
      <c r="F18" s="56">
        <f ca="1">IFERROR(IF(ISNUMBER(C18),INDEX('2. Distâncias'!C2:C226,C17*15+C18+ 1) +F17," ")," ")</f>
        <v>12.677</v>
      </c>
      <c r="G18" s="57">
        <f ca="1">IFERROR(IF(ISNUMBER(C18),'3. Veículos'!F2 * INDEX('2. Distâncias'!D2:D226,C17*15+C18 + 1) +G17," ")," ")</f>
        <v>8.8034722222222212E-3</v>
      </c>
      <c r="H18" s="78">
        <f ca="1">IFERROR(IF(ISNUMBER(C18),'3. Veículos'!F2 * INDEX('2. Distâncias'!D2:D226,C17*15+C18 + 1) +I17," ")," ")</f>
        <v>0.25880347222222222</v>
      </c>
      <c r="I18" s="78">
        <f ca="1">IFERROR(IF(AND(C5&lt;&gt;C18,ISNUMBER(H18)),INDEX('1. Locais'!I2:I16,C18 + 1) + MAX(H18,INDEX('1. Locais'!F2:F16,C18 + 1))," ")," ")</f>
        <v>0.25880347222222222</v>
      </c>
      <c r="J18" s="57">
        <f ca="1">IFERROR(IF(AND(B18 = B5, B19 = ""), H18 - I5, I18 - I5)," ")</f>
        <v>8.8034722222222195E-3</v>
      </c>
      <c r="K18" s="55">
        <f ca="1">IFERROR(IF(ISNUMBER(C18),INDEX('1. Locais'!L2:L16,C18 + 1) + K17," ")," ")</f>
        <v>0</v>
      </c>
      <c r="L18" s="56">
        <f ca="1">IFERROR(IF(ISNUMBER(C18),INDEX('1. Locais'!J2:J16,C18 + 1)," ")," ")</f>
        <v>2</v>
      </c>
      <c r="M18" s="56">
        <f ca="1">IFERROR(IF(ISNUMBER(C18),INDEX('1. Locais'!K2:K16,C18 + 1)," ")," ")</f>
        <v>0</v>
      </c>
      <c r="N18" s="56">
        <f ca="1">IFERROR(IF(ISNUMBER(C18),IF(B18 = B5, 0, L18 + N17)," ")," ")</f>
        <v>29</v>
      </c>
      <c r="O18" s="56">
        <f ca="1">IFERROR(IF(ISNUMBER(C18),IF(B19 = B5, 0, IF(B19 = "", 0, O19 + M19))," ")," ")</f>
        <v>0</v>
      </c>
      <c r="P18" s="55">
        <f ca="1">IFERROR(IF(ISNUMBER(C18),N18 + O18," ")," ")</f>
        <v>29</v>
      </c>
    </row>
    <row r="19" spans="1:16" x14ac:dyDescent="0.25">
      <c r="A19" s="23">
        <v>14</v>
      </c>
      <c r="B19" s="58" t="s">
        <v>4016</v>
      </c>
      <c r="C19" s="55">
        <f ca="1">IFERROR(MATCH(INDIRECT("B19"),'1. Locais'!B2:B16, 0) - 1," ")</f>
        <v>14</v>
      </c>
      <c r="D19" s="55">
        <f ca="1">IFERROR(IF(ISNUMBER(C19),INDEX('1. Locais'!D2:D16,C19 + 1),NA()),NA())</f>
        <v>-10.329828300000001</v>
      </c>
      <c r="E19" s="55">
        <f ca="1">IFERROR(IF(ISNUMBER(C19),INDEX('1. Locais'!E2:E16,C19 + 1),NA()),NA())</f>
        <v>-48.298161200000003</v>
      </c>
      <c r="F19" s="56">
        <f ca="1">IFERROR(IF(ISNUMBER(C19),INDEX('2. Distâncias'!C2:C226,C18*15+C19+ 1) +F18," ")," ")</f>
        <v>13.126999999999999</v>
      </c>
      <c r="G19" s="57">
        <f ca="1">IFERROR(IF(ISNUMBER(C19),'3. Veículos'!F2 * INDEX('2. Distâncias'!D2:D226,C18*15+C19 + 1) +G18," ")," ")</f>
        <v>9.1159722222222215E-3</v>
      </c>
      <c r="H19" s="78">
        <f ca="1">IFERROR(IF(ISNUMBER(C19),'3. Veículos'!F2 * INDEX('2. Distâncias'!D2:D226,C18*15+C19 + 1) +I18," ")," ")</f>
        <v>0.25911597222222221</v>
      </c>
      <c r="I19" s="78">
        <f ca="1">IFERROR(IF(AND(C5&lt;&gt;C19,ISNUMBER(H19)),INDEX('1. Locais'!I2:I16,C19 + 1) + MAX(H19,INDEX('1. Locais'!F2:F16,C19 + 1))," ")," ")</f>
        <v>0.25911597222222221</v>
      </c>
      <c r="J19" s="57">
        <f ca="1">IFERROR(IF(AND(B19 = B5, B20 = ""), H19 - I5, I19 - I5)," ")</f>
        <v>9.1159722222222128E-3</v>
      </c>
      <c r="K19" s="55">
        <f ca="1">IFERROR(IF(ISNUMBER(C19),INDEX('1. Locais'!L2:L16,C19 + 1) + K18," ")," ")</f>
        <v>0</v>
      </c>
      <c r="L19" s="56">
        <f ca="1">IFERROR(IF(ISNUMBER(C19),INDEX('1. Locais'!J2:J16,C19 + 1)," ")," ")</f>
        <v>1</v>
      </c>
      <c r="M19" s="56">
        <f ca="1">IFERROR(IF(ISNUMBER(C19),INDEX('1. Locais'!K2:K16,C19 + 1)," ")," ")</f>
        <v>0</v>
      </c>
      <c r="N19" s="56">
        <f ca="1">IFERROR(IF(ISNUMBER(C19),IF(B19 = B5, 0, L19 + N18)," ")," ")</f>
        <v>30</v>
      </c>
      <c r="O19" s="56">
        <f ca="1">IFERROR(IF(ISNUMBER(C19),IF(B20 = B5, 0, IF(B20 = "", 0, O20 + M20))," ")," ")</f>
        <v>0</v>
      </c>
      <c r="P19" s="55">
        <f ca="1">IFERROR(IF(ISNUMBER(C19),N19 + O19," ")," ")</f>
        <v>30</v>
      </c>
    </row>
    <row r="20" spans="1:16" x14ac:dyDescent="0.25">
      <c r="A20" s="22">
        <v>15</v>
      </c>
      <c r="B20" s="77" t="s">
        <v>4020</v>
      </c>
      <c r="C20" s="51">
        <f ca="1">IFERROR(MATCH(INDIRECT("B20"),'1. Locais'!B2:B16, 0) - 1," ")</f>
        <v>0</v>
      </c>
      <c r="D20" s="51">
        <f ca="1">IFERROR(IF(ISNUMBER(C20),INDEX('1. Locais'!D2:D16,C20 + 1),NA()),NA())</f>
        <v>-10.33446</v>
      </c>
      <c r="E20" s="51">
        <f ca="1">IFERROR(IF(ISNUMBER(C20),INDEX('1. Locais'!E2:E16,C20 + 1),NA()),NA())</f>
        <v>-48.292639999999999</v>
      </c>
      <c r="F20" s="52">
        <f ca="1">IFERROR(IF(ISNUMBER(C20),INDEX('2. Distâncias'!C2:C226,C19*15+C20+ 1) +F19," ")," ")</f>
        <v>14.393999999999998</v>
      </c>
      <c r="G20" s="53">
        <f ca="1">IFERROR(IF(ISNUMBER(C20),'3. Veículos'!F2 * INDEX('2. Distâncias'!D2:D226,C19*15+C20 + 1) +G19," ")," ")</f>
        <v>9.9958333333333323E-3</v>
      </c>
      <c r="H20" s="76">
        <f ca="1">IFERROR(IF(ISNUMBER(C20),'3. Veículos'!F2 * INDEX('2. Distâncias'!D2:D226,C19*15+C20 + 1) +I19," ")," ")</f>
        <v>0.25999583333333331</v>
      </c>
      <c r="I20" s="76" t="str">
        <f ca="1">IFERROR(IF(AND(C5&lt;&gt;C20,ISNUMBER(H20)),INDEX('1. Locais'!I2:I16,C20 + 1) + MAX(H20,INDEX('1. Locais'!F2:F16,C20 + 1))," ")," ")</f>
        <v xml:space="preserve"> </v>
      </c>
      <c r="J20" s="53">
        <f ca="1">IFERROR(IF(AND(B20 = B5, B21 = ""), H20 - I5, I20 - I5)," ")</f>
        <v>9.9958333333333149E-3</v>
      </c>
      <c r="K20" s="51">
        <f ca="1">IFERROR(IF(ISNUMBER(C20),INDEX('1. Locais'!L2:L16,C20 + 1) + K19," ")," ")</f>
        <v>0</v>
      </c>
      <c r="L20" s="52">
        <f ca="1">IFERROR(IF(ISNUMBER(C20),INDEX('1. Locais'!J2:J16,C20 + 1)," ")," ")</f>
        <v>0</v>
      </c>
      <c r="M20" s="52">
        <f ca="1">IFERROR(IF(ISNUMBER(C20),INDEX('1. Locais'!K2:K16,C20 + 1)," ")," ")</f>
        <v>0</v>
      </c>
      <c r="N20" s="52">
        <f ca="1">IFERROR(IF(ISNUMBER(C20),IF(B20 = B5, 0, L20 + N19)," ")," ")</f>
        <v>0</v>
      </c>
      <c r="O20" s="52">
        <f ca="1">IFERROR(IF(ISNUMBER(C20),IF(B21 = B5, 0, IF(B21 = "", 0, O21 + M21))," ")," ")</f>
        <v>0</v>
      </c>
      <c r="P20" s="51">
        <f ca="1">IFERROR(IF(ISNUMBER(C20),N20 + O20," ")," ")</f>
        <v>0</v>
      </c>
    </row>
    <row r="22" spans="1:16" x14ac:dyDescent="0.25">
      <c r="A22" s="18" t="s">
        <v>1120</v>
      </c>
    </row>
  </sheetData>
  <conditionalFormatting sqref="F6:F20">
    <cfRule type="cellIs" dxfId="10" priority="4" stopIfTrue="1" operator="equal">
      <formula>" "</formula>
    </cfRule>
  </conditionalFormatting>
  <conditionalFormatting sqref="P6:P20">
    <cfRule type="cellIs" dxfId="8" priority="3" stopIfTrue="1" operator="equal">
      <formula>" "</formula>
    </cfRule>
  </conditionalFormatting>
  <conditionalFormatting sqref="P6:P20">
    <cfRule type="cellIs" dxfId="6" priority="54" stopIfTrue="1" operator="lessThan">
      <formula>0</formula>
    </cfRule>
  </conditionalFormatting>
  <conditionalFormatting sqref="G6:G20">
    <cfRule type="cellIs" dxfId="5" priority="2" stopIfTrue="1" operator="equal">
      <formula>" "</formula>
    </cfRule>
  </conditionalFormatting>
  <conditionalFormatting sqref="J6:J20">
    <cfRule type="cellIs" dxfId="3" priority="1" stopIfTrue="1" operator="equal">
      <formula>" "</formula>
    </cfRule>
  </conditionalFormatting>
  <conditionalFormatting sqref="I3">
    <cfRule type="expression" dxfId="1" priority="57" stopIfTrue="1">
      <formula>ISERROR(I3)</formula>
    </cfRule>
  </conditionalFormatting>
  <conditionalFormatting sqref="B1">
    <cfRule type="expression" dxfId="0" priority="58"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A34FBBB3-B28A-4C80-9257-BE4FCC159CDD}">
            <xm:f>(60 * HOUR(H5) + MINUTE(H5)) &gt;(60 * HOUR(INDEX('1. Locais'!G2:G16,C5 + 1)) +MINUTE(INDEX('1. Locais'!G2:G16,C5 + 1)))</xm:f>
            <x14:dxf>
              <fill>
                <patternFill>
                  <bgColor indexed="10"/>
                </patternFill>
              </fill>
            </x14:dxf>
          </x14:cfRule>
          <xm:sqref>H5</xm:sqref>
        </x14:conditionalFormatting>
        <x14:conditionalFormatting xmlns:xm="http://schemas.microsoft.com/office/excel/2006/main">
          <x14:cfRule type="expression" priority="6" stopIfTrue="1" id="{B87E6026-9172-4AA1-A771-F2DE0BD7DEC4}">
            <xm:f>(60 * HOUR(I5) + MINUTE(I5)) &gt;(60 * HOUR(INDEX('1. Locais'!G2:G16,C5 + 1)) +MINUTE(INDEX('1. Locais'!G2:G16,C5 + 1)))</xm:f>
            <x14:dxf>
              <fill>
                <patternFill>
                  <bgColor indexed="10"/>
                </patternFill>
              </fill>
            </x14:dxf>
          </x14:cfRule>
          <xm:sqref>I5</xm:sqref>
        </x14:conditionalFormatting>
        <x14:conditionalFormatting xmlns:xm="http://schemas.microsoft.com/office/excel/2006/main">
          <x14:cfRule type="cellIs" priority="7" stopIfTrue="1" operator="lessThan" id="{5A896065-A8E7-4AA6-8404-E8271480ACB9}">
            <xm:f>INDEX('1. Locais'!F2:F16,C6 + 1)</xm:f>
            <x14:dxf>
              <fill>
                <patternFill>
                  <bgColor indexed="52"/>
                </patternFill>
              </fill>
            </x14:dxf>
          </x14:cfRule>
          <x14:cfRule type="expression" priority="8" stopIfTrue="1" id="{45F15244-8F53-466B-BD49-EF501443504D}">
            <xm:f>(60 * HOUR(H6) + MINUTE(H6)) &gt;(60 * HOUR(INDEX('1. Locais'!G2:G16,C6 + 1)) +MINUTE(INDEX('1. Locais'!G2:G16,C6 + 1)))</xm:f>
            <x14:dxf>
              <fill>
                <patternFill>
                  <bgColor indexed="10"/>
                </patternFill>
              </fill>
            </x14:dxf>
          </x14:cfRule>
          <xm:sqref>H6</xm:sqref>
        </x14:conditionalFormatting>
        <x14:conditionalFormatting xmlns:xm="http://schemas.microsoft.com/office/excel/2006/main">
          <x14:cfRule type="expression" priority="9" stopIfTrue="1" id="{316A3FF5-E604-4B6C-B27B-90932DCD71B8}">
            <xm:f>(60 * HOUR(I6) + MINUTE(I6)) &gt;(60 * HOUR(INDEX('1. Locais'!G2:G16,C6 + 1)) +MINUTE(INDEX('1. Locais'!G2:G16,C6 + 1)))</xm:f>
            <x14:dxf>
              <fill>
                <patternFill>
                  <bgColor indexed="10"/>
                </patternFill>
              </fill>
            </x14:dxf>
          </x14:cfRule>
          <xm:sqref>I6</xm:sqref>
        </x14:conditionalFormatting>
        <x14:conditionalFormatting xmlns:xm="http://schemas.microsoft.com/office/excel/2006/main">
          <x14:cfRule type="cellIs" priority="10" stopIfTrue="1" operator="lessThan" id="{7970FC2D-D4E4-4925-8BAC-5D1ED35B23E8}">
            <xm:f>INDEX('1. Locais'!F2:F16,C7 + 1)</xm:f>
            <x14:dxf>
              <fill>
                <patternFill>
                  <bgColor indexed="52"/>
                </patternFill>
              </fill>
            </x14:dxf>
          </x14:cfRule>
          <x14:cfRule type="expression" priority="11" stopIfTrue="1" id="{0F2DCB95-4441-4DEF-B273-2C53E640C8F4}">
            <xm:f>(60 * HOUR(H7) + MINUTE(H7)) &gt;(60 * HOUR(INDEX('1. Locais'!G2:G16,C7 + 1)) +MINUTE(INDEX('1. Locais'!G2:G16,C7 + 1)))</xm:f>
            <x14:dxf>
              <fill>
                <patternFill>
                  <bgColor indexed="10"/>
                </patternFill>
              </fill>
            </x14:dxf>
          </x14:cfRule>
          <xm:sqref>H7</xm:sqref>
        </x14:conditionalFormatting>
        <x14:conditionalFormatting xmlns:xm="http://schemas.microsoft.com/office/excel/2006/main">
          <x14:cfRule type="expression" priority="12" stopIfTrue="1" id="{161E25EE-0991-445A-9826-207A11626B0F}">
            <xm:f>(60 * HOUR(I7) + MINUTE(I7)) &gt;(60 * HOUR(INDEX('1. Locais'!G2:G16,C7 + 1)) +MINUTE(INDEX('1. Locais'!G2:G16,C7 + 1)))</xm:f>
            <x14:dxf>
              <fill>
                <patternFill>
                  <bgColor indexed="10"/>
                </patternFill>
              </fill>
            </x14:dxf>
          </x14:cfRule>
          <xm:sqref>I7</xm:sqref>
        </x14:conditionalFormatting>
        <x14:conditionalFormatting xmlns:xm="http://schemas.microsoft.com/office/excel/2006/main">
          <x14:cfRule type="cellIs" priority="13" stopIfTrue="1" operator="lessThan" id="{25D54E26-F641-492C-92BE-5540BFE253B5}">
            <xm:f>INDEX('1. Locais'!F2:F16,C8 + 1)</xm:f>
            <x14:dxf>
              <fill>
                <patternFill>
                  <bgColor indexed="52"/>
                </patternFill>
              </fill>
            </x14:dxf>
          </x14:cfRule>
          <x14:cfRule type="expression" priority="14" stopIfTrue="1" id="{FB83D82E-646A-46E6-89F3-8E916CC793BA}">
            <xm:f>(60 * HOUR(H8) + MINUTE(H8)) &gt;(60 * HOUR(INDEX('1. Locais'!G2:G16,C8 + 1)) +MINUTE(INDEX('1. Locais'!G2:G16,C8 + 1)))</xm:f>
            <x14:dxf>
              <fill>
                <patternFill>
                  <bgColor indexed="10"/>
                </patternFill>
              </fill>
            </x14:dxf>
          </x14:cfRule>
          <xm:sqref>H8</xm:sqref>
        </x14:conditionalFormatting>
        <x14:conditionalFormatting xmlns:xm="http://schemas.microsoft.com/office/excel/2006/main">
          <x14:cfRule type="expression" priority="15" stopIfTrue="1" id="{35C2483E-6824-4291-9BAE-9CC7E85DB3AC}">
            <xm:f>(60 * HOUR(I8) + MINUTE(I8)) &gt;(60 * HOUR(INDEX('1. Locais'!G2:G16,C8 + 1)) +MINUTE(INDEX('1. Locais'!G2:G16,C8 + 1)))</xm:f>
            <x14:dxf>
              <fill>
                <patternFill>
                  <bgColor indexed="10"/>
                </patternFill>
              </fill>
            </x14:dxf>
          </x14:cfRule>
          <xm:sqref>I8</xm:sqref>
        </x14:conditionalFormatting>
        <x14:conditionalFormatting xmlns:xm="http://schemas.microsoft.com/office/excel/2006/main">
          <x14:cfRule type="cellIs" priority="16" stopIfTrue="1" operator="lessThan" id="{DA52E079-198F-466E-8AAE-60FEC9B583D9}">
            <xm:f>INDEX('1. Locais'!F2:F16,C9 + 1)</xm:f>
            <x14:dxf>
              <fill>
                <patternFill>
                  <bgColor indexed="52"/>
                </patternFill>
              </fill>
            </x14:dxf>
          </x14:cfRule>
          <x14:cfRule type="expression" priority="17" stopIfTrue="1" id="{1B0731E9-10D9-4D96-A19A-84B78C7C48FD}">
            <xm:f>(60 * HOUR(H9) + MINUTE(H9)) &gt;(60 * HOUR(INDEX('1. Locais'!G2:G16,C9 + 1)) +MINUTE(INDEX('1. Locais'!G2:G16,C9 + 1)))</xm:f>
            <x14:dxf>
              <fill>
                <patternFill>
                  <bgColor indexed="10"/>
                </patternFill>
              </fill>
            </x14:dxf>
          </x14:cfRule>
          <xm:sqref>H9</xm:sqref>
        </x14:conditionalFormatting>
        <x14:conditionalFormatting xmlns:xm="http://schemas.microsoft.com/office/excel/2006/main">
          <x14:cfRule type="expression" priority="18" stopIfTrue="1" id="{670BFD0E-F15D-4703-875A-88F0348D6D1C}">
            <xm:f>(60 * HOUR(I9) + MINUTE(I9)) &gt;(60 * HOUR(INDEX('1. Locais'!G2:G16,C9 + 1)) +MINUTE(INDEX('1. Locais'!G2:G16,C9 + 1)))</xm:f>
            <x14:dxf>
              <fill>
                <patternFill>
                  <bgColor indexed="10"/>
                </patternFill>
              </fill>
            </x14:dxf>
          </x14:cfRule>
          <xm:sqref>I9</xm:sqref>
        </x14:conditionalFormatting>
        <x14:conditionalFormatting xmlns:xm="http://schemas.microsoft.com/office/excel/2006/main">
          <x14:cfRule type="cellIs" priority="19" stopIfTrue="1" operator="lessThan" id="{8DACD83C-76ED-4A9F-991B-E647FAE83983}">
            <xm:f>INDEX('1. Locais'!F2:F16,C10 + 1)</xm:f>
            <x14:dxf>
              <fill>
                <patternFill>
                  <bgColor indexed="52"/>
                </patternFill>
              </fill>
            </x14:dxf>
          </x14:cfRule>
          <x14:cfRule type="expression" priority="20" stopIfTrue="1" id="{8C7BB794-D307-4947-8C6F-57970FDA54F9}">
            <xm:f>(60 * HOUR(H10) + MINUTE(H10)) &gt;(60 * HOUR(INDEX('1. Locais'!G2:G16,C10 + 1)) +MINUTE(INDEX('1. Locais'!G2:G16,C10 + 1)))</xm:f>
            <x14:dxf>
              <fill>
                <patternFill>
                  <bgColor indexed="10"/>
                </patternFill>
              </fill>
            </x14:dxf>
          </x14:cfRule>
          <xm:sqref>H10</xm:sqref>
        </x14:conditionalFormatting>
        <x14:conditionalFormatting xmlns:xm="http://schemas.microsoft.com/office/excel/2006/main">
          <x14:cfRule type="expression" priority="21" stopIfTrue="1" id="{485E927E-5C92-4A7F-A1A9-6EC4A3182303}">
            <xm:f>(60 * HOUR(I10) + MINUTE(I10)) &gt;(60 * HOUR(INDEX('1. Locais'!G2:G16,C10 + 1)) +MINUTE(INDEX('1. Locais'!G2:G16,C10 + 1)))</xm:f>
            <x14:dxf>
              <fill>
                <patternFill>
                  <bgColor indexed="10"/>
                </patternFill>
              </fill>
            </x14:dxf>
          </x14:cfRule>
          <xm:sqref>I10</xm:sqref>
        </x14:conditionalFormatting>
        <x14:conditionalFormatting xmlns:xm="http://schemas.microsoft.com/office/excel/2006/main">
          <x14:cfRule type="cellIs" priority="22" stopIfTrue="1" operator="lessThan" id="{F5A30000-8AB3-485B-BA72-1A7B7C4F83FA}">
            <xm:f>INDEX('1. Locais'!F2:F16,C11 + 1)</xm:f>
            <x14:dxf>
              <fill>
                <patternFill>
                  <bgColor indexed="52"/>
                </patternFill>
              </fill>
            </x14:dxf>
          </x14:cfRule>
          <x14:cfRule type="expression" priority="23" stopIfTrue="1" id="{9AD07D2A-836C-4F08-9791-4CC25F0E7223}">
            <xm:f>(60 * HOUR(H11) + MINUTE(H11)) &gt;(60 * HOUR(INDEX('1. Locais'!G2:G16,C11 + 1)) +MINUTE(INDEX('1. Locais'!G2:G16,C11 + 1)))</xm:f>
            <x14:dxf>
              <fill>
                <patternFill>
                  <bgColor indexed="10"/>
                </patternFill>
              </fill>
            </x14:dxf>
          </x14:cfRule>
          <xm:sqref>H11</xm:sqref>
        </x14:conditionalFormatting>
        <x14:conditionalFormatting xmlns:xm="http://schemas.microsoft.com/office/excel/2006/main">
          <x14:cfRule type="expression" priority="24" stopIfTrue="1" id="{5CCDC6FB-CF26-483B-9563-416482BA9DAC}">
            <xm:f>(60 * HOUR(I11) + MINUTE(I11)) &gt;(60 * HOUR(INDEX('1. Locais'!G2:G16,C11 + 1)) +MINUTE(INDEX('1. Locais'!G2:G16,C11 + 1)))</xm:f>
            <x14:dxf>
              <fill>
                <patternFill>
                  <bgColor indexed="10"/>
                </patternFill>
              </fill>
            </x14:dxf>
          </x14:cfRule>
          <xm:sqref>I11</xm:sqref>
        </x14:conditionalFormatting>
        <x14:conditionalFormatting xmlns:xm="http://schemas.microsoft.com/office/excel/2006/main">
          <x14:cfRule type="cellIs" priority="25" stopIfTrue="1" operator="lessThan" id="{4EA6577B-82BE-46CD-BDB3-34412A691553}">
            <xm:f>INDEX('1. Locais'!F2:F16,C12 + 1)</xm:f>
            <x14:dxf>
              <fill>
                <patternFill>
                  <bgColor indexed="52"/>
                </patternFill>
              </fill>
            </x14:dxf>
          </x14:cfRule>
          <x14:cfRule type="expression" priority="26" stopIfTrue="1" id="{D65B09AD-A0FD-46BF-A308-65A9DEEA4788}">
            <xm:f>(60 * HOUR(H12) + MINUTE(H12)) &gt;(60 * HOUR(INDEX('1. Locais'!G2:G16,C12 + 1)) +MINUTE(INDEX('1. Locais'!G2:G16,C12 + 1)))</xm:f>
            <x14:dxf>
              <fill>
                <patternFill>
                  <bgColor indexed="10"/>
                </patternFill>
              </fill>
            </x14:dxf>
          </x14:cfRule>
          <xm:sqref>H12</xm:sqref>
        </x14:conditionalFormatting>
        <x14:conditionalFormatting xmlns:xm="http://schemas.microsoft.com/office/excel/2006/main">
          <x14:cfRule type="expression" priority="27" stopIfTrue="1" id="{6DBB49A4-F8AA-4D4E-9AB3-5753F1F69114}">
            <xm:f>(60 * HOUR(I12) + MINUTE(I12)) &gt;(60 * HOUR(INDEX('1. Locais'!G2:G16,C12 + 1)) +MINUTE(INDEX('1. Locais'!G2:G16,C12 + 1)))</xm:f>
            <x14:dxf>
              <fill>
                <patternFill>
                  <bgColor indexed="10"/>
                </patternFill>
              </fill>
            </x14:dxf>
          </x14:cfRule>
          <xm:sqref>I12</xm:sqref>
        </x14:conditionalFormatting>
        <x14:conditionalFormatting xmlns:xm="http://schemas.microsoft.com/office/excel/2006/main">
          <x14:cfRule type="cellIs" priority="28" stopIfTrue="1" operator="lessThan" id="{4E0F1C99-366F-41D2-926F-A6740D2F04FA}">
            <xm:f>INDEX('1. Locais'!F2:F16,C13 + 1)</xm:f>
            <x14:dxf>
              <fill>
                <patternFill>
                  <bgColor indexed="52"/>
                </patternFill>
              </fill>
            </x14:dxf>
          </x14:cfRule>
          <x14:cfRule type="expression" priority="29" stopIfTrue="1" id="{772B4B0D-CFA6-499B-B8E4-C327E2BB2F47}">
            <xm:f>(60 * HOUR(H13) + MINUTE(H13)) &gt;(60 * HOUR(INDEX('1. Locais'!G2:G16,C13 + 1)) +MINUTE(INDEX('1. Locais'!G2:G16,C13 + 1)))</xm:f>
            <x14:dxf>
              <fill>
                <patternFill>
                  <bgColor indexed="10"/>
                </patternFill>
              </fill>
            </x14:dxf>
          </x14:cfRule>
          <xm:sqref>H13</xm:sqref>
        </x14:conditionalFormatting>
        <x14:conditionalFormatting xmlns:xm="http://schemas.microsoft.com/office/excel/2006/main">
          <x14:cfRule type="expression" priority="30" stopIfTrue="1" id="{3B4BAA54-11C8-4127-9F5B-8E5BA98891DB}">
            <xm:f>(60 * HOUR(I13) + MINUTE(I13)) &gt;(60 * HOUR(INDEX('1. Locais'!G2:G16,C13 + 1)) +MINUTE(INDEX('1. Locais'!G2:G16,C13 + 1)))</xm:f>
            <x14:dxf>
              <fill>
                <patternFill>
                  <bgColor indexed="10"/>
                </patternFill>
              </fill>
            </x14:dxf>
          </x14:cfRule>
          <xm:sqref>I13</xm:sqref>
        </x14:conditionalFormatting>
        <x14:conditionalFormatting xmlns:xm="http://schemas.microsoft.com/office/excel/2006/main">
          <x14:cfRule type="cellIs" priority="31" stopIfTrue="1" operator="lessThan" id="{5B465318-7ED1-4BB1-925D-355AAB78CEE7}">
            <xm:f>INDEX('1. Locais'!F2:F16,C14 + 1)</xm:f>
            <x14:dxf>
              <fill>
                <patternFill>
                  <bgColor indexed="52"/>
                </patternFill>
              </fill>
            </x14:dxf>
          </x14:cfRule>
          <x14:cfRule type="expression" priority="32" stopIfTrue="1" id="{47465A6D-2D1F-4472-B362-E9641E865B39}">
            <xm:f>(60 * HOUR(H14) + MINUTE(H14)) &gt;(60 * HOUR(INDEX('1. Locais'!G2:G16,C14 + 1)) +MINUTE(INDEX('1. Locais'!G2:G16,C14 + 1)))</xm:f>
            <x14:dxf>
              <fill>
                <patternFill>
                  <bgColor indexed="10"/>
                </patternFill>
              </fill>
            </x14:dxf>
          </x14:cfRule>
          <xm:sqref>H14</xm:sqref>
        </x14:conditionalFormatting>
        <x14:conditionalFormatting xmlns:xm="http://schemas.microsoft.com/office/excel/2006/main">
          <x14:cfRule type="expression" priority="33" stopIfTrue="1" id="{FDA8110F-9DEE-488A-BC50-8B321D428B94}">
            <xm:f>(60 * HOUR(I14) + MINUTE(I14)) &gt;(60 * HOUR(INDEX('1. Locais'!G2:G16,C14 + 1)) +MINUTE(INDEX('1. Locais'!G2:G16,C14 + 1)))</xm:f>
            <x14:dxf>
              <fill>
                <patternFill>
                  <bgColor indexed="10"/>
                </patternFill>
              </fill>
            </x14:dxf>
          </x14:cfRule>
          <xm:sqref>I14</xm:sqref>
        </x14:conditionalFormatting>
        <x14:conditionalFormatting xmlns:xm="http://schemas.microsoft.com/office/excel/2006/main">
          <x14:cfRule type="cellIs" priority="34" stopIfTrue="1" operator="lessThan" id="{EE21818C-33F5-4E17-AEE2-B140199EBBD8}">
            <xm:f>INDEX('1. Locais'!F2:F16,C15 + 1)</xm:f>
            <x14:dxf>
              <fill>
                <patternFill>
                  <bgColor indexed="52"/>
                </patternFill>
              </fill>
            </x14:dxf>
          </x14:cfRule>
          <xm:sqref>H15</xm:sqref>
        </x14:conditionalFormatting>
        <x14:conditionalFormatting xmlns:xm="http://schemas.microsoft.com/office/excel/2006/main">
          <x14:cfRule type="expression" priority="35" stopIfTrue="1" id="{4232AE82-F1B6-42F6-BE93-CCF55D92BC79}">
            <xm:f>(60 * HOUR(H15) + MINUTE(H15)) &gt;(60 * HOUR(INDEX('1. Locais'!G2:G16,C15 + 1)) +MINUTE(INDEX('1. Locais'!G2:G16,C15 + 1)))</xm:f>
            <x14:dxf>
              <fill>
                <patternFill>
                  <bgColor indexed="10"/>
                </patternFill>
              </fill>
            </x14:dxf>
          </x14:cfRule>
          <xm:sqref>H15</xm:sqref>
        </x14:conditionalFormatting>
        <x14:conditionalFormatting xmlns:xm="http://schemas.microsoft.com/office/excel/2006/main">
          <x14:cfRule type="expression" priority="36" stopIfTrue="1" id="{2AC8ADA9-FCD9-4C4D-8241-541BCFF4D91E}">
            <xm:f>(60 * HOUR(I15) + MINUTE(I15)) &gt;(60 * HOUR(INDEX('1. Locais'!G2:G16,C15 + 1)) +MINUTE(INDEX('1. Locais'!G2:G16,C15 + 1)))</xm:f>
            <x14:dxf>
              <fill>
                <patternFill>
                  <bgColor indexed="10"/>
                </patternFill>
              </fill>
            </x14:dxf>
          </x14:cfRule>
          <xm:sqref>I15</xm:sqref>
        </x14:conditionalFormatting>
        <x14:conditionalFormatting xmlns:xm="http://schemas.microsoft.com/office/excel/2006/main">
          <x14:cfRule type="cellIs" priority="37" stopIfTrue="1" operator="lessThan" id="{DF1069D4-F5DC-4AC6-9BBE-4548593C5AB7}">
            <xm:f>INDEX('1. Locais'!F2:F16,C16 + 1)</xm:f>
            <x14:dxf>
              <fill>
                <patternFill>
                  <bgColor indexed="52"/>
                </patternFill>
              </fill>
            </x14:dxf>
          </x14:cfRule>
          <xm:sqref>H16</xm:sqref>
        </x14:conditionalFormatting>
        <x14:conditionalFormatting xmlns:xm="http://schemas.microsoft.com/office/excel/2006/main">
          <x14:cfRule type="expression" priority="38" stopIfTrue="1" id="{4A984E78-37B7-484A-98A3-60CE6521C330}">
            <xm:f>(60 * HOUR(H16) + MINUTE(H16)) &gt;(60 * HOUR(INDEX('1. Locais'!G2:G16,C16 + 1)) +MINUTE(INDEX('1. Locais'!G2:G16,C16 + 1)))</xm:f>
            <x14:dxf>
              <fill>
                <patternFill>
                  <bgColor indexed="10"/>
                </patternFill>
              </fill>
            </x14:dxf>
          </x14:cfRule>
          <xm:sqref>H16</xm:sqref>
        </x14:conditionalFormatting>
        <x14:conditionalFormatting xmlns:xm="http://schemas.microsoft.com/office/excel/2006/main">
          <x14:cfRule type="expression" priority="39" stopIfTrue="1" id="{85F40657-569A-4912-A2EC-4E1268608658}">
            <xm:f>(60 * HOUR(I16) + MINUTE(I16)) &gt;(60 * HOUR(INDEX('1. Locais'!G2:G16,C16 + 1)) +MINUTE(INDEX('1. Locais'!G2:G16,C16 + 1)))</xm:f>
            <x14:dxf>
              <fill>
                <patternFill>
                  <bgColor indexed="10"/>
                </patternFill>
              </fill>
            </x14:dxf>
          </x14:cfRule>
          <xm:sqref>I16</xm:sqref>
        </x14:conditionalFormatting>
        <x14:conditionalFormatting xmlns:xm="http://schemas.microsoft.com/office/excel/2006/main">
          <x14:cfRule type="cellIs" priority="40" stopIfTrue="1" operator="lessThan" id="{9B637E57-8E9A-4538-933A-71D03D54DE3F}">
            <xm:f>INDEX('1. Locais'!F2:F16,C17 + 1)</xm:f>
            <x14:dxf>
              <fill>
                <patternFill>
                  <bgColor indexed="52"/>
                </patternFill>
              </fill>
            </x14:dxf>
          </x14:cfRule>
          <xm:sqref>H17</xm:sqref>
        </x14:conditionalFormatting>
        <x14:conditionalFormatting xmlns:xm="http://schemas.microsoft.com/office/excel/2006/main">
          <x14:cfRule type="expression" priority="41" stopIfTrue="1" id="{CAAF4834-1A72-4F76-957B-A5E860F434DC}">
            <xm:f>(60 * HOUR(H17) + MINUTE(H17)) &gt;(60 * HOUR(INDEX('1. Locais'!G2:G16,C17 + 1)) +MINUTE(INDEX('1. Locais'!G2:G16,C17 + 1)))</xm:f>
            <x14:dxf>
              <fill>
                <patternFill>
                  <bgColor indexed="10"/>
                </patternFill>
              </fill>
            </x14:dxf>
          </x14:cfRule>
          <xm:sqref>H17</xm:sqref>
        </x14:conditionalFormatting>
        <x14:conditionalFormatting xmlns:xm="http://schemas.microsoft.com/office/excel/2006/main">
          <x14:cfRule type="expression" priority="42" stopIfTrue="1" id="{8663FECB-9945-46F6-B1FC-CF5C48F02E38}">
            <xm:f>(60 * HOUR(I17) + MINUTE(I17)) &gt;(60 * HOUR(INDEX('1. Locais'!G2:G16,C17 + 1)) +MINUTE(INDEX('1. Locais'!G2:G16,C17 + 1)))</xm:f>
            <x14:dxf>
              <fill>
                <patternFill>
                  <bgColor indexed="10"/>
                </patternFill>
              </fill>
            </x14:dxf>
          </x14:cfRule>
          <xm:sqref>I17</xm:sqref>
        </x14:conditionalFormatting>
        <x14:conditionalFormatting xmlns:xm="http://schemas.microsoft.com/office/excel/2006/main">
          <x14:cfRule type="cellIs" priority="43" stopIfTrue="1" operator="lessThan" id="{FF9DACD1-3F4E-4146-914C-5481ED26F377}">
            <xm:f>INDEX('1. Locais'!F2:F16,C18 + 1)</xm:f>
            <x14:dxf>
              <fill>
                <patternFill>
                  <bgColor indexed="52"/>
                </patternFill>
              </fill>
            </x14:dxf>
          </x14:cfRule>
          <xm:sqref>H18</xm:sqref>
        </x14:conditionalFormatting>
        <x14:conditionalFormatting xmlns:xm="http://schemas.microsoft.com/office/excel/2006/main">
          <x14:cfRule type="expression" priority="44" stopIfTrue="1" id="{9B968006-753D-4568-95AC-552E9A69AA1B}">
            <xm:f>(60 * HOUR(H18) + MINUTE(H18)) &gt;(60 * HOUR(INDEX('1. Locais'!G2:G16,C18 + 1)) +MINUTE(INDEX('1. Locais'!G2:G16,C18 + 1)))</xm:f>
            <x14:dxf>
              <fill>
                <patternFill>
                  <bgColor indexed="10"/>
                </patternFill>
              </fill>
            </x14:dxf>
          </x14:cfRule>
          <xm:sqref>H18</xm:sqref>
        </x14:conditionalFormatting>
        <x14:conditionalFormatting xmlns:xm="http://schemas.microsoft.com/office/excel/2006/main">
          <x14:cfRule type="expression" priority="45" stopIfTrue="1" id="{00A34D01-3F5F-4D23-A2C0-3A7A51BCC169}">
            <xm:f>(60 * HOUR(I18) + MINUTE(I18)) &gt;(60 * HOUR(INDEX('1. Locais'!G2:G16,C18 + 1)) +MINUTE(INDEX('1. Locais'!G2:G16,C18 + 1)))</xm:f>
            <x14:dxf>
              <fill>
                <patternFill>
                  <bgColor indexed="10"/>
                </patternFill>
              </fill>
            </x14:dxf>
          </x14:cfRule>
          <xm:sqref>I18</xm:sqref>
        </x14:conditionalFormatting>
        <x14:conditionalFormatting xmlns:xm="http://schemas.microsoft.com/office/excel/2006/main">
          <x14:cfRule type="cellIs" priority="46" stopIfTrue="1" operator="lessThan" id="{FF724C75-B926-4083-BC47-79D8BB4DC1C5}">
            <xm:f>INDEX('1. Locais'!F2:F16,C19 + 1)</xm:f>
            <x14:dxf>
              <fill>
                <patternFill>
                  <bgColor indexed="52"/>
                </patternFill>
              </fill>
            </x14:dxf>
          </x14:cfRule>
          <xm:sqref>H19</xm:sqref>
        </x14:conditionalFormatting>
        <x14:conditionalFormatting xmlns:xm="http://schemas.microsoft.com/office/excel/2006/main">
          <x14:cfRule type="expression" priority="47" stopIfTrue="1" id="{2676C143-1535-47E6-B53A-516A9D1AFB6C}">
            <xm:f>(60 * HOUR(H19) + MINUTE(H19)) &gt;(60 * HOUR(INDEX('1. Locais'!G2:G16,C19 + 1)) +MINUTE(INDEX('1. Locais'!G2:G16,C19 + 1)))</xm:f>
            <x14:dxf>
              <fill>
                <patternFill>
                  <bgColor indexed="10"/>
                </patternFill>
              </fill>
            </x14:dxf>
          </x14:cfRule>
          <xm:sqref>H19</xm:sqref>
        </x14:conditionalFormatting>
        <x14:conditionalFormatting xmlns:xm="http://schemas.microsoft.com/office/excel/2006/main">
          <x14:cfRule type="expression" priority="48" stopIfTrue="1" id="{473C45A4-3FED-4457-8297-C15710B75A03}">
            <xm:f>(60 * HOUR(I19) + MINUTE(I19)) &gt;(60 * HOUR(INDEX('1. Locais'!G2:G16,C19 + 1)) +MINUTE(INDEX('1. Locais'!G2:G16,C19 + 1)))</xm:f>
            <x14:dxf>
              <fill>
                <patternFill>
                  <bgColor indexed="10"/>
                </patternFill>
              </fill>
            </x14:dxf>
          </x14:cfRule>
          <xm:sqref>I19</xm:sqref>
        </x14:conditionalFormatting>
        <x14:conditionalFormatting xmlns:xm="http://schemas.microsoft.com/office/excel/2006/main">
          <x14:cfRule type="cellIs" priority="49" stopIfTrue="1" operator="lessThan" id="{B114362D-AD4A-47B2-A4A0-2028C979B4FD}">
            <xm:f>INDEX('1. Locais'!F2:F16,C20 + 1)</xm:f>
            <x14:dxf>
              <fill>
                <patternFill>
                  <bgColor indexed="52"/>
                </patternFill>
              </fill>
            </x14:dxf>
          </x14:cfRule>
          <xm:sqref>H20</xm:sqref>
        </x14:conditionalFormatting>
        <x14:conditionalFormatting xmlns:xm="http://schemas.microsoft.com/office/excel/2006/main">
          <x14:cfRule type="expression" priority="50" stopIfTrue="1" id="{7E0063D9-464F-4679-ADBA-63113FDE4C14}">
            <xm:f>(60 * HOUR(H20) + MINUTE(H20)) &gt;(60 * HOUR(INDEX('1. Locais'!G2:G16,C20 + 1)) +MINUTE(INDEX('1. Locais'!G2:G16,C20 + 1)))</xm:f>
            <x14:dxf>
              <fill>
                <patternFill>
                  <bgColor indexed="10"/>
                </patternFill>
              </fill>
            </x14:dxf>
          </x14:cfRule>
          <xm:sqref>H20</xm:sqref>
        </x14:conditionalFormatting>
        <x14:conditionalFormatting xmlns:xm="http://schemas.microsoft.com/office/excel/2006/main">
          <x14:cfRule type="expression" priority="51" stopIfTrue="1" id="{810B5A45-7D05-4A2D-B743-FC41C3F8A5EE}">
            <xm:f>(60 * HOUR(I20) + MINUTE(I20)) &gt;(60 * HOUR(INDEX('1. Locais'!G2:G16,C20 + 1)) +MINUTE(INDEX('1. Locais'!G2:G16,C20 + 1)))</xm:f>
            <x14:dxf>
              <fill>
                <patternFill>
                  <bgColor indexed="10"/>
                </patternFill>
              </fill>
            </x14:dxf>
          </x14:cfRule>
          <xm:sqref>I20</xm:sqref>
        </x14:conditionalFormatting>
        <x14:conditionalFormatting xmlns:xm="http://schemas.microsoft.com/office/excel/2006/main">
          <x14:cfRule type="cellIs" priority="52" stopIfTrue="1" operator="greaterThan" id="{30E106C2-AD5F-435B-BDA4-AFC4C9BC5DAA}">
            <xm:f>'3. Veículos'!$G$2</xm:f>
            <x14:dxf>
              <fill>
                <patternFill>
                  <bgColor indexed="10"/>
                </patternFill>
              </fill>
            </x14:dxf>
          </x14:cfRule>
          <xm:sqref>F6:F20</xm:sqref>
        </x14:conditionalFormatting>
        <x14:conditionalFormatting xmlns:xm="http://schemas.microsoft.com/office/excel/2006/main">
          <x14:cfRule type="cellIs" priority="53" stopIfTrue="1" operator="greaterThan" id="{CC651FA0-8378-4283-8561-3213C862B487}">
            <xm:f>'3. Veículos'!$C$2</xm:f>
            <x14:dxf>
              <fill>
                <patternFill>
                  <bgColor indexed="10"/>
                </patternFill>
              </fill>
            </x14:dxf>
          </x14:cfRule>
          <xm:sqref>P6:P20</xm:sqref>
        </x14:conditionalFormatting>
        <x14:conditionalFormatting xmlns:xm="http://schemas.microsoft.com/office/excel/2006/main">
          <x14:cfRule type="cellIs" priority="55" stopIfTrue="1" operator="greaterThan" id="{4CB23455-B5D3-49C2-AEE4-4DF763799941}">
            <xm:f>'3. Veículos'!$I$2</xm:f>
            <x14:dxf>
              <fill>
                <patternFill>
                  <bgColor indexed="10"/>
                </patternFill>
              </fill>
            </x14:dxf>
          </x14:cfRule>
          <xm:sqref>G6:G20</xm:sqref>
        </x14:conditionalFormatting>
        <x14:conditionalFormatting xmlns:xm="http://schemas.microsoft.com/office/excel/2006/main">
          <x14:cfRule type="cellIs" priority="56" stopIfTrue="1" operator="greaterThan" id="{DA3A3FDC-04BD-41C9-B99F-0AE8B0FFF816}">
            <xm:f>'3. Veículos'!$J$2</xm:f>
            <x14:dxf>
              <fill>
                <patternFill>
                  <bgColor indexed="10"/>
                </patternFill>
              </fill>
            </x14:dxf>
          </x14:cfRule>
          <xm:sqref>J6:J20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EE299A4B-4F9E-4F9D-928D-A7ABD13128DC}">
          <x14:formula1>
            <xm:f>'1. Locais'!$B$2:$B$17</xm:f>
          </x14:formula1>
          <xm:sqref>B6:B20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688DD-8A44-4466-B05C-2D1F7DD41A99}">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2021-04-03T19:34:11Z</dcterms:modified>
</cp:coreProperties>
</file>