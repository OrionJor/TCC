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7_8\"/>
    </mc:Choice>
  </mc:AlternateContent>
  <xr:revisionPtr revIDLastSave="0" documentId="8_{EF4D5198-3B4F-41F5-9B0A-5D509DF01A69}" xr6:coauthVersionLast="46" xr6:coauthVersionMax="46" xr10:uidLastSave="{00000000-0000-0000-0000-000000000000}"/>
  <bookViews>
    <workbookView xWindow="-120" yWindow="-120" windowWidth="19440" windowHeight="11640" tabRatio="705" activeTab="6" xr2:uid="{00000000-000D-0000-FFFF-FFFF00000000}"/>
  </bookViews>
  <sheets>
    <sheet name="VRP Solver Console" sheetId="231" r:id="rId1"/>
    <sheet name="MultiLanguageMenuItems" sheetId="232" state="hidden" r:id="rId2"/>
    <sheet name="MultiLanguageInterface" sheetId="233" state="hidden" r:id="rId3"/>
    <sheet name="1. Locais" sheetId="240" r:id="rId4"/>
    <sheet name="2. Distâncias" sheetId="241" r:id="rId5"/>
    <sheet name="3. Veículos" sheetId="242" r:id="rId6"/>
    <sheet name="4. Solução" sheetId="243" r:id="rId7"/>
    <sheet name="5.Visualização" sheetId="244" r:id="rId8"/>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3" l="1"/>
  <c r="I5" i="243"/>
  <c r="B5" i="243"/>
  <c r="L2" i="242"/>
  <c r="D18" i="241"/>
  <c r="D35" i="241"/>
  <c r="D52" i="241"/>
  <c r="D69" i="241"/>
  <c r="D86" i="241"/>
  <c r="D103" i="241"/>
  <c r="D120" i="241"/>
  <c r="D137" i="241"/>
  <c r="D154" i="241"/>
  <c r="D171" i="241"/>
  <c r="D188" i="241"/>
  <c r="D205" i="241"/>
  <c r="D222" i="241"/>
  <c r="D239" i="241"/>
  <c r="D256" i="241"/>
  <c r="D17" i="241"/>
  <c r="D242" i="241"/>
  <c r="D241" i="241"/>
  <c r="D224" i="241"/>
  <c r="D255" i="241"/>
  <c r="D225" i="241"/>
  <c r="D207" i="241"/>
  <c r="D254" i="241"/>
  <c r="D209" i="241"/>
  <c r="D238" i="241"/>
  <c r="D208" i="241"/>
  <c r="D190" i="241"/>
  <c r="D253" i="241"/>
  <c r="D193" i="241"/>
  <c r="D237" i="241"/>
  <c r="D192" i="241"/>
  <c r="D221" i="241"/>
  <c r="D191" i="241"/>
  <c r="D173" i="241"/>
  <c r="D252" i="241"/>
  <c r="D177" i="241"/>
  <c r="D236" i="241"/>
  <c r="D176" i="241"/>
  <c r="D220" i="241"/>
  <c r="D175" i="241"/>
  <c r="D204" i="241"/>
  <c r="D174" i="241"/>
  <c r="D156" i="241"/>
  <c r="D251" i="241"/>
  <c r="D161" i="241"/>
  <c r="D235" i="241"/>
  <c r="D160" i="241"/>
  <c r="D219" i="241"/>
  <c r="D159" i="241"/>
  <c r="D203" i="241"/>
  <c r="D158" i="241"/>
  <c r="D187" i="241"/>
  <c r="D157" i="241"/>
  <c r="D139" i="241"/>
  <c r="D250" i="241"/>
  <c r="D145" i="241"/>
  <c r="D234" i="241"/>
  <c r="D144" i="241"/>
  <c r="D218" i="241"/>
  <c r="D143" i="241"/>
  <c r="D202" i="241"/>
  <c r="D142" i="241"/>
  <c r="D186" i="241"/>
  <c r="D141" i="241"/>
  <c r="D170" i="241"/>
  <c r="D140" i="241"/>
  <c r="D122" i="241"/>
  <c r="D249" i="241"/>
  <c r="D129" i="241"/>
  <c r="D233" i="241"/>
  <c r="D128" i="241"/>
  <c r="D217" i="241"/>
  <c r="D127" i="241"/>
  <c r="D201" i="241"/>
  <c r="D126" i="241"/>
  <c r="D185" i="241"/>
  <c r="D125" i="241"/>
  <c r="D169" i="241"/>
  <c r="D124" i="241"/>
  <c r="D153" i="241"/>
  <c r="D123" i="241"/>
  <c r="D105" i="241"/>
  <c r="D248" i="241"/>
  <c r="D113" i="241"/>
  <c r="D232" i="241"/>
  <c r="D112" i="241"/>
  <c r="D216" i="241"/>
  <c r="D111" i="241"/>
  <c r="D200" i="241"/>
  <c r="D110" i="241"/>
  <c r="D184" i="241"/>
  <c r="D109" i="241"/>
  <c r="D168" i="241"/>
  <c r="D108" i="241"/>
  <c r="D152" i="241"/>
  <c r="D107" i="241"/>
  <c r="D136" i="241"/>
  <c r="D106" i="241"/>
  <c r="D88" i="241"/>
  <c r="D247" i="241"/>
  <c r="D97" i="241"/>
  <c r="D231" i="241"/>
  <c r="D96" i="241"/>
  <c r="D215" i="241"/>
  <c r="D95" i="241"/>
  <c r="D199" i="241"/>
  <c r="D94" i="241"/>
  <c r="D183" i="241"/>
  <c r="D93" i="241"/>
  <c r="D167" i="241"/>
  <c r="D92" i="241"/>
  <c r="D151" i="241"/>
  <c r="D91" i="241"/>
  <c r="D135" i="241"/>
  <c r="D90" i="241"/>
  <c r="D119" i="241"/>
  <c r="D89" i="241"/>
  <c r="D71" i="241"/>
  <c r="D246" i="241"/>
  <c r="D81" i="241"/>
  <c r="D230" i="241"/>
  <c r="D80" i="241"/>
  <c r="D214" i="241"/>
  <c r="D79" i="241"/>
  <c r="D198" i="241"/>
  <c r="D78" i="241"/>
  <c r="D182" i="241"/>
  <c r="D77" i="241"/>
  <c r="D166" i="241"/>
  <c r="D76" i="241"/>
  <c r="D150" i="241"/>
  <c r="D75" i="241"/>
  <c r="D134" i="241"/>
  <c r="D74" i="241"/>
  <c r="D118" i="241"/>
  <c r="D73" i="241"/>
  <c r="D102" i="241"/>
  <c r="D72" i="241"/>
  <c r="D54" i="241"/>
  <c r="D245" i="241"/>
  <c r="D65" i="241"/>
  <c r="D229" i="241"/>
  <c r="D64" i="241"/>
  <c r="D213" i="241"/>
  <c r="D63" i="241"/>
  <c r="D197" i="241"/>
  <c r="D62" i="241"/>
  <c r="D181" i="241"/>
  <c r="D61" i="241"/>
  <c r="D165" i="241"/>
  <c r="D60" i="241"/>
  <c r="D149" i="241"/>
  <c r="D59" i="241"/>
  <c r="D133" i="241"/>
  <c r="D58" i="241"/>
  <c r="D117" i="241"/>
  <c r="D57" i="241"/>
  <c r="D101" i="241"/>
  <c r="D56" i="241"/>
  <c r="D85" i="241"/>
  <c r="D55" i="241"/>
  <c r="D37" i="241"/>
  <c r="D244" i="241"/>
  <c r="D49" i="241"/>
  <c r="D228" i="241"/>
  <c r="D48" i="241"/>
  <c r="D212" i="241"/>
  <c r="D47" i="241"/>
  <c r="D196" i="241"/>
  <c r="D46" i="241"/>
  <c r="D180" i="241"/>
  <c r="D45" i="241"/>
  <c r="D164" i="241"/>
  <c r="D44" i="241"/>
  <c r="D148" i="241"/>
  <c r="D43" i="241"/>
  <c r="D132" i="241"/>
  <c r="D42" i="241"/>
  <c r="D116" i="241"/>
  <c r="D41" i="241"/>
  <c r="D100" i="241"/>
  <c r="D40" i="241"/>
  <c r="D84" i="241"/>
  <c r="D39" i="241"/>
  <c r="D68" i="241"/>
  <c r="D38" i="241"/>
  <c r="D20" i="241"/>
  <c r="D243" i="241"/>
  <c r="D33" i="241"/>
  <c r="D227" i="241"/>
  <c r="D32" i="241"/>
  <c r="D211" i="241"/>
  <c r="D31" i="241"/>
  <c r="D195" i="241"/>
  <c r="D30" i="241"/>
  <c r="D179" i="241"/>
  <c r="D29" i="241"/>
  <c r="D163" i="241"/>
  <c r="D28" i="241"/>
  <c r="D147" i="241"/>
  <c r="D27" i="241"/>
  <c r="D131" i="241"/>
  <c r="D26" i="241"/>
  <c r="D115" i="241"/>
  <c r="D25" i="241"/>
  <c r="D99" i="241"/>
  <c r="D24" i="241"/>
  <c r="D83" i="241"/>
  <c r="D23" i="241"/>
  <c r="D67" i="241"/>
  <c r="D22" i="241"/>
  <c r="D51" i="241"/>
  <c r="D21" i="241"/>
  <c r="D3" i="241"/>
  <c r="D226" i="241"/>
  <c r="D16" i="241"/>
  <c r="D210" i="241"/>
  <c r="D15" i="241"/>
  <c r="D194" i="241"/>
  <c r="D14" i="241"/>
  <c r="D178" i="241"/>
  <c r="D13" i="241"/>
  <c r="D162" i="241"/>
  <c r="D12" i="241"/>
  <c r="D146" i="241"/>
  <c r="D11" i="241"/>
  <c r="D130" i="241"/>
  <c r="D10" i="241"/>
  <c r="D114" i="241"/>
  <c r="D9" i="241"/>
  <c r="D98" i="241"/>
  <c r="D8" i="241"/>
  <c r="D82" i="241"/>
  <c r="D7" i="241"/>
  <c r="D66" i="241"/>
  <c r="D6" i="241"/>
  <c r="D50" i="241"/>
  <c r="D5" i="241"/>
  <c r="D34" i="241"/>
  <c r="D4" i="241"/>
  <c r="D24" i="231"/>
  <c r="C21" i="243"/>
  <c r="C20" i="243"/>
  <c r="C19" i="243"/>
  <c r="C18" i="243"/>
  <c r="C17" i="243"/>
  <c r="C16" i="243"/>
  <c r="C15" i="243"/>
  <c r="C14" i="243"/>
  <c r="C13" i="243"/>
  <c r="C12" i="243"/>
  <c r="C11" i="243"/>
  <c r="C10" i="243"/>
  <c r="C5" i="243"/>
  <c r="C9" i="243"/>
  <c r="C8" i="243"/>
  <c r="C7" i="243"/>
  <c r="C6" i="243"/>
  <c r="L6" i="243" l="1"/>
  <c r="N6" i="243" s="1"/>
  <c r="H6" i="243"/>
  <c r="I6" i="243" s="1"/>
  <c r="J6" i="243" s="1"/>
  <c r="F6" i="243"/>
  <c r="D6" i="243"/>
  <c r="M6" i="243"/>
  <c r="K6" i="243"/>
  <c r="K7" i="243" s="1"/>
  <c r="K8" i="243" s="1"/>
  <c r="K9" i="243" s="1"/>
  <c r="K10" i="243" s="1"/>
  <c r="K11" i="243" s="1"/>
  <c r="K12" i="243" s="1"/>
  <c r="K13" i="243" s="1"/>
  <c r="K14" i="243" s="1"/>
  <c r="K15" i="243" s="1"/>
  <c r="K16" i="243" s="1"/>
  <c r="K17" i="243" s="1"/>
  <c r="K18" i="243" s="1"/>
  <c r="K19" i="243" s="1"/>
  <c r="K20" i="243" s="1"/>
  <c r="K21" i="243" s="1"/>
  <c r="G6" i="243"/>
  <c r="G7" i="243" s="1"/>
  <c r="G8" i="243" s="1"/>
  <c r="G9" i="243" s="1"/>
  <c r="G10" i="243" s="1"/>
  <c r="G11" i="243" s="1"/>
  <c r="G12" i="243" s="1"/>
  <c r="G13" i="243" s="1"/>
  <c r="G14" i="243" s="1"/>
  <c r="G15" i="243" s="1"/>
  <c r="G16" i="243" s="1"/>
  <c r="G17" i="243" s="1"/>
  <c r="G18" i="243" s="1"/>
  <c r="G19" i="243" s="1"/>
  <c r="G20" i="243" s="1"/>
  <c r="G21" i="243" s="1"/>
  <c r="E6" i="243"/>
  <c r="L7" i="243"/>
  <c r="F7" i="243"/>
  <c r="F8" i="243" s="1"/>
  <c r="F9" i="243" s="1"/>
  <c r="F10" i="243" s="1"/>
  <c r="F11" i="243" s="1"/>
  <c r="F12" i="243" s="1"/>
  <c r="F13" i="243" s="1"/>
  <c r="F14" i="243" s="1"/>
  <c r="F15" i="243" s="1"/>
  <c r="F16" i="243" s="1"/>
  <c r="F17" i="243" s="1"/>
  <c r="F18" i="243" s="1"/>
  <c r="F19" i="243" s="1"/>
  <c r="F20" i="243" s="1"/>
  <c r="F21" i="243" s="1"/>
  <c r="D7" i="243"/>
  <c r="M7" i="243"/>
  <c r="E7" i="243"/>
  <c r="L8" i="243"/>
  <c r="D8" i="243"/>
  <c r="M8" i="243"/>
  <c r="E8" i="243"/>
  <c r="M9" i="243"/>
  <c r="L9" i="243"/>
  <c r="D9" i="243"/>
  <c r="E9" i="243"/>
  <c r="E5" i="243"/>
  <c r="D5" i="243"/>
  <c r="M10" i="243"/>
  <c r="E10" i="243"/>
  <c r="L10" i="243"/>
  <c r="D10" i="243"/>
  <c r="M11" i="243"/>
  <c r="E11" i="243"/>
  <c r="L11" i="243"/>
  <c r="D11" i="243"/>
  <c r="M12" i="243"/>
  <c r="E12" i="243"/>
  <c r="L12" i="243"/>
  <c r="D12" i="243"/>
  <c r="M13" i="243"/>
  <c r="E13" i="243"/>
  <c r="L13" i="243"/>
  <c r="D13" i="243"/>
  <c r="M14" i="243"/>
  <c r="E14" i="243"/>
  <c r="L14" i="243"/>
  <c r="D14" i="243"/>
  <c r="M15" i="243"/>
  <c r="E15" i="243"/>
  <c r="L15" i="243"/>
  <c r="D15" i="243"/>
  <c r="M16" i="243"/>
  <c r="E16" i="243"/>
  <c r="L16" i="243"/>
  <c r="D16" i="243"/>
  <c r="M17" i="243"/>
  <c r="E17" i="243"/>
  <c r="L17" i="243"/>
  <c r="D17" i="243"/>
  <c r="M18" i="243"/>
  <c r="E18" i="243"/>
  <c r="L18" i="243"/>
  <c r="D18" i="243"/>
  <c r="M19" i="243"/>
  <c r="E19" i="243"/>
  <c r="L19" i="243"/>
  <c r="D19" i="243"/>
  <c r="O20" i="243"/>
  <c r="M20" i="243"/>
  <c r="E20" i="243"/>
  <c r="L20" i="243"/>
  <c r="D20" i="243"/>
  <c r="O21" i="243"/>
  <c r="M21" i="243"/>
  <c r="E21" i="243"/>
  <c r="L21" i="243"/>
  <c r="D21" i="243"/>
  <c r="N21" i="243"/>
  <c r="I3" i="243"/>
  <c r="N7" i="243" l="1"/>
  <c r="P21" i="243"/>
  <c r="O19" i="243"/>
  <c r="O18" i="243" s="1"/>
  <c r="O17" i="243" s="1"/>
  <c r="O16" i="243" s="1"/>
  <c r="O15" i="243" s="1"/>
  <c r="O14" i="243" s="1"/>
  <c r="O13" i="243" s="1"/>
  <c r="O12" i="243" s="1"/>
  <c r="O11" i="243" s="1"/>
  <c r="O10" i="243" s="1"/>
  <c r="O9" i="243" s="1"/>
  <c r="O8" i="243" s="1"/>
  <c r="O7" i="243" s="1"/>
  <c r="O6" i="243" s="1"/>
  <c r="O5" i="243" s="1"/>
  <c r="P5" i="243" s="1"/>
  <c r="B1" i="243"/>
  <c r="N8" i="243"/>
  <c r="H7" i="243"/>
  <c r="I7" i="243" s="1"/>
  <c r="P6" i="243" l="1"/>
  <c r="P7" i="243"/>
  <c r="P8" i="243"/>
  <c r="N9" i="243"/>
  <c r="J7" i="243"/>
  <c r="H8" i="243"/>
  <c r="I8" i="243" s="1"/>
  <c r="J8" i="243" l="1"/>
  <c r="H9" i="243"/>
  <c r="I9" i="243" s="1"/>
  <c r="P9" i="243"/>
  <c r="N10" i="243"/>
  <c r="J9" i="243" l="1"/>
  <c r="H10" i="243"/>
  <c r="I10" i="243" s="1"/>
  <c r="P10" i="243"/>
  <c r="N11" i="243"/>
  <c r="J10" i="243" l="1"/>
  <c r="H11" i="243"/>
  <c r="I11" i="243" s="1"/>
  <c r="P11" i="243"/>
  <c r="N12" i="243"/>
  <c r="J11" i="243" l="1"/>
  <c r="H12" i="243"/>
  <c r="I12" i="243" s="1"/>
  <c r="P12" i="243"/>
  <c r="N13" i="243"/>
  <c r="J12" i="243" l="1"/>
  <c r="H13" i="243"/>
  <c r="I13" i="243" s="1"/>
  <c r="P13" i="243"/>
  <c r="N14" i="243"/>
  <c r="J13" i="243" l="1"/>
  <c r="H14" i="243"/>
  <c r="I14" i="243" s="1"/>
  <c r="P14" i="243"/>
  <c r="N15" i="243"/>
  <c r="J14" i="243" l="1"/>
  <c r="H15" i="243"/>
  <c r="I15" i="243" s="1"/>
  <c r="P15" i="243"/>
  <c r="N16" i="243"/>
  <c r="J15" i="243" l="1"/>
  <c r="H16" i="243"/>
  <c r="I16" i="243" s="1"/>
  <c r="P16" i="243"/>
  <c r="N17" i="243"/>
  <c r="J16" i="243" l="1"/>
  <c r="H17" i="243"/>
  <c r="I17" i="243" s="1"/>
  <c r="P17" i="243"/>
  <c r="N18" i="243"/>
  <c r="J17" i="243" l="1"/>
  <c r="H18" i="243"/>
  <c r="I18" i="243" s="1"/>
  <c r="P18" i="243"/>
  <c r="N19" i="243"/>
  <c r="J18" i="243" l="1"/>
  <c r="H19" i="243"/>
  <c r="I19" i="243" s="1"/>
  <c r="P19" i="243"/>
  <c r="N20" i="243"/>
  <c r="P20" i="243" s="1"/>
  <c r="J19" i="243" l="1"/>
  <c r="H20" i="243"/>
  <c r="I20" i="243" s="1"/>
  <c r="J20" i="243" l="1"/>
  <c r="H21" i="243"/>
  <c r="I21" i="243" s="1"/>
  <c r="J21" i="243" s="1"/>
</calcChain>
</file>

<file path=xl/sharedStrings.xml><?xml version="1.0" encoding="utf-8"?>
<sst xmlns="http://schemas.openxmlformats.org/spreadsheetml/2006/main" count="4903" uniqueCount="4022">
  <si>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</si>
  <si>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</si>
  <si>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</si>
  <si>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</si>
  <si>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</si>
  <si>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</si>
  <si>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</si>
  <si>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</si>
  <si>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</si>
  <si>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</si>
  <si>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</si>
  <si>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</si>
  <si>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</si>
  <si>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</si>
  <si>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</si>
  <si>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</si>
  <si>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</si>
  <si>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</si>
  <si>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</si>
  <si>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</si>
  <si>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</si>
  <si>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</si>
  <si>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</si>
  <si>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</si>
  <si>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</si>
  <si>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</si>
  <si>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</si>
  <si>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</si>
  <si>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</si>
  <si>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</si>
  <si>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</si>
  <si>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</si>
  <si>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</si>
  <si>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</si>
  <si>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</si>
  <si>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</si>
  <si>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</si>
  <si>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</si>
  <si>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</si>
  <si>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</si>
  <si>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</si>
  <si>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</si>
  <si>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</si>
  <si>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</si>
  <si>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</si>
  <si>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</si>
  <si>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</si>
  <si>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</si>
  <si>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</si>
  <si>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</si>
  <si>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</si>
  <si>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</si>
  <si>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</si>
  <si>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</si>
  <si>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</si>
  <si>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</si>
  <si>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</si>
  <si>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</si>
  <si>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</si>
  <si>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</si>
  <si>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</si>
  <si>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</si>
  <si>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</si>
  <si>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</si>
  <si>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</si>
  <si>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</si>
  <si>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</si>
  <si>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</si>
  <si>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</si>
  <si>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</si>
  <si>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</si>
  <si>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</si>
  <si>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</si>
  <si>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</si>
  <si>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</si>
  <si>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</si>
  <si>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</si>
  <si>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</si>
  <si>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</si>
  <si>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</si>
  <si>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</si>
  <si>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</si>
  <si>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</si>
  <si>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</si>
  <si>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</si>
  <si>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</si>
  <si>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</si>
  <si>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</si>
  <si>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</si>
  <si>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</si>
  <si>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</si>
  <si>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</si>
  <si>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</si>
  <si>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</si>
  <si>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</si>
  <si>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</si>
  <si>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</si>
  <si>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</si>
  <si>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</si>
  <si>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</si>
  <si>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</si>
  <si>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</si>
  <si>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</si>
  <si>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</si>
  <si>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</si>
  <si>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</si>
  <si>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</si>
  <si>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</si>
  <si>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</si>
  <si>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</si>
  <si>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</si>
  <si>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</si>
  <si>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</si>
  <si>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</si>
  <si>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</si>
  <si>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</si>
  <si>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</si>
  <si>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</si>
  <si>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</si>
  <si>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</si>
  <si>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</si>
  <si>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</si>
  <si>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</si>
  <si>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</si>
  <si>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</si>
  <si>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</si>
  <si>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</si>
  <si>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</si>
  <si>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</si>
  <si>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</si>
  <si>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</si>
  <si>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</si>
  <si>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</si>
  <si>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</si>
  <si>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</si>
  <si>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</si>
  <si>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</si>
  <si>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</si>
  <si>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</si>
  <si>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</si>
  <si>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</si>
  <si>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</si>
  <si>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</si>
  <si>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</si>
  <si>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</si>
  <si>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</si>
  <si>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</si>
  <si>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</si>
  <si>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</si>
  <si>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</si>
  <si>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</si>
  <si>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</si>
  <si>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</si>
  <si>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</si>
  <si>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</si>
  <si>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</si>
  <si>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</si>
  <si>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</si>
  <si>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</si>
  <si>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</si>
  <si>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</si>
  <si>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</si>
  <si>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</si>
  <si>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</si>
  <si>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</si>
  <si>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</si>
  <si>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</si>
  <si>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</si>
  <si>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</si>
  <si>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</si>
  <si>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</si>
  <si>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</si>
  <si>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</si>
  <si>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</si>
  <si>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</si>
  <si>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</si>
  <si>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</si>
  <si>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</si>
  <si>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</si>
  <si>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</si>
  <si>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</si>
  <si>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</si>
  <si>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</si>
  <si>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</si>
  <si>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</si>
  <si>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</si>
  <si>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</si>
  <si>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</si>
  <si>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</si>
  <si>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</si>
  <si>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</si>
  <si>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</si>
  <si>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</si>
  <si>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</si>
  <si>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</si>
  <si>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</si>
  <si>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</si>
  <si>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</si>
  <si>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</si>
  <si>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</si>
  <si>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</si>
  <si>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</si>
  <si>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</si>
  <si>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</si>
  <si>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</si>
  <si>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</si>
  <si>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</si>
  <si>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</si>
  <si>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</si>
  <si>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</si>
  <si>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</si>
  <si>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</si>
  <si>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</si>
  <si>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</si>
  <si>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</si>
  <si>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</si>
  <si>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</si>
  <si>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</si>
  <si>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</si>
  <si>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</si>
  <si>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</si>
  <si>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</si>
  <si>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</si>
  <si>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</si>
  <si>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</si>
  <si>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</si>
  <si>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</si>
  <si>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</si>
  <si>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</si>
  <si>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</si>
  <si>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</si>
  <si>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</si>
  <si>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</si>
  <si>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</si>
  <si>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</si>
  <si>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</si>
  <si>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</si>
  <si>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</si>
  <si>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</si>
  <si>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</si>
  <si>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</si>
  <si>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</si>
  <si>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</si>
  <si>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</si>
  <si>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</si>
  <si>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</si>
  <si>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</si>
  <si>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</si>
  <si>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</si>
  <si>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</si>
  <si>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</si>
  <si>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</si>
  <si>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</si>
  <si>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</si>
  <si>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</si>
  <si>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</si>
  <si>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</si>
  <si>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</si>
  <si>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</si>
  <si>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</si>
  <si>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</si>
  <si>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</si>
  <si>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</si>
  <si>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</si>
  <si>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</si>
  <si>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</si>
  <si>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</si>
  <si>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</si>
  <si>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</si>
  <si>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</si>
  <si>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</si>
  <si>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</si>
  <si>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</si>
  <si>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</si>
  <si>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</si>
  <si>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</si>
  <si>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</si>
  <si>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</si>
  <si>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</si>
  <si>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</si>
  <si>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</si>
  <si>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</si>
  <si>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</si>
  <si>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</si>
  <si>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</si>
  <si>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</si>
  <si>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</si>
  <si>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</si>
  <si>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</si>
  <si>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</si>
  <si>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</si>
  <si>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</si>
  <si>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</si>
  <si>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</si>
  <si>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</si>
  <si>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</si>
  <si>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</si>
  <si>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</si>
  <si>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</si>
  <si>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</si>
  <si>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</si>
  <si>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</si>
  <si>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</si>
  <si>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</si>
  <si>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</si>
  <si>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</si>
  <si>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</si>
  <si>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</si>
  <si>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</si>
  <si>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</si>
  <si>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</si>
  <si>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</si>
  <si>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</si>
  <si>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</si>
  <si>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</si>
  <si>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</si>
  <si>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</si>
  <si>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</si>
  <si>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</si>
  <si>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</si>
  <si>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</si>
  <si>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</si>
  <si>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</si>
  <si>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</si>
  <si>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</si>
  <si>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</si>
  <si>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</si>
  <si>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</si>
  <si>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</si>
  <si>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</si>
  <si>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</si>
  <si>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</si>
  <si>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</si>
  <si>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</si>
  <si>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</si>
  <si>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</si>
  <si>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</si>
  <si>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</si>
  <si>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</si>
  <si>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</si>
  <si>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</si>
  <si>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</si>
  <si>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</si>
  <si>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</si>
  <si>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</si>
  <si>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</si>
  <si>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</si>
  <si>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</si>
  <si>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</si>
  <si>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</si>
  <si>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</si>
  <si>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</si>
  <si>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</si>
  <si>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</si>
  <si>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</si>
  <si>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</si>
  <si>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</si>
  <si>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</si>
  <si>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</si>
  <si>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</si>
  <si>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</si>
  <si>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</si>
  <si>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</si>
  <si>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</si>
  <si>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</si>
  <si>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</si>
  <si>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</si>
  <si>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</si>
  <si>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</si>
  <si>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</si>
  <si>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</si>
  <si>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</si>
  <si>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</si>
  <si>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</si>
  <si>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</si>
  <si>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</si>
  <si>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</si>
  <si>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</si>
  <si>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</si>
  <si>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</si>
  <si>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</si>
  <si>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</si>
  <si>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</si>
  <si>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</si>
  <si>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</si>
  <si>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</si>
  <si>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</si>
  <si>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</si>
  <si>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</si>
  <si>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</si>
  <si>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</si>
  <si>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</si>
  <si>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</si>
  <si>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</si>
  <si>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</si>
  <si>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</si>
  <si>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</si>
  <si>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</si>
  <si>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</si>
  <si>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</si>
  <si>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</si>
  <si>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</si>
  <si>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</si>
  <si>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</si>
  <si>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</si>
  <si>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</si>
  <si>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</si>
  <si>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</si>
  <si>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</si>
  <si>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</si>
  <si>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</si>
  <si>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</si>
  <si>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</si>
  <si>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</si>
  <si>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</si>
  <si>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</si>
  <si>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</si>
  <si>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</si>
  <si>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</si>
  <si>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</si>
  <si>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</si>
  <si>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</si>
  <si>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</si>
  <si>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</si>
  <si>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</si>
  <si>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</si>
  <si>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</si>
  <si>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</si>
  <si>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</si>
  <si>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</si>
  <si>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</si>
  <si>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</si>
  <si>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</si>
  <si>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</si>
  <si>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</si>
  <si>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</si>
  <si>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</si>
  <si>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</si>
  <si>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</si>
  <si>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</si>
  <si>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</si>
  <si>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</si>
  <si>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</si>
  <si>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</si>
  <si>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</si>
  <si>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</si>
  <si>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</si>
  <si>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</si>
  <si>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</si>
  <si>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</si>
  <si>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</si>
  <si>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</si>
  <si>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</si>
  <si>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</si>
  <si>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</si>
  <si>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</si>
  <si>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</si>
  <si>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</si>
  <si>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</si>
  <si>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</si>
  <si>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</si>
  <si>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</si>
  <si>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</si>
  <si>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</si>
  <si>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</si>
  <si>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</si>
  <si>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</si>
  <si>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</si>
  <si>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</si>
  <si>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</si>
  <si>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</si>
  <si>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</si>
  <si>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</si>
  <si>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</si>
  <si>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</si>
  <si>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</si>
  <si>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</si>
  <si>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</si>
  <si>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</si>
  <si>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</si>
  <si>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</si>
  <si>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</si>
  <si>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</si>
  <si>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</si>
  <si>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</si>
  <si>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</si>
  <si>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</si>
  <si>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</si>
  <si>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</si>
  <si>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</si>
  <si>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</si>
  <si>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</si>
  <si>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</si>
  <si>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</si>
  <si>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</si>
  <si>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</si>
  <si>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</si>
  <si>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</si>
  <si>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</si>
  <si>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</si>
  <si>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</si>
  <si>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</si>
  <si>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</si>
  <si>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</si>
  <si>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</si>
  <si>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</si>
  <si>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</si>
  <si>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</si>
  <si>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</si>
  <si>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</si>
  <si>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</si>
  <si>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</si>
  <si>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</si>
  <si>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</si>
  <si>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</si>
  <si>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</si>
  <si>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</si>
  <si>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</si>
  <si>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</si>
  <si>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</si>
  <si>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</si>
  <si>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</si>
  <si>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</si>
  <si>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</si>
  <si>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</si>
  <si>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</si>
  <si>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</si>
  <si>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</si>
  <si>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</si>
  <si>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</si>
  <si>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</si>
  <si>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</si>
  <si>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</si>
  <si>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</si>
  <si>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</si>
  <si>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</si>
  <si>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</si>
  <si>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</si>
  <si>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</si>
  <si>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</si>
  <si>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</si>
  <si>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</si>
  <si>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</si>
  <si>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</si>
  <si>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</si>
  <si>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</si>
  <si>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</si>
  <si>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</si>
  <si>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</si>
  <si>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</si>
  <si>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</si>
  <si>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</si>
  <si>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</si>
  <si>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</si>
  <si>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</si>
  <si>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</si>
  <si>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</si>
  <si>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</si>
  <si>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</si>
  <si>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</si>
  <si>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</si>
  <si>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</si>
  <si>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</si>
  <si>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</si>
  <si>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</si>
  <si>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</si>
  <si>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</si>
  <si>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</si>
  <si>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</si>
  <si>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</si>
  <si>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</si>
  <si>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</si>
  <si>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</si>
  <si>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</si>
  <si>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</si>
  <si>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</si>
  <si>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</si>
  <si>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</si>
  <si>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</si>
  <si>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</si>
  <si>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</si>
  <si>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</si>
  <si>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</si>
  <si>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</si>
  <si>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</si>
  <si>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</si>
  <si>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</si>
  <si>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</si>
  <si>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</si>
  <si>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</si>
  <si>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</si>
  <si>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</si>
  <si>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</si>
  <si>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</si>
  <si>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</si>
  <si>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</si>
  <si>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</si>
  <si>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</si>
  <si>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</si>
  <si>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</si>
  <si>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</si>
  <si>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</si>
  <si>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</si>
  <si>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</si>
  <si>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</si>
  <si>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</si>
  <si>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</si>
  <si>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</si>
  <si>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</si>
  <si>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</si>
  <si>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</si>
  <si>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</si>
  <si>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</si>
  <si>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</si>
  <si>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</si>
  <si>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</si>
  <si>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</si>
  <si>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</si>
  <si>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</si>
  <si>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</si>
  <si>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</si>
  <si>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</si>
  <si>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</si>
  <si>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</si>
  <si>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</si>
  <si>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</si>
  <si>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</si>
  <si>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</si>
  <si>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</si>
  <si>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</si>
  <si>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</si>
  <si>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</si>
  <si>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</si>
  <si>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</si>
  <si>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</si>
  <si>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</si>
  <si>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</si>
  <si>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</si>
  <si>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</si>
  <si>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</si>
  <si>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</si>
  <si>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</si>
  <si>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</si>
  <si>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</si>
  <si>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</si>
  <si>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</si>
  <si>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</si>
  <si>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</si>
  <si>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</si>
  <si>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</si>
  <si>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</si>
  <si>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</si>
  <si>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</si>
  <si>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</si>
  <si>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</si>
  <si>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</si>
  <si>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</si>
  <si>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</si>
  <si>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</si>
  <si>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</si>
  <si>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</si>
  <si>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</si>
  <si>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</si>
  <si>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</si>
  <si>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</si>
  <si>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</si>
  <si>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</si>
  <si>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</si>
  <si>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</si>
  <si>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</si>
  <si>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</si>
  <si>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</si>
  <si>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</si>
  <si>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</si>
  <si>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</si>
  <si>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</si>
  <si>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</si>
  <si>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</si>
  <si>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</si>
  <si>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</si>
  <si>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</si>
  <si>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</si>
  <si>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</si>
  <si>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</si>
  <si>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</si>
  <si>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</si>
  <si>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</si>
  <si>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</si>
  <si>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</si>
  <si>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</si>
  <si>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</si>
  <si>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</si>
  <si>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</si>
  <si>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</si>
  <si>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</si>
  <si>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</si>
  <si>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</si>
  <si>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</si>
  <si>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</si>
  <si>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</si>
  <si>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</si>
  <si>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</si>
  <si>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</si>
  <si>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</si>
  <si>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</si>
  <si>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</si>
  <si>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</si>
  <si>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</si>
  <si>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</si>
  <si>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</si>
  <si>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</si>
  <si>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</si>
  <si>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</si>
  <si>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</si>
  <si>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</si>
  <si>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</si>
  <si>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</si>
  <si>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</si>
  <si>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</si>
  <si>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</si>
  <si>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</si>
  <si>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</si>
  <si>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</si>
  <si>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</si>
  <si>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</si>
  <si>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</si>
  <si>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</si>
  <si>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</si>
  <si>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</si>
  <si>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</si>
  <si>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</si>
  <si>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</si>
  <si>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</si>
  <si>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</si>
  <si>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</si>
  <si>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</si>
  <si>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</si>
  <si>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</si>
  <si>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</si>
  <si>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</si>
  <si>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</si>
  <si>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</si>
  <si>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</si>
  <si>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</si>
  <si>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</si>
  <si>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</si>
  <si>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</si>
  <si>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</si>
  <si>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</si>
  <si>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</si>
  <si>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</si>
  <si>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</si>
  <si>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</si>
  <si>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</si>
  <si>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</si>
  <si>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</si>
  <si>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</si>
  <si>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</si>
  <si>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</si>
  <si>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</si>
  <si>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</si>
  <si>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</si>
  <si>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</si>
  <si>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</si>
  <si>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</si>
  <si>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</si>
  <si>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</si>
  <si>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</si>
  <si>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</si>
  <si>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</si>
  <si>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</si>
  <si>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</si>
  <si>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</si>
  <si>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</si>
  <si>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</si>
  <si>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</si>
  <si>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</si>
  <si>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</si>
  <si>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</si>
  <si>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</si>
  <si>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</si>
  <si>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</si>
  <si>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</si>
  <si>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</si>
  <si>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</si>
  <si>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</si>
  <si>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</si>
  <si>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</si>
  <si>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</si>
  <si>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</si>
  <si>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</si>
  <si>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</si>
  <si>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</si>
  <si>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</si>
  <si>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</si>
  <si>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</si>
  <si>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</si>
  <si>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</si>
  <si>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</si>
  <si>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</si>
  <si>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</si>
  <si>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</si>
  <si>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</si>
  <si>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</si>
  <si>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</si>
  <si>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</si>
  <si>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</si>
  <si>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</si>
  <si>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</si>
  <si>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</si>
  <si>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</si>
  <si>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</si>
  <si>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</si>
  <si>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</si>
  <si>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</si>
  <si>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</si>
  <si>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</si>
  <si>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</si>
  <si>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</si>
  <si>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</si>
  <si>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</si>
  <si>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</si>
  <si>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</si>
  <si>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</si>
  <si>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</si>
  <si>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</si>
  <si>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</si>
  <si>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</si>
  <si>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</si>
  <si>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</si>
  <si>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</si>
  <si>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</si>
  <si>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</si>
  <si>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</si>
  <si>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</si>
  <si>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</si>
  <si>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</si>
  <si>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</si>
  <si>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</si>
  <si>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</si>
  <si>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</si>
  <si>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</si>
  <si>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</si>
  <si>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</si>
  <si>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</si>
  <si>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</si>
  <si>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</si>
  <si>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</si>
  <si>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</si>
  <si>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</si>
  <si>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</si>
  <si>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</si>
  <si>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</si>
  <si>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</si>
  <si>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</si>
  <si>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</si>
  <si>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</si>
  <si>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</si>
  <si>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</si>
  <si>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</si>
  <si>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</si>
  <si>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</si>
  <si>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</si>
  <si>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</si>
  <si>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</si>
  <si>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</si>
  <si>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</si>
  <si>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</si>
  <si>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</si>
  <si>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</si>
  <si>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</si>
  <si>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</si>
  <si>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</si>
  <si>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</si>
  <si>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</si>
  <si>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</si>
  <si>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</si>
  <si>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</si>
  <si>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</si>
  <si>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</si>
  <si>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</si>
  <si>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</si>
  <si>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</si>
  <si>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</si>
  <si>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</si>
  <si>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</si>
  <si>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</si>
  <si>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</si>
  <si>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</si>
  <si>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</si>
  <si>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</si>
  <si>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</si>
  <si>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</si>
  <si>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</si>
  <si>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</si>
  <si>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</si>
  <si>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</si>
  <si>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</si>
  <si>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</si>
  <si>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</si>
  <si>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</si>
  <si>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</si>
  <si>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</si>
  <si>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</si>
  <si>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</si>
  <si>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</si>
  <si>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</si>
  <si>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</si>
  <si>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</si>
  <si>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</si>
  <si>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</si>
  <si>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</si>
  <si>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</si>
  <si>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</si>
  <si>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</si>
  <si>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</si>
  <si>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</si>
  <si>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</si>
  <si>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</si>
  <si>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</si>
  <si>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</si>
  <si>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</si>
  <si>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</si>
  <si>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</si>
  <si>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</si>
  <si>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</si>
  <si>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</si>
  <si>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</si>
  <si>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</si>
  <si>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</si>
  <si>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</si>
  <si>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</si>
  <si>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</si>
  <si>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</si>
  <si>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</si>
  <si>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</si>
  <si>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</si>
  <si>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</si>
  <si>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</si>
  <si>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</si>
  <si>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</si>
  <si>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</si>
  <si>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</si>
  <si>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</si>
  <si>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</si>
  <si>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</si>
  <si>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</si>
  <si>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</si>
  <si>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</si>
  <si>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</si>
  <si>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</si>
  <si>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</si>
  <si>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</si>
  <si>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</si>
  <si>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</si>
  <si>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</si>
  <si>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</si>
  <si>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</si>
  <si>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</si>
  <si>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</si>
  <si>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</si>
  <si>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</si>
  <si>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</si>
  <si>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</si>
  <si>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</si>
  <si>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</si>
  <si>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</si>
  <si>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</si>
  <si>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</si>
  <si>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</si>
  <si>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</si>
  <si>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</si>
  <si>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</si>
  <si>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</si>
  <si>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</si>
  <si>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</si>
  <si>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</si>
  <si>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</si>
  <si>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</si>
  <si>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</si>
  <si>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</si>
  <si>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</si>
  <si>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</si>
  <si>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</si>
  <si>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</si>
  <si>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</si>
  <si>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</si>
  <si>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</si>
  <si>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</si>
  <si>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</si>
  <si>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</si>
  <si>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</si>
  <si>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</si>
  <si>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</si>
  <si>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</si>
  <si>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</si>
  <si>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</si>
  <si>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</si>
  <si>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</si>
  <si>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</si>
  <si>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</si>
  <si>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</si>
  <si>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</si>
  <si>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</si>
  <si>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</si>
  <si>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</si>
  <si>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</si>
  <si>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</si>
  <si>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</si>
  <si>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</si>
  <si>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</si>
  <si>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</si>
  <si>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</si>
  <si>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</si>
  <si>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</si>
  <si>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</si>
  <si>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</si>
  <si>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</si>
  <si>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</si>
  <si>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</si>
  <si>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</si>
  <si>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</si>
  <si>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</si>
  <si>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</si>
  <si>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</si>
  <si>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</si>
  <si>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</si>
  <si>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</si>
  <si>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</si>
  <si>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</si>
  <si>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</si>
  <si>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</si>
  <si>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</si>
  <si>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</si>
  <si>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</si>
  <si>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</si>
  <si>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</si>
  <si>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</si>
  <si>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</si>
  <si>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</si>
  <si>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</si>
  <si>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</si>
  <si>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</si>
  <si>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</si>
  <si>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</si>
  <si>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</si>
  <si>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</si>
  <si>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</si>
  <si>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</si>
  <si>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</si>
  <si>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</si>
  <si>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</si>
  <si>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</si>
  <si>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</si>
  <si>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</si>
  <si>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</si>
  <si>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</si>
  <si>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</si>
  <si>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</si>
  <si>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</si>
  <si>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</si>
  <si>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</si>
  <si>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</si>
  <si>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</si>
  <si>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</si>
  <si>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</si>
  <si>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</si>
  <si>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</si>
  <si>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</si>
  <si>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</si>
  <si>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</si>
  <si>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</si>
  <si>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</si>
  <si>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</si>
  <si>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</si>
  <si>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</si>
  <si>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</si>
  <si>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</si>
  <si>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</si>
  <si>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</si>
  <si>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</si>
  <si>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</si>
  <si>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</si>
  <si>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</si>
  <si>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</si>
  <si>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</si>
  <si>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</si>
  <si>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</si>
  <si>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</si>
  <si>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</si>
  <si>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</si>
  <si>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</si>
  <si>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</si>
  <si>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</si>
  <si>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</si>
  <si>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</si>
  <si>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</si>
  <si>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</si>
  <si>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</si>
  <si>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</si>
  <si>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</si>
  <si>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</si>
  <si>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</si>
  <si>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</si>
  <si>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</si>
  <si>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</si>
  <si>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</si>
  <si>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</si>
  <si>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</si>
  <si>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</si>
  <si>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</si>
  <si>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</si>
  <si>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</si>
  <si>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</si>
  <si>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</si>
  <si>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</si>
  <si>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</si>
  <si>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</si>
  <si>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</si>
  <si>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</si>
  <si>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</si>
  <si>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</si>
  <si>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</si>
  <si>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</si>
  <si>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</si>
  <si>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</si>
  <si>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</si>
  <si>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</si>
  <si>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</si>
  <si>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</si>
  <si>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</si>
  <si>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</si>
  <si>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</si>
  <si>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</si>
  <si>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</si>
  <si>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</si>
  <si>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</si>
  <si>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</si>
  <si>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</si>
  <si>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</si>
  <si>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</si>
  <si>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</si>
  <si>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</si>
  <si>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</si>
  <si>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</si>
  <si>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</si>
  <si>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</si>
  <si>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</si>
  <si>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</si>
  <si>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</si>
  <si>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</si>
  <si>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</si>
  <si>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</si>
  <si>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</si>
  <si>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</si>
  <si>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</si>
  <si>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</si>
  <si>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</si>
  <si>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</si>
  <si>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</si>
  <si>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</si>
  <si>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</si>
  <si>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</si>
  <si>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</si>
  <si>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</si>
  <si>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</si>
  <si>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</si>
  <si>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</si>
  <si>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</si>
  <si>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</si>
  <si>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</si>
  <si>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</si>
  <si>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</si>
  <si>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</si>
  <si>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</si>
  <si>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</si>
  <si>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</si>
  <si>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</si>
  <si>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</si>
  <si>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</si>
  <si>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</si>
  <si>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</si>
  <si>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</si>
  <si>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</si>
  <si>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</si>
  <si>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</si>
  <si>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</si>
  <si>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</si>
  <si>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</si>
  <si>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</si>
  <si>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</si>
  <si>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</si>
  <si>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</si>
  <si>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</si>
  <si>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</si>
  <si>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</si>
  <si>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</si>
  <si>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</si>
  <si>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</si>
  <si>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</si>
  <si>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</si>
  <si>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</si>
  <si>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</si>
  <si>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</si>
  <si>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</si>
  <si>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</si>
  <si>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</si>
  <si>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</si>
  <si>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</si>
  <si>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</si>
  <si>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</si>
  <si>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</si>
  <si>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</si>
  <si>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</si>
  <si>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</si>
  <si>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</si>
  <si>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</si>
  <si>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</si>
  <si>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</si>
  <si>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</si>
  <si>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</si>
  <si>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</si>
  <si>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</si>
  <si>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</si>
  <si>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</si>
  <si>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</si>
  <si>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</si>
  <si>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</si>
  <si>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</si>
  <si>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</si>
  <si>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</si>
  <si>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</si>
  <si>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</si>
  <si>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</si>
  <si>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</si>
  <si>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</si>
  <si>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</si>
  <si>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</si>
  <si>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</si>
  <si>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</si>
  <si>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</si>
  <si>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</si>
  <si>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</si>
  <si>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</si>
  <si>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</si>
  <si>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</si>
  <si>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</si>
  <si>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</si>
  <si>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</si>
  <si>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</si>
  <si>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</si>
  <si>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</si>
  <si>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</si>
  <si>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</si>
  <si>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</si>
  <si>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</si>
  <si>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</si>
  <si>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</si>
  <si>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</si>
  <si>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</si>
  <si>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</si>
  <si>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</si>
  <si>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</si>
  <si>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</si>
  <si>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</si>
  <si>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</si>
  <si>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</si>
  <si>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</si>
  <si>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</si>
  <si>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</si>
  <si>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</si>
  <si>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</si>
  <si>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</si>
  <si>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</si>
  <si>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</si>
  <si>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</si>
  <si>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</si>
  <si>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</si>
  <si>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</si>
  <si>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</si>
  <si>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</si>
  <si>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</si>
  <si>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</si>
  <si>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</si>
  <si>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</si>
  <si>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</si>
  <si>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</si>
  <si>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</si>
  <si>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</si>
  <si>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</si>
  <si>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</si>
  <si>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</si>
  <si>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</si>
  <si>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</si>
  <si>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</si>
  <si>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</si>
  <si>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</si>
  <si>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</si>
  <si>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</si>
  <si>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</si>
  <si>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</si>
  <si>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</si>
  <si>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</si>
  <si>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</si>
  <si>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</si>
  <si>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</si>
  <si>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</si>
  <si>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</si>
  <si>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</si>
  <si>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</si>
  <si>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</si>
  <si>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</si>
  <si>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</si>
  <si>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</si>
  <si>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</si>
  <si>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</si>
  <si>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</si>
  <si>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</si>
  <si>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</si>
  <si>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</si>
  <si>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</si>
  <si>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</si>
  <si>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</si>
  <si>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</si>
  <si>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</si>
  <si>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</si>
  <si>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</si>
  <si>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</si>
  <si>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</si>
  <si>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</si>
  <si>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</si>
  <si>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</si>
  <si>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</si>
  <si>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</si>
  <si>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</si>
  <si>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</si>
  <si>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</si>
  <si>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</si>
  <si>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</si>
  <si>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</si>
  <si>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</si>
  <si>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</si>
  <si>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</si>
  <si>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</si>
  <si>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</si>
  <si>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</si>
  <si>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</si>
  <si>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</si>
  <si>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</si>
  <si>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</si>
  <si>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</si>
  <si>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</si>
  <si>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</si>
  <si>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</si>
  <si>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</si>
  <si>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</si>
  <si>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</si>
  <si>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</si>
  <si>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</si>
  <si>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</si>
  <si>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</si>
  <si>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</si>
  <si>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</si>
  <si>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</si>
  <si>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</si>
  <si>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</si>
  <si>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</si>
  <si>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</si>
  <si>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</si>
  <si>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</si>
  <si>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</si>
  <si>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</si>
  <si>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</si>
  <si>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</si>
  <si>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</si>
  <si>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</si>
  <si>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</si>
  <si>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</si>
  <si>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</si>
  <si>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</si>
  <si>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</si>
  <si>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</si>
  <si>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</si>
  <si>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</si>
  <si>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</si>
  <si>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</si>
  <si>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</si>
  <si>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</si>
  <si>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</si>
  <si>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</si>
  <si>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</si>
  <si>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</si>
  <si>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</si>
  <si>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</si>
  <si>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</si>
  <si>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</si>
  <si>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</si>
  <si>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</si>
  <si>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</si>
  <si>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</si>
  <si>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</si>
  <si>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</si>
  <si>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</si>
  <si>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</si>
  <si>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</si>
  <si>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</si>
  <si>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</si>
  <si>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</si>
  <si>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</si>
  <si>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</si>
  <si>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</si>
  <si>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</si>
  <si>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</si>
  <si>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</si>
  <si>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</si>
  <si>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</si>
  <si>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</si>
  <si>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</si>
  <si>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</si>
  <si>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</si>
  <si>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</si>
  <si>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</si>
  <si>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</si>
  <si>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</si>
  <si>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</si>
  <si>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</si>
  <si>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</si>
  <si>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</si>
  <si>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</si>
  <si>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</si>
  <si>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</si>
  <si>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</si>
  <si>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</si>
  <si>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</si>
  <si>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</si>
  <si>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</si>
  <si>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</si>
  <si>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</si>
  <si>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</si>
  <si>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</si>
  <si>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</si>
  <si>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</si>
  <si>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</si>
  <si>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</si>
  <si>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</si>
  <si>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</si>
  <si>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</si>
  <si>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</si>
  <si>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</si>
  <si>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</si>
  <si>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</si>
  <si>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</si>
  <si>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</si>
  <si>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</si>
  <si>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</si>
  <si>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</si>
  <si>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</si>
  <si>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</si>
  <si>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</si>
  <si>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</si>
  <si>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</si>
  <si>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</si>
  <si>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</si>
  <si>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</si>
  <si>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</si>
  <si>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</si>
  <si>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</si>
  <si>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</si>
  <si>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</si>
  <si>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</si>
  <si>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</si>
  <si>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</si>
  <si>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</si>
  <si>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</si>
  <si>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</si>
  <si>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</si>
  <si>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</si>
  <si>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</si>
  <si>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</si>
  <si>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</si>
  <si>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</si>
  <si>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</si>
  <si>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</si>
  <si>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</si>
  <si>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</si>
  <si>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</si>
  <si>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</si>
  <si>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</si>
  <si>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</si>
  <si>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</si>
  <si>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</si>
  <si>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</si>
  <si>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</si>
  <si>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</si>
  <si>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</si>
  <si>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</si>
  <si>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</si>
  <si>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</si>
  <si>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</si>
  <si>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</si>
  <si>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</si>
  <si>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</si>
  <si>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</si>
  <si>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</si>
  <si>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</si>
  <si>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</si>
  <si>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</si>
  <si>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</si>
  <si>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</si>
  <si>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</si>
  <si>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</si>
  <si>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</si>
  <si>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</si>
  <si>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</si>
  <si>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</si>
  <si>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</si>
  <si>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</si>
  <si>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</si>
  <si>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</si>
  <si>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</si>
  <si>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</si>
  <si>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</si>
  <si>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</si>
  <si>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</si>
  <si>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</si>
  <si>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</si>
  <si>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</si>
  <si>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</si>
  <si>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</si>
  <si>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</si>
  <si>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</si>
  <si>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</si>
  <si>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</si>
  <si>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</si>
  <si>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</si>
  <si>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</si>
  <si>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</si>
  <si>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</si>
  <si>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</si>
  <si>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</si>
  <si>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</si>
  <si>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</si>
  <si>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</si>
  <si>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</si>
  <si>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</si>
  <si>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</si>
  <si>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</si>
  <si>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</si>
  <si>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</si>
  <si>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</si>
  <si>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</si>
  <si>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</si>
  <si>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</si>
  <si>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</si>
  <si>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</si>
  <si>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</si>
  <si>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</si>
  <si>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</si>
  <si>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</si>
  <si>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</si>
  <si>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</si>
  <si>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</si>
  <si>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</si>
  <si>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</si>
  <si>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</si>
  <si>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</si>
  <si>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</si>
  <si>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</si>
  <si>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</si>
  <si>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</si>
  <si>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</si>
  <si>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</si>
  <si>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</si>
  <si>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</si>
  <si>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</si>
  <si>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</si>
  <si>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</si>
  <si>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</si>
  <si>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</si>
  <si>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</si>
  <si>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</si>
  <si>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</si>
  <si>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</si>
  <si>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</si>
  <si>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</si>
  <si>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</si>
  <si>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</si>
  <si>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</si>
  <si>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</si>
  <si>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</si>
  <si>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</si>
  <si>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</si>
  <si>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</si>
  <si>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</si>
  <si>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</si>
  <si>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</si>
  <si>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</si>
  <si>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</si>
  <si>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</si>
  <si>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</si>
  <si>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</si>
  <si>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</si>
  <si>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</si>
  <si>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</si>
  <si>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</si>
  <si>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</si>
  <si>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</si>
  <si>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</si>
  <si>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</si>
  <si>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</si>
  <si>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</si>
  <si>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</si>
  <si>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</si>
  <si>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</si>
  <si>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</si>
  <si>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</si>
  <si>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</si>
  <si>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</si>
  <si>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</si>
  <si>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</si>
  <si>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</si>
  <si>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</si>
  <si>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</si>
  <si>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</si>
  <si>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</si>
  <si>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</si>
  <si>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</si>
  <si>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</si>
  <si>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</si>
  <si>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</si>
  <si>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</si>
  <si>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</si>
  <si>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</si>
  <si>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</si>
  <si>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</si>
  <si>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</si>
  <si>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</si>
  <si>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</si>
  <si>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</si>
  <si>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</si>
  <si>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</si>
  <si>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</si>
  <si>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</si>
  <si>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</si>
  <si>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</si>
  <si>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</si>
  <si>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</si>
  <si>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</si>
  <si>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</si>
  <si>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</si>
  <si>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</si>
  <si>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</si>
  <si>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</si>
  <si>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</si>
  <si>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</si>
  <si>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</si>
  <si>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</si>
  <si>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</si>
  <si>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</si>
  <si>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</si>
  <si>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</si>
  <si>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</si>
  <si>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</si>
  <si>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</si>
  <si>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</si>
  <si>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</si>
  <si>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</si>
  <si>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</si>
  <si>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</si>
  <si>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</si>
  <si>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</si>
  <si>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</si>
  <si>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</si>
  <si>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</si>
  <si>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</si>
  <si>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</si>
  <si>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</si>
  <si>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</si>
  <si>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</si>
  <si>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</si>
  <si>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</si>
  <si>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</si>
  <si>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</si>
  <si>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</si>
  <si>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</si>
  <si>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</si>
  <si>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</si>
  <si>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</si>
  <si>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</si>
  <si>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</si>
  <si>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</si>
  <si>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</si>
  <si>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</si>
  <si>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</si>
  <si>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</si>
  <si>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</si>
  <si>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</si>
  <si>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</si>
  <si>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</si>
  <si>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</si>
  <si>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</si>
  <si>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</si>
  <si>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</si>
  <si>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</si>
  <si>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</si>
  <si>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</si>
  <si>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</si>
  <si>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</si>
  <si>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</si>
  <si>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</si>
  <si>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</si>
  <si>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</si>
  <si>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</si>
  <si>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</si>
  <si>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</si>
  <si>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</si>
  <si>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</si>
  <si>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</si>
  <si>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</si>
  <si>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</si>
  <si>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</si>
  <si>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</si>
  <si>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</si>
  <si>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</si>
  <si>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</si>
  <si>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</si>
  <si>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</si>
  <si>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</si>
  <si>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</si>
  <si>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</si>
  <si>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</si>
  <si>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</si>
  <si>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</si>
  <si>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</si>
  <si>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</si>
  <si>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</si>
  <si>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</si>
  <si>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</si>
  <si>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</si>
  <si>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</si>
  <si>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</si>
  <si>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</si>
  <si>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</si>
  <si>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</si>
  <si>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</si>
  <si>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</si>
  <si>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</si>
  <si>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</si>
  <si>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</si>
  <si>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</si>
  <si>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</si>
  <si>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</si>
  <si>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</si>
  <si>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</si>
  <si>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</si>
  <si>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</si>
  <si>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</si>
  <si>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</si>
  <si>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</si>
  <si>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</si>
  <si>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</si>
  <si>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</si>
  <si>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</si>
  <si>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</si>
  <si>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</si>
  <si>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</si>
  <si>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</si>
  <si>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</si>
  <si>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</si>
  <si>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</si>
  <si>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</si>
  <si>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</si>
  <si>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</si>
  <si>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</si>
  <si>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</si>
  <si>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</si>
  <si>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</si>
  <si>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</si>
  <si>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</si>
  <si>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</si>
  <si>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</si>
  <si>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</si>
  <si>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</si>
  <si>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</si>
  <si>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</si>
  <si>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</si>
  <si>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</si>
  <si>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</si>
  <si>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</si>
  <si>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</si>
  <si>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</si>
  <si>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</si>
  <si>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</si>
  <si>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</si>
  <si>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</si>
  <si>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</si>
  <si>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</si>
  <si>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</si>
  <si>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</si>
  <si>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</si>
  <si>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</si>
  <si>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</si>
  <si>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</si>
  <si>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</si>
  <si>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</si>
  <si>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</si>
  <si>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</si>
  <si>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</si>
  <si>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</si>
  <si>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</si>
  <si>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</si>
  <si>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</si>
  <si>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</si>
  <si>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</si>
  <si>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</si>
  <si>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</si>
  <si>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</si>
  <si>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</si>
  <si>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</si>
  <si>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</si>
  <si>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</si>
  <si>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</si>
  <si>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</si>
  <si>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</si>
  <si>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</si>
  <si>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</si>
  <si>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</si>
  <si>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</si>
  <si>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</si>
  <si>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</si>
  <si>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</si>
  <si>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</si>
  <si>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</si>
  <si>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</si>
  <si>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</si>
  <si>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</si>
  <si>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</si>
  <si>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</si>
  <si>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</si>
  <si>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</si>
  <si>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</si>
  <si>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</si>
  <si>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</si>
  <si>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</si>
  <si>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</si>
  <si>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</si>
  <si>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</si>
  <si>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</si>
  <si>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</si>
  <si>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</si>
  <si>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</si>
  <si>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</si>
  <si>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</si>
  <si>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</si>
  <si>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</si>
  <si>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</si>
  <si>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</si>
  <si>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</si>
  <si>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</si>
  <si>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</si>
  <si>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</si>
  <si>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</si>
  <si>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</si>
  <si>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</si>
  <si>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</si>
  <si>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</si>
  <si>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</si>
  <si>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</si>
  <si>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</si>
  <si>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</si>
  <si>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</si>
  <si>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</si>
  <si>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</si>
  <si>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</si>
  <si>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</si>
  <si>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</si>
  <si>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</si>
  <si>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</si>
  <si>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</si>
  <si>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</si>
  <si>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</si>
  <si>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</si>
  <si>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</si>
  <si>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</si>
  <si>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</si>
  <si>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</si>
  <si>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</si>
  <si>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</si>
  <si>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</si>
  <si>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</si>
  <si>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</si>
  <si>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</si>
  <si>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</si>
  <si>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</si>
  <si>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</si>
  <si>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</si>
  <si>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</si>
  <si>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</si>
  <si>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</si>
  <si>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</si>
  <si>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</si>
  <si>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</si>
  <si>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</si>
  <si>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</si>
  <si>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</si>
  <si>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</si>
  <si>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</si>
  <si>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</si>
  <si>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</si>
  <si>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</si>
  <si>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</si>
  <si>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</si>
  <si>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</si>
  <si>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</si>
  <si>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</si>
  <si>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</si>
  <si>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</si>
  <si>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</si>
  <si>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</si>
  <si>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</si>
  <si>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</si>
  <si>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</si>
  <si>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</si>
  <si>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</si>
  <si>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</si>
  <si>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</si>
  <si>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</si>
  <si>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</si>
  <si>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</si>
  <si>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</si>
  <si>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</si>
  <si>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</si>
  <si>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</si>
  <si>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</si>
  <si>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</si>
  <si>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</si>
  <si>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</si>
  <si>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</si>
  <si>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</si>
  <si>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</si>
  <si>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</si>
  <si>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</si>
  <si>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</si>
  <si>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</si>
  <si>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</si>
  <si>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</si>
  <si>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</si>
  <si>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</si>
  <si>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</si>
  <si>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</si>
  <si>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</si>
  <si>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</si>
  <si>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</si>
  <si>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</si>
  <si>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</si>
  <si>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</si>
  <si>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</si>
  <si>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</si>
  <si>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</si>
  <si>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</si>
  <si>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</si>
  <si>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</si>
  <si>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</si>
  <si>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</si>
  <si>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</si>
  <si>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</si>
  <si>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</si>
  <si>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</si>
  <si>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</si>
  <si>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</si>
  <si>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</si>
  <si>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</si>
  <si>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</si>
  <si>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</si>
  <si>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</si>
  <si>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</si>
  <si>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</si>
  <si>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</si>
  <si>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</si>
  <si>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</si>
  <si>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</si>
  <si>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</si>
  <si>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</si>
  <si>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</si>
  <si>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</si>
  <si>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</si>
  <si>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</si>
  <si>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</si>
  <si>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</si>
  <si>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</si>
  <si>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</si>
  <si>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</si>
  <si>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</si>
  <si>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</si>
  <si>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</si>
  <si>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</si>
  <si>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</si>
  <si>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</si>
  <si>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</si>
  <si>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</si>
  <si>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</si>
  <si>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</si>
  <si>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</si>
  <si>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</si>
  <si>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</si>
  <si>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</si>
  <si>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</si>
  <si>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</si>
  <si>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</si>
  <si>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</si>
  <si>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</si>
  <si>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</si>
  <si>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</si>
  <si>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</si>
  <si>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</si>
  <si>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</si>
  <si>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</si>
  <si>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</si>
  <si>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</si>
  <si>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</si>
  <si>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</si>
  <si>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</si>
  <si>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</si>
  <si>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</si>
  <si>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</si>
  <si>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</si>
  <si>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</si>
  <si>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</si>
  <si>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</si>
  <si>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</si>
  <si>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</si>
  <si>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</si>
  <si>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</si>
  <si>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</si>
  <si>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</si>
  <si>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</si>
  <si>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</si>
  <si>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</si>
  <si>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</si>
  <si>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</si>
  <si>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</si>
  <si>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</si>
  <si>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</si>
  <si>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</si>
  <si>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</si>
  <si>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</si>
  <si>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</si>
  <si>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</si>
  <si>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</si>
  <si>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</si>
  <si>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</si>
  <si>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</si>
  <si>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</si>
  <si>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</si>
  <si>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</si>
  <si>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</si>
  <si>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</si>
  <si>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</si>
  <si>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</si>
  <si>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</si>
  <si>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</si>
  <si>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</si>
  <si>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</si>
  <si>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</si>
  <si>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</si>
  <si>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</si>
  <si>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</si>
  <si>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</si>
  <si>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</si>
  <si>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</si>
  <si>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</si>
  <si>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</si>
  <si>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</si>
  <si>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</si>
  <si>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</si>
  <si>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</si>
  <si>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</si>
  <si>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</si>
  <si>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</si>
  <si>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</si>
  <si>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</si>
  <si>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</si>
  <si>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</si>
  <si>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</si>
  <si>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</si>
  <si>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</si>
  <si>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</si>
  <si>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</si>
  <si>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</si>
  <si>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</si>
  <si>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</si>
  <si>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</si>
  <si>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</si>
  <si>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</si>
  <si>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</si>
  <si>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</si>
  <si>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</si>
  <si>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</si>
  <si>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</si>
  <si>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</si>
  <si>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</si>
  <si>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</si>
  <si>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</si>
  <si>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</si>
  <si>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</si>
  <si>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</si>
  <si>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</si>
  <si>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</si>
  <si>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</si>
  <si>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</si>
  <si>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</si>
  <si>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</si>
  <si>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</si>
  <si>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</si>
  <si>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</si>
  <si>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</si>
  <si>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</si>
  <si>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</si>
  <si>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</si>
  <si>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</si>
  <si>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</si>
  <si>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</si>
  <si>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</si>
  <si>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</si>
  <si>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</si>
  <si>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</si>
  <si>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</si>
  <si>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</si>
  <si>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</si>
  <si>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</si>
  <si>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</si>
  <si>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</si>
  <si>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</si>
  <si>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</si>
  <si>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</si>
  <si>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</si>
  <si>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</si>
  <si>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</si>
  <si>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</si>
  <si>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</si>
  <si>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</si>
  <si>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</si>
  <si>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</si>
  <si>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</si>
  <si>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</si>
  <si>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</si>
  <si>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</si>
  <si>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</si>
  <si>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</si>
  <si>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</si>
  <si>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</si>
  <si>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</si>
  <si>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</si>
  <si>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</si>
  <si>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</si>
  <si>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</si>
  <si>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</si>
  <si>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</si>
  <si>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</si>
  <si>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</si>
  <si>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</si>
  <si>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</si>
  <si>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</si>
  <si>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</si>
  <si>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</si>
  <si>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</si>
  <si>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</si>
  <si>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</si>
  <si>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</si>
  <si>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</si>
  <si>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</si>
  <si>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</si>
  <si>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</si>
  <si>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</si>
  <si>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</si>
  <si>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</si>
  <si>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</si>
  <si>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</si>
  <si>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</si>
  <si>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</si>
  <si>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</si>
  <si>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</si>
  <si>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</si>
  <si>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</si>
  <si>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</si>
  <si>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</si>
  <si>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</si>
  <si>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</si>
  <si>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</si>
  <si>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</si>
  <si>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</si>
  <si>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</si>
  <si>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</si>
  <si>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</si>
  <si>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</si>
  <si>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</si>
  <si>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</si>
  <si>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</si>
  <si>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</si>
  <si>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</si>
  <si>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</si>
  <si>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</si>
  <si>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</si>
  <si>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</si>
  <si>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</si>
  <si>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</si>
  <si>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</si>
  <si>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</si>
  <si>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</si>
  <si>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</si>
  <si>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</si>
  <si>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</si>
  <si>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</si>
  <si>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</si>
  <si>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</si>
  <si>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</si>
  <si>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</si>
  <si>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</si>
  <si>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</si>
  <si>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</si>
  <si>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</si>
  <si>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</si>
  <si>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</si>
  <si>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</si>
  <si>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</si>
  <si>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</si>
  <si>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</si>
  <si>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</si>
  <si>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</si>
  <si>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</si>
  <si>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</si>
  <si>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</si>
  <si>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</si>
  <si>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</si>
  <si>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</si>
  <si>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</si>
  <si>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</si>
  <si>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</si>
  <si>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</si>
  <si>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</si>
  <si>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</si>
  <si>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</si>
  <si>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</si>
  <si>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</si>
  <si>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</si>
  <si>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</si>
  <si>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</si>
  <si>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</si>
  <si>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</si>
  <si>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</si>
  <si>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</si>
  <si>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</si>
  <si>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</si>
  <si>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</si>
  <si>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</si>
  <si>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</si>
  <si>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</si>
  <si>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</si>
  <si>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</si>
  <si>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</si>
  <si>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</si>
  <si>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</si>
  <si>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</si>
  <si>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</si>
  <si>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</si>
  <si>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</si>
  <si>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</si>
  <si>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</si>
  <si>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</si>
  <si>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</si>
  <si>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</si>
  <si>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</si>
  <si>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</si>
  <si>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</si>
  <si>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</si>
  <si>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</si>
  <si>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</si>
  <si>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</si>
  <si>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</si>
  <si>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</si>
  <si>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</si>
  <si>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</si>
  <si>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</si>
  <si>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</si>
  <si>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</si>
  <si>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</si>
  <si>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</si>
  <si>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</si>
  <si>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</si>
  <si>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</si>
  <si>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</si>
  <si>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</si>
  <si>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</si>
  <si>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</si>
  <si>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</si>
  <si>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</si>
  <si>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</si>
  <si>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</si>
  <si>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</si>
  <si>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</si>
  <si>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</si>
  <si>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</si>
  <si>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</si>
  <si>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</si>
  <si>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</si>
  <si>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</si>
  <si>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</si>
  <si>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</si>
  <si>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</si>
  <si>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</si>
  <si>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</si>
  <si>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</si>
  <si>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</si>
  <si>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</si>
  <si>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</si>
  <si>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</si>
  <si>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</si>
  <si>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</si>
  <si>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</si>
  <si>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</si>
  <si>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</si>
  <si>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</si>
  <si>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</si>
  <si>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</si>
  <si>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</si>
  <si>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</si>
  <si>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</si>
  <si>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</si>
  <si>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</si>
  <si>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</si>
  <si>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</si>
  <si>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</si>
  <si>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</si>
  <si>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</si>
  <si>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</si>
  <si>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</si>
  <si>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</si>
  <si>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</si>
  <si>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</si>
  <si>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</si>
  <si>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</si>
  <si>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</si>
  <si>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</si>
  <si>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</si>
  <si>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</si>
  <si>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</si>
  <si>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</si>
  <si>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</si>
  <si>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</si>
  <si>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</si>
  <si>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</si>
  <si>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</si>
  <si>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</si>
  <si>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</si>
  <si>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</si>
  <si>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</si>
  <si>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</si>
  <si>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</si>
  <si>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</si>
  <si>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</si>
  <si>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</si>
  <si>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</si>
  <si>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</si>
  <si>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</si>
  <si>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</si>
  <si>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</si>
  <si>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</si>
  <si>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</si>
  <si>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</si>
  <si>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</si>
  <si>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</si>
  <si>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</si>
  <si>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</si>
  <si>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</si>
  <si>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</si>
  <si>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</si>
  <si>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</si>
  <si>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</si>
  <si>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</si>
  <si>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</si>
  <si>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</si>
  <si>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</si>
  <si>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</si>
  <si>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</si>
  <si>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</si>
  <si>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</si>
  <si>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</si>
  <si>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</si>
  <si>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</si>
  <si>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</si>
  <si>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</si>
  <si>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</si>
  <si>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</si>
  <si>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</si>
  <si>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</si>
  <si>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</si>
  <si>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</si>
  <si>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</si>
  <si>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</si>
  <si>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</si>
  <si>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</si>
  <si>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</si>
  <si>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</si>
  <si>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</si>
  <si>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</si>
  <si>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</si>
  <si>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</si>
  <si>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</si>
  <si>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</si>
  <si>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</si>
  <si>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</si>
  <si>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</si>
  <si>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</si>
  <si>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</si>
  <si>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</si>
  <si>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</si>
  <si>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</si>
  <si>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</si>
  <si>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</si>
  <si>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</si>
  <si>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</si>
  <si>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</si>
  <si>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</si>
  <si>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</si>
  <si>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</si>
  <si>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</si>
  <si>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</si>
  <si>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</si>
  <si>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</si>
  <si>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</si>
  <si>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</si>
  <si>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</si>
  <si>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</si>
  <si>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</si>
  <si>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</si>
  <si>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</si>
  <si>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</si>
  <si>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</si>
  <si>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</si>
  <si>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</si>
  <si>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</si>
  <si>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</si>
  <si>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</si>
  <si>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</si>
  <si>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</si>
  <si>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</si>
  <si>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</si>
  <si>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</si>
  <si>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</si>
  <si>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</si>
  <si>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</si>
  <si>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</si>
  <si>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</si>
  <si>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</si>
  <si>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</si>
  <si>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</si>
  <si>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</si>
  <si>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</si>
  <si>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</si>
  <si>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</si>
  <si>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</si>
  <si>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</si>
  <si>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</si>
  <si>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</si>
  <si>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</si>
  <si>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</si>
  <si>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</si>
  <si>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</si>
  <si>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</si>
  <si>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</si>
  <si>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</si>
  <si>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</si>
  <si>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</si>
  <si>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</si>
  <si>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</si>
  <si>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</si>
  <si>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</si>
  <si>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</si>
  <si>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</si>
  <si>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</si>
  <si>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</si>
  <si>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</si>
  <si>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</si>
  <si>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</si>
  <si>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</si>
  <si>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</si>
  <si>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</si>
  <si>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</si>
  <si>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</si>
  <si>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</si>
  <si>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</si>
  <si>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</si>
  <si>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</si>
  <si>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</si>
  <si>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</si>
  <si>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</si>
  <si>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</si>
  <si>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</si>
  <si>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</si>
  <si>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</si>
  <si>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</si>
  <si>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</si>
  <si>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</si>
  <si>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</si>
  <si>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</si>
  <si>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</si>
  <si>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</si>
  <si>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</si>
  <si>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</si>
  <si>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</si>
  <si>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</si>
  <si>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</si>
  <si>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</si>
  <si>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</si>
  <si>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</si>
  <si>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</si>
  <si>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</si>
  <si>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</si>
  <si>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</si>
  <si>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</si>
  <si>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</si>
  <si>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</si>
  <si>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</si>
  <si>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</si>
  <si>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</si>
  <si>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</si>
  <si>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</si>
  <si>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</si>
  <si>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</si>
  <si>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</si>
  <si>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</si>
  <si>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</si>
  <si>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</si>
  <si>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</si>
  <si>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</si>
  <si>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</si>
  <si>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</si>
  <si>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</si>
  <si>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</si>
  <si>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</si>
  <si>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</si>
  <si>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</si>
  <si>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</si>
  <si>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</si>
  <si>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</si>
  <si>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</si>
  <si>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</si>
  <si>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</si>
  <si>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</si>
  <si>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</si>
  <si>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</si>
  <si>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</si>
  <si>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</si>
  <si>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</si>
  <si>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</si>
  <si>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</si>
  <si>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</si>
  <si>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</si>
  <si>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</si>
  <si>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</si>
  <si>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</si>
  <si>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</si>
  <si>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</si>
  <si>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</si>
  <si>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</si>
  <si>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</si>
  <si>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</si>
  <si>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</si>
  <si>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</si>
  <si>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</si>
  <si>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</si>
  <si>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</si>
  <si>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</si>
  <si>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</si>
  <si>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</si>
  <si>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</si>
  <si>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</si>
  <si>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</si>
  <si>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</si>
  <si>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</si>
  <si>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</si>
  <si>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</si>
  <si>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</si>
  <si>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</si>
  <si>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</si>
  <si>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</si>
  <si>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</si>
  <si>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</si>
  <si>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</si>
  <si>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</si>
  <si>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</si>
  <si>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</si>
  <si>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</si>
  <si>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</si>
  <si>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</si>
  <si>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</si>
  <si>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</si>
  <si>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</si>
  <si>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</si>
  <si>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</si>
  <si>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</si>
  <si>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</si>
  <si>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</si>
  <si>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</si>
  <si>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</si>
  <si>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</si>
  <si>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</si>
  <si>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</si>
  <si>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</si>
  <si>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</si>
  <si>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</si>
  <si>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</si>
  <si>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</si>
  <si>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</si>
  <si>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</si>
  <si>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</si>
  <si>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</si>
  <si>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</si>
  <si>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</si>
  <si>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</si>
  <si>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</si>
  <si>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</si>
  <si>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</si>
  <si>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</si>
  <si>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</si>
  <si>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</si>
  <si>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</si>
  <si>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</si>
  <si>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</si>
  <si>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</si>
  <si>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</si>
  <si>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</si>
  <si>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</si>
  <si>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</si>
  <si>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</si>
  <si>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</si>
  <si>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</si>
  <si>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</si>
  <si>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</si>
  <si>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</si>
  <si>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</si>
  <si>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</si>
  <si>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</si>
  <si>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</si>
  <si>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</si>
  <si>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</si>
  <si>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</si>
  <si>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</si>
  <si>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</si>
  <si>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</si>
  <si>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</si>
  <si>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</si>
  <si>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</si>
  <si>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</si>
  <si>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</si>
  <si>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</si>
  <si>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</si>
  <si>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</si>
  <si>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</si>
  <si>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</si>
  <si>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</si>
  <si>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</si>
  <si>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</si>
  <si>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</si>
  <si>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</si>
  <si>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</si>
  <si>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</si>
  <si>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</si>
  <si>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</si>
  <si>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</si>
  <si>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</si>
  <si>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</si>
  <si>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</si>
  <si>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</si>
  <si>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</si>
  <si>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</si>
  <si>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</si>
  <si>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</si>
  <si>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</si>
  <si>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</si>
  <si>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</si>
  <si>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</si>
  <si>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</si>
  <si>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</si>
  <si>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</si>
  <si>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</si>
  <si>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</si>
  <si>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</si>
  <si>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</si>
  <si>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</si>
  <si>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</si>
  <si>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</si>
  <si>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</si>
  <si>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</si>
  <si>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</si>
  <si>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</si>
  <si>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</si>
  <si>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</si>
  <si>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</si>
  <si>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</si>
  <si>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</si>
  <si>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</si>
  <si>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</si>
  <si>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</si>
  <si>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</si>
  <si>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</si>
  <si>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</si>
  <si>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</si>
  <si>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</si>
  <si>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</si>
  <si>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</si>
  <si>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</si>
  <si>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</si>
  <si>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</si>
  <si>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</si>
  <si>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</si>
  <si>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</si>
  <si>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</si>
  <si>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</si>
  <si>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</si>
  <si>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</si>
  <si>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</si>
  <si>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</si>
  <si>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</si>
  <si>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</si>
  <si>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</si>
  <si>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</si>
  <si>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</si>
  <si>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</si>
  <si>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</si>
  <si>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</si>
  <si>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</si>
  <si>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</si>
  <si>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</si>
  <si>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</si>
  <si>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</si>
  <si>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</si>
  <si>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</si>
  <si>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</si>
  <si>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</si>
  <si>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</si>
  <si>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</si>
  <si>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</si>
  <si>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</si>
  <si>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</si>
  <si>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</si>
  <si>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</si>
  <si>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</si>
  <si>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</si>
  <si>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</si>
  <si>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</si>
  <si>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</si>
  <si>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</si>
  <si>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</si>
  <si>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</si>
  <si>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</si>
  <si>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</si>
  <si>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</si>
  <si>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</si>
  <si>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</si>
  <si>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</si>
  <si>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</si>
  <si>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</si>
  <si>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</si>
  <si>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</si>
  <si>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</si>
  <si>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</si>
  <si>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</si>
  <si>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</si>
  <si>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</si>
  <si>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</si>
  <si>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</si>
  <si>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</si>
  <si>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</si>
  <si>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</si>
  <si>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</si>
  <si>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</si>
  <si>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</si>
  <si>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</si>
  <si>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</si>
  <si>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</si>
  <si>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</si>
  <si>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</si>
  <si>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</si>
  <si>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</si>
  <si>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</si>
  <si>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</si>
  <si>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</si>
  <si>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</si>
  <si>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</si>
  <si>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</si>
  <si>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</si>
  <si>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</si>
  <si>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</si>
  <si>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</si>
  <si>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</si>
  <si>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</si>
  <si>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</si>
  <si>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</si>
  <si>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</si>
  <si>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</si>
  <si>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</si>
  <si>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</si>
  <si>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</si>
  <si>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</si>
  <si>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</si>
  <si>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</si>
  <si>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</si>
  <si>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</si>
  <si>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</si>
  <si>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</si>
  <si>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</si>
  <si>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</si>
  <si>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</si>
  <si>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</si>
  <si>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</si>
  <si>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</si>
  <si>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</si>
  <si>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</si>
  <si>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</si>
  <si>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</si>
  <si>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</si>
  <si>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</si>
  <si>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</si>
  <si>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</si>
  <si>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</si>
  <si>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</si>
  <si>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</si>
  <si>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</si>
  <si>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</si>
  <si>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</si>
  <si>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</si>
  <si>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</si>
  <si>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</si>
  <si>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</si>
  <si>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</si>
  <si>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</si>
  <si>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</si>
  <si>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</si>
  <si>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</si>
  <si>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</si>
  <si>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</si>
  <si>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</si>
  <si>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</si>
  <si>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</si>
  <si>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</si>
  <si>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</si>
  <si>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</si>
  <si>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</si>
  <si>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</si>
  <si>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</si>
  <si>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</si>
  <si>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</si>
  <si>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</si>
  <si>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</si>
  <si>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</si>
  <si>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</si>
  <si>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</si>
  <si>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</si>
  <si>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</si>
  <si>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</si>
  <si>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</si>
  <si>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</si>
  <si>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</si>
  <si>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</si>
  <si>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</si>
  <si>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</si>
  <si>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</si>
  <si>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</si>
  <si>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</si>
  <si>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</si>
  <si>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</si>
  <si>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</si>
  <si>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</si>
  <si>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</si>
  <si>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</si>
  <si>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</si>
  <si>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</si>
  <si>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</si>
  <si>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</si>
  <si>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</si>
  <si>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</si>
  <si>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</si>
  <si>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</si>
  <si>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</si>
  <si>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</si>
  <si>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</si>
  <si>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</si>
  <si>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</si>
  <si>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</si>
  <si>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</si>
  <si>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</si>
  <si>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</si>
  <si>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</si>
  <si>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</si>
  <si>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</si>
  <si>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</si>
  <si>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</si>
  <si>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</si>
  <si>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</si>
  <si>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</si>
  <si>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</si>
  <si>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</si>
  <si>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</si>
  <si>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</si>
  <si>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</si>
  <si>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</si>
  <si>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</si>
  <si>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</si>
  <si>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</si>
  <si>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</si>
  <si>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</si>
  <si>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</si>
  <si>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</si>
  <si>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</si>
  <si>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</si>
  <si>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</si>
  <si>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</si>
  <si>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</si>
  <si>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</si>
  <si>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</si>
  <si>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</si>
  <si>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</si>
  <si>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</si>
  <si>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</si>
  <si>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</si>
  <si>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</si>
  <si>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</si>
  <si>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</si>
  <si>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</si>
  <si>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</si>
  <si>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</si>
  <si>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</si>
  <si>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</si>
  <si>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</si>
  <si>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</si>
  <si>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</si>
  <si>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</si>
  <si>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</si>
  <si>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</si>
  <si>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</si>
  <si>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</si>
  <si>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</si>
  <si>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</si>
  <si>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</si>
  <si>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</si>
  <si>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</si>
  <si>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</si>
  <si>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</si>
  <si>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</si>
  <si>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</si>
  <si>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</si>
  <si>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</si>
  <si>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</si>
  <si>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</si>
  <si>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</si>
  <si>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</si>
  <si>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</si>
  <si>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</si>
  <si>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</si>
  <si>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</si>
  <si>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</si>
  <si>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</si>
  <si>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</si>
  <si>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</si>
  <si>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</si>
  <si>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</si>
  <si>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</si>
  <si>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</si>
  <si>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</si>
  <si>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</si>
  <si>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</si>
  <si>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</si>
  <si>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</si>
  <si>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</si>
  <si>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</si>
  <si>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</si>
  <si>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</si>
  <si>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</si>
  <si>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</si>
  <si>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</si>
  <si>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</si>
  <si>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</si>
  <si>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</si>
  <si>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</si>
  <si>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</si>
  <si>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</si>
  <si>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</si>
  <si>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</si>
  <si>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</si>
  <si>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</si>
  <si>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</si>
  <si>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</si>
  <si>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</si>
  <si>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</si>
  <si>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</si>
  <si>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</si>
  <si>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</si>
  <si>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</si>
  <si>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</si>
  <si>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</si>
  <si>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</si>
  <si>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</si>
  <si>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</si>
  <si>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</si>
  <si>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</si>
  <si>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</si>
  <si>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</si>
  <si>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</si>
  <si>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</si>
  <si>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</si>
  <si>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</si>
  <si>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</si>
  <si>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</si>
  <si>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</si>
  <si>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</si>
  <si>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</si>
  <si>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</si>
  <si>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</si>
  <si>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</si>
  <si>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</si>
  <si>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</si>
  <si>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</si>
  <si>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</si>
  <si>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</si>
  <si>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</si>
  <si>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</si>
  <si>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</si>
  <si>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</si>
  <si>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</si>
  <si>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</si>
  <si>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</si>
  <si>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</si>
  <si>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</si>
  <si>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</si>
  <si>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</si>
  <si>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</si>
  <si>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</si>
  <si>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</si>
  <si>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</si>
  <si>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</si>
  <si>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</si>
  <si>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</si>
  <si>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</si>
  <si>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</si>
  <si>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</si>
  <si>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</si>
  <si>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</si>
  <si>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</si>
  <si>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</si>
  <si>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</si>
  <si>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</si>
  <si>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</si>
  <si>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</si>
  <si>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</si>
  <si>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</si>
  <si>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</si>
  <si>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</si>
  <si>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</si>
  <si>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</si>
  <si>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</si>
  <si>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</si>
  <si>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</si>
  <si>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</si>
  <si>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</si>
  <si>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</si>
  <si>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</si>
  <si>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</si>
  <si>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</si>
  <si>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</si>
  <si>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</si>
  <si>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</si>
  <si>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</si>
  <si>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</si>
  <si>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</si>
  <si>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</si>
  <si>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</si>
  <si>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</si>
  <si>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</si>
  <si>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</si>
  <si>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</si>
  <si>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</si>
  <si>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</si>
  <si>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</si>
  <si>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</si>
  <si>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</si>
  <si>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</si>
  <si>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</si>
  <si>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</si>
  <si>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</si>
  <si>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</si>
  <si>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</si>
  <si>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</si>
  <si>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</si>
  <si>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</si>
  <si>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</si>
  <si>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</si>
  <si>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</si>
  <si>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</si>
  <si>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</si>
  <si>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</si>
  <si>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</si>
  <si>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</si>
  <si>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</si>
  <si>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</si>
  <si>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</si>
  <si>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</si>
  <si>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</si>
  <si>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</si>
  <si>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</si>
  <si>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</si>
  <si>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</si>
  <si>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</si>
  <si>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</si>
  <si>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</si>
  <si>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</si>
  <si>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</si>
  <si>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</si>
  <si>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</si>
  <si>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</si>
  <si>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</si>
  <si>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</si>
  <si>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</si>
  <si>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</si>
  <si>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</si>
  <si>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</si>
  <si>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</si>
  <si>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</si>
  <si>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</si>
  <si>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</si>
  <si>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</si>
  <si>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</si>
  <si>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</si>
  <si>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</si>
  <si>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</si>
  <si>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</si>
  <si>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</si>
  <si>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</si>
  <si>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</si>
  <si>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</si>
  <si>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</si>
  <si>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</si>
  <si>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</si>
  <si>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</si>
  <si>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</si>
  <si>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</si>
  <si>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</si>
  <si>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</si>
  <si>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</si>
  <si>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</si>
  <si>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</si>
  <si>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</si>
  <si>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</si>
  <si>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</si>
  <si>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</si>
  <si>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</si>
  <si>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</si>
  <si>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</si>
  <si>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</si>
  <si>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</si>
  <si>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</si>
  <si>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</si>
  <si>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</si>
  <si>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</si>
  <si>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</si>
  <si>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</si>
  <si>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</si>
  <si>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</si>
  <si>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</si>
  <si>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</si>
  <si>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</si>
  <si>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</si>
  <si>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</si>
  <si>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</si>
  <si>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</si>
  <si>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</si>
  <si>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</si>
  <si>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</si>
  <si>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</si>
  <si>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</si>
  <si>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</si>
  <si>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</si>
  <si>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</si>
  <si>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</si>
  <si>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</si>
  <si>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</si>
  <si>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</si>
  <si>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</si>
  <si>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</si>
  <si>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</si>
  <si>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</si>
  <si>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</si>
  <si>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</si>
  <si>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</si>
  <si>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</si>
  <si>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</si>
  <si>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</si>
  <si>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</si>
  <si>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</si>
  <si>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</si>
  <si>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</si>
  <si>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</si>
  <si>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</si>
  <si>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</si>
  <si>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</si>
  <si>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</si>
  <si>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</si>
  <si>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</si>
  <si>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</si>
  <si>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</si>
  <si>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</si>
  <si>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</si>
  <si>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</si>
  <si>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</si>
  <si>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</si>
  <si>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</si>
  <si>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</si>
  <si>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</si>
  <si>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</si>
  <si>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</si>
  <si>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</si>
  <si>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</si>
  <si>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</si>
  <si>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</si>
  <si>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</si>
  <si>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</si>
  <si>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</si>
  <si>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</si>
  <si>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</si>
  <si>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</si>
  <si>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</si>
  <si>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</si>
  <si>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</si>
  <si>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</si>
  <si>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</si>
  <si>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</si>
  <si>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</si>
  <si>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</si>
  <si>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</si>
  <si>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</si>
  <si>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</si>
  <si>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</si>
  <si>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</si>
  <si>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</si>
  <si>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</si>
  <si>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</si>
  <si>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</si>
  <si>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</si>
  <si>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</si>
  <si>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</si>
  <si>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</si>
  <si>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</si>
  <si>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</si>
  <si>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</si>
  <si>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</si>
  <si>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</si>
  <si>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</si>
  <si>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</si>
  <si>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</si>
  <si>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</si>
  <si>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</si>
  <si>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</si>
  <si>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</si>
  <si>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</si>
  <si>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</si>
  <si>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</si>
  <si>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</si>
  <si>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</si>
  <si>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</si>
  <si>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</si>
  <si>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</si>
  <si>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</si>
  <si>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</si>
  <si>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</si>
  <si>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</si>
  <si>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</si>
  <si>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</si>
  <si>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</si>
  <si>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</si>
  <si>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</si>
  <si>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</si>
  <si>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</si>
  <si>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</si>
  <si>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</si>
  <si>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</si>
  <si>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</si>
  <si>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</si>
  <si>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</si>
  <si>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</si>
  <si>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</si>
  <si>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</si>
  <si>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</si>
  <si>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</si>
  <si>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</si>
  <si>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</si>
  <si>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</si>
  <si>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</si>
  <si>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</si>
  <si>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</si>
  <si>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</si>
  <si>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</si>
  <si>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</si>
  <si>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</si>
  <si>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</si>
  <si>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</si>
  <si>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</si>
  <si>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</si>
  <si>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</si>
  <si>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</si>
  <si>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</si>
  <si>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</si>
  <si>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</si>
  <si>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</si>
  <si>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</si>
  <si>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</si>
  <si>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</si>
  <si>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</si>
  <si>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</si>
  <si>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</si>
  <si>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</si>
  <si>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</si>
  <si>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</si>
  <si>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</si>
  <si>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</si>
  <si>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</si>
  <si>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</si>
  <si>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</si>
  <si>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</si>
  <si>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</si>
  <si>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</si>
  <si>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</si>
  <si>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</si>
  <si>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</si>
  <si>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</si>
  <si>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</si>
  <si>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</si>
  <si>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</si>
  <si>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</si>
  <si>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</si>
  <si>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</si>
  <si>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</si>
  <si>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</si>
  <si>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</si>
  <si>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</si>
  <si>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</si>
  <si>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</si>
  <si>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</si>
  <si>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</si>
  <si>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</si>
  <si>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</si>
  <si>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</si>
  <si>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</si>
  <si>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</si>
  <si>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</si>
  <si>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</si>
  <si>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</si>
  <si>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</si>
  <si>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</si>
  <si>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</si>
  <si>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</si>
  <si>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</si>
  <si>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</si>
  <si>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</si>
  <si>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</si>
  <si>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</si>
  <si>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</si>
  <si>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</si>
  <si>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</si>
  <si>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</si>
  <si>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</si>
  <si>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</si>
  <si>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</si>
  <si>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</si>
  <si>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</si>
  <si>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</si>
  <si>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</si>
  <si>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</si>
  <si>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</si>
  <si>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</si>
  <si>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</si>
  <si>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</si>
  <si>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</si>
  <si>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</si>
  <si>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</si>
  <si>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</si>
  <si>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</si>
  <si>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</si>
  <si>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</si>
  <si>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</si>
  <si>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</si>
  <si>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</si>
  <si>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</si>
  <si>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</si>
  <si>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</si>
  <si>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</si>
  <si>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</si>
  <si>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</si>
  <si>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</si>
  <si>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</si>
  <si>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</si>
  <si>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</si>
  <si>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</si>
  <si>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</si>
  <si>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</si>
  <si>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</si>
  <si>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</si>
  <si>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</si>
  <si>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</si>
  <si>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</si>
  <si>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</si>
  <si>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</si>
  <si>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</si>
  <si>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</si>
  <si>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</si>
  <si>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</si>
  <si>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</si>
  <si>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</si>
  <si>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</si>
  <si>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</si>
  <si>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</si>
  <si>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</si>
  <si>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</si>
  <si>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</si>
  <si>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</si>
  <si>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</si>
  <si>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</si>
  <si>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</si>
  <si>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</si>
  <si>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</si>
  <si>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</si>
  <si>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</si>
  <si>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</si>
  <si>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</si>
  <si>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</si>
  <si>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</si>
  <si>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</si>
  <si>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</si>
  <si>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</si>
  <si>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</si>
  <si>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</si>
  <si>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</si>
  <si>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</si>
  <si>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</si>
  <si>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</si>
  <si>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</si>
  <si>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</si>
  <si>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</si>
  <si>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</si>
  <si>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</si>
  <si>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</si>
  <si>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</si>
  <si>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</si>
  <si>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</si>
  <si>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</si>
  <si>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</si>
  <si>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</si>
  <si>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</si>
  <si>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</si>
  <si>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</si>
  <si>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</si>
  <si>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</si>
  <si>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</si>
  <si>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</si>
  <si>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</si>
  <si>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</si>
  <si>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</si>
  <si>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</si>
  <si>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</si>
  <si>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</si>
  <si>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</si>
  <si>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</si>
  <si>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</si>
  <si>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</si>
  <si>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</si>
  <si>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</si>
  <si>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</si>
  <si>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</si>
  <si>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</si>
  <si>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</si>
  <si>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</si>
  <si>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</si>
  <si>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</si>
  <si>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</si>
  <si>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</si>
  <si>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</si>
  <si>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</si>
  <si>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</si>
  <si>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</si>
  <si>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</si>
  <si>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</si>
  <si>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</si>
  <si>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</si>
  <si>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</si>
  <si>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</si>
  <si>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</si>
  <si>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</si>
  <si>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</si>
  <si>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</si>
  <si>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</si>
  <si>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</si>
  <si>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</si>
  <si>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</si>
  <si>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</si>
  <si>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</si>
  <si>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</si>
  <si>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</si>
  <si>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</si>
  <si>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</si>
  <si>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</si>
  <si>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</si>
  <si>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</si>
  <si>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</si>
  <si>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</si>
  <si>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</si>
  <si>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</si>
  <si>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</si>
  <si>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</si>
  <si>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</si>
  <si>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</si>
  <si>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</si>
  <si>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</si>
  <si>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</si>
  <si>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</si>
  <si>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</si>
  <si>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</si>
  <si>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</si>
  <si>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</si>
  <si>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</si>
  <si>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</si>
  <si>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</si>
  <si>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</si>
  <si>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</si>
  <si>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</si>
  <si>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</si>
  <si>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</si>
  <si>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</si>
  <si>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</si>
  <si>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</si>
  <si>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</si>
  <si>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</si>
  <si>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</si>
  <si>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</si>
  <si>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</si>
  <si>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</si>
  <si>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</si>
  <si>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</si>
  <si>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</si>
  <si>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</si>
  <si>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</si>
  <si>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</si>
  <si>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</si>
  <si>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</si>
  <si>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</si>
  <si>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</si>
  <si>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</si>
  <si>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</si>
  <si>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</si>
  <si>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</si>
  <si>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</si>
  <si>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</si>
  <si>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</si>
  <si>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</si>
  <si>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</si>
  <si>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</si>
  <si>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</si>
  <si>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</si>
  <si>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</si>
  <si>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</si>
  <si>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</si>
  <si>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</si>
  <si>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</si>
  <si>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</si>
  <si>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</si>
  <si>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</si>
  <si>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</si>
  <si>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</si>
  <si>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</si>
  <si>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</si>
  <si>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</si>
  <si>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</si>
  <si>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</si>
  <si>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</si>
  <si>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</si>
  <si>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</si>
  <si>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</si>
  <si>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</si>
  <si>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</si>
  <si>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</si>
  <si>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</si>
  <si>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</si>
  <si>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</si>
  <si>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</si>
  <si>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</si>
  <si>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</si>
  <si>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</si>
  <si>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</si>
  <si>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</si>
  <si>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</si>
  <si>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</si>
  <si>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</si>
  <si>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</si>
  <si>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</si>
  <si>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</si>
  <si>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</si>
  <si>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</si>
  <si>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</si>
  <si>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</si>
  <si>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</si>
  <si>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</si>
  <si>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</si>
  <si>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</si>
  <si>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</si>
  <si>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</si>
  <si>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</si>
  <si>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</si>
  <si>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</si>
  <si>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</si>
  <si>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</si>
  <si>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</si>
  <si>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</si>
  <si>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</si>
  <si>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</si>
  <si>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</si>
  <si>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</si>
  <si>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</si>
  <si>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</si>
  <si>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</si>
  <si>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</si>
  <si>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</si>
  <si>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</si>
  <si>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</si>
  <si>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</si>
  <si>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</si>
  <si>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</si>
  <si>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</si>
  <si>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</si>
  <si>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</si>
  <si>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</si>
  <si>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</si>
  <si>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</si>
  <si>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</si>
  <si>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</si>
  <si>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</si>
  <si>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</si>
  <si>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</si>
  <si>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</si>
  <si>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</si>
  <si>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</si>
  <si>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</si>
  <si>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</si>
  <si>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</si>
  <si>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</si>
  <si>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</si>
  <si>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</si>
  <si>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</si>
  <si>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</si>
  <si>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</si>
  <si>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</si>
  <si>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</si>
  <si>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</si>
  <si>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</si>
  <si>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</si>
  <si>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</si>
  <si>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</si>
  <si>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</si>
  <si>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</si>
  <si>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</si>
  <si>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</si>
  <si>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</si>
  <si>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</si>
  <si>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</si>
  <si>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</si>
  <si>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</si>
  <si>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</si>
  <si>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</si>
  <si>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</si>
  <si>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</si>
  <si>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</si>
  <si>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</si>
  <si>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</si>
  <si>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</si>
  <si>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</si>
  <si>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</si>
  <si>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</si>
  <si>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</si>
  <si>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</si>
  <si>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</si>
  <si>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</si>
  <si>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</si>
  <si>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</si>
  <si>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</si>
  <si>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</si>
  <si>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</si>
  <si>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</si>
  <si>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</si>
  <si>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</si>
  <si>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</si>
  <si>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</si>
  <si>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</si>
  <si>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</si>
  <si>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</si>
  <si>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</si>
  <si>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</si>
  <si>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</si>
  <si>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</si>
  <si>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</si>
  <si>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</si>
  <si>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</si>
  <si>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</si>
  <si>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</si>
  <si>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</si>
  <si>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</si>
  <si>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</si>
  <si>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</si>
  <si>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</si>
  <si>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</si>
  <si>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</si>
  <si>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</si>
  <si>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</si>
  <si>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</si>
  <si>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</si>
  <si>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</si>
  <si>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</si>
  <si>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</si>
  <si>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</si>
  <si>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</si>
  <si>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</si>
  <si>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</si>
  <si>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</si>
  <si>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</si>
  <si>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</si>
  <si>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</si>
  <si>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</si>
  <si>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</si>
  <si>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</si>
  <si>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</si>
  <si>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</si>
  <si>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</si>
  <si>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</si>
  <si>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</si>
  <si>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</si>
  <si>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</si>
  <si>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</si>
  <si>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</si>
  <si>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</si>
  <si>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</si>
  <si>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</si>
  <si>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</si>
  <si>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</si>
  <si>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</si>
  <si>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</si>
  <si>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</si>
  <si>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</si>
  <si>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</si>
  <si>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</si>
  <si>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</si>
  <si>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</si>
  <si>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</si>
  <si>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</si>
  <si>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</si>
  <si>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</si>
  <si>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</si>
  <si>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</si>
  <si>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</si>
  <si>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</si>
  <si>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</si>
  <si>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</si>
  <si>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</si>
  <si>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</si>
  <si>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</si>
  <si>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</si>
  <si>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</si>
  <si>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</si>
  <si>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</si>
  <si>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</si>
  <si>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</si>
  <si>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</si>
  <si>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</si>
  <si>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</si>
  <si>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</si>
  <si>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</si>
  <si>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</si>
  <si>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</si>
  <si>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</si>
  <si>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</si>
  <si>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</si>
  <si>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</si>
  <si>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</si>
  <si>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</si>
  <si>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</si>
  <si>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</si>
  <si>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</si>
  <si>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</si>
  <si>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</si>
  <si>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</si>
  <si>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</si>
  <si>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</si>
  <si>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</si>
  <si>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</si>
  <si>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</si>
  <si>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</si>
  <si>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</si>
  <si>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</si>
  <si>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</si>
  <si>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</si>
  <si>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</si>
  <si>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</si>
  <si>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</si>
  <si>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</si>
  <si>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</si>
  <si>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</si>
  <si>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</si>
  <si>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</si>
  <si>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</si>
  <si>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</si>
  <si>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</si>
  <si>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</si>
  <si>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</si>
  <si>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</si>
  <si>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</si>
  <si>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</si>
  <si>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</si>
  <si>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</si>
  <si>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</si>
  <si>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</si>
  <si>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</si>
  <si>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</si>
  <si>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</si>
  <si>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</si>
  <si>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</si>
  <si>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</si>
  <si>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</si>
  <si>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</si>
  <si>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</si>
  <si>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</si>
  <si>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</si>
  <si>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</si>
  <si>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</si>
  <si>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</si>
  <si>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</si>
  <si>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</si>
  <si>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</si>
  <si>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</si>
  <si>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</si>
  <si>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</si>
  <si>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</si>
  <si>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</si>
  <si>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</si>
  <si>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</si>
  <si>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</si>
  <si>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</si>
  <si>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</si>
  <si>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</si>
  <si>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</si>
  <si>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</si>
  <si>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</si>
  <si>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</si>
  <si>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</si>
  <si>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</si>
  <si>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</si>
  <si>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</si>
  <si>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</si>
  <si>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</si>
  <si>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</si>
  <si>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</si>
  <si>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</si>
  <si>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</si>
  <si>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</si>
  <si>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</si>
  <si>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</si>
  <si>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</si>
  <si>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</si>
  <si>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</si>
  <si>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</si>
  <si>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</si>
  <si>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</si>
  <si>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</si>
  <si>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</si>
  <si>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</si>
  <si>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</si>
  <si>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</si>
  <si>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</si>
  <si>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</si>
  <si>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</si>
  <si>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</si>
  <si>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</si>
  <si>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</si>
  <si>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</si>
  <si>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</si>
  <si>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</si>
  <si>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</si>
  <si>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</si>
  <si>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</si>
  <si>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</si>
  <si>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</si>
  <si>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</si>
  <si>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</si>
  <si>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</si>
  <si>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</si>
  <si>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</si>
  <si>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</si>
  <si>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</si>
  <si>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</si>
  <si>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</si>
  <si>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</si>
  <si>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</si>
  <si>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</si>
  <si>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</si>
  <si>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</si>
  <si>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</si>
  <si>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</si>
  <si>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</si>
  <si>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</si>
  <si>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</si>
  <si>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</si>
  <si>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</si>
  <si>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</si>
  <si>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</si>
  <si>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</si>
  <si>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</si>
  <si>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</si>
  <si>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</si>
  <si>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</si>
  <si>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</si>
  <si>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</si>
  <si>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</si>
  <si>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</si>
  <si>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</si>
  <si>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</si>
  <si>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</si>
  <si>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</si>
  <si>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</si>
  <si>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</si>
  <si>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</si>
  <si>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</si>
  <si>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</si>
  <si>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</si>
  <si>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</si>
  <si>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</si>
  <si>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</si>
  <si>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</si>
  <si>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</si>
  <si>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</si>
  <si>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</si>
  <si>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</si>
  <si>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</si>
  <si>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</si>
  <si>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</si>
  <si>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</si>
  <si>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</si>
  <si>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</si>
  <si>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</si>
  <si>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</si>
  <si>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</si>
  <si>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</si>
  <si>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</si>
  <si>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</si>
  <si>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</si>
  <si>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</si>
  <si>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</si>
  <si>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</si>
  <si>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</si>
  <si>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</si>
  <si>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</si>
  <si>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</si>
  <si>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</si>
  <si>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</si>
  <si>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</si>
  <si>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</si>
  <si>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</si>
  <si>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</si>
  <si>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</si>
  <si>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</si>
  <si>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</si>
  <si>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</si>
  <si>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</si>
  <si>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</si>
  <si>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</si>
  <si>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</si>
  <si>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</si>
  <si>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</si>
  <si>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</si>
  <si>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</si>
  <si>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</si>
  <si>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</si>
  <si>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</si>
  <si>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</si>
  <si>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</si>
  <si>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</si>
  <si>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</si>
  <si>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</si>
  <si>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</si>
  <si>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</si>
  <si>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</si>
  <si>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</si>
  <si>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</si>
  <si>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</si>
  <si>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</si>
  <si>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</si>
  <si>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</si>
  <si>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</si>
  <si>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</si>
  <si>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Escola7</t>
  </si>
  <si>
    <t>Ponto1</t>
  </si>
  <si>
    <t>Ponto2</t>
  </si>
  <si>
    <t>Ponto3</t>
  </si>
  <si>
    <t>Ponto4</t>
  </si>
  <si>
    <t>Ponto5</t>
  </si>
  <si>
    <t>Ponto6</t>
  </si>
  <si>
    <t>Ponto7</t>
  </si>
  <si>
    <t>Ponto8</t>
  </si>
  <si>
    <t>Ponto9</t>
  </si>
  <si>
    <t>Ponto10</t>
  </si>
  <si>
    <t>Ponto11</t>
  </si>
  <si>
    <t>Ponto12</t>
  </si>
  <si>
    <t>Ponto13</t>
  </si>
  <si>
    <t>Ponto14</t>
  </si>
  <si>
    <t>Ponto15</t>
  </si>
  <si>
    <t>Av1GeD47EoXrYphwYPlUmraFxb7IquNTVelQO4LIEcYZwsz5erhUQbHCISnqOJdD</t>
  </si>
  <si>
    <t>Distâncias de condução do Bing Maps (km) / Velocidade média do veículo</t>
  </si>
  <si>
    <t>Ônibus</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</si>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</sst>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0"/>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9">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4" fontId="22" fillId="36" borderId="18" xfId="0" applyNumberFormat="1" applyFont="1" applyFill="1" applyBorder="1"/>
    <xf numFmtId="164" fontId="22" fillId="37" borderId="19" xfId="0" applyNumberFormat="1" applyFont="1" applyFill="1" applyBorder="1"/>
    <xf numFmtId="164" fontId="22" fillId="36" borderId="20" xfId="0" applyNumberFormat="1" applyFont="1" applyFill="1" applyBorder="1"/>
    <xf numFmtId="164" fontId="22" fillId="37" borderId="20" xfId="0" applyNumberFormat="1"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0" fontId="22" fillId="2" borderId="18" xfId="0" applyFont="1" applyFill="1" applyBorder="1"/>
    <xf numFmtId="166" fontId="22" fillId="2" borderId="18"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xf numFmtId="0" fontId="22" fillId="37" borderId="21" xfId="0" applyFont="1" applyFill="1" applyBorder="1"/>
    <xf numFmtId="164" fontId="22" fillId="37" borderId="21" xfId="0" applyNumberFormat="1" applyFont="1" applyFill="1" applyBorder="1"/>
    <xf numFmtId="165" fontId="22" fillId="37" borderId="21" xfId="0" applyNumberFormat="1" applyFont="1" applyFill="1" applyBorder="1"/>
    <xf numFmtId="166" fontId="22" fillId="37" borderId="21" xfId="0" applyNumberFormat="1" applyFont="1" applyFill="1" applyBorder="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17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xmlMaps" Target="xmlMap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0056268074692125E-2"/>
          <c:y val="1.5252755316888524E-2"/>
          <c:w val="0.94444034824663348"/>
          <c:h val="0.98469397591894081"/>
        </c:manualLayout>
      </c:layout>
      <c:scatterChart>
        <c:scatterStyle val="lineMarker"/>
        <c:varyColors val="0"/>
        <c:ser>
          <c:idx val="0"/>
          <c:order val="0"/>
          <c:spPr>
            <a:ln w="28575">
              <a:noFill/>
            </a:ln>
          </c:spPr>
          <c:marker>
            <c:symbol val="circle"/>
            <c:size val="7"/>
          </c:marker>
          <c:dPt>
            <c:idx val="0"/>
            <c:marker>
              <c:symbol val="square"/>
              <c:size val="7"/>
              <c:spPr>
                <a:solidFill>
                  <a:srgbClr val="000000"/>
                </a:solidFill>
                <a:ln>
                  <a:solidFill>
                    <a:srgbClr val="000000"/>
                  </a:solidFill>
                  <a:prstDash val="solid"/>
                </a:ln>
              </c:spPr>
            </c:marker>
            <c:bubble3D val="0"/>
            <c:extLst>
              <c:ext xmlns:c16="http://schemas.microsoft.com/office/drawing/2014/chart" uri="{C3380CC4-5D6E-409C-BE32-E72D297353CC}">
                <c16:uniqueId val="{00000001-597E-42BB-B1A6-1C6F2E3763A2}"/>
              </c:ext>
            </c:extLst>
          </c:dPt>
          <c:dPt>
            <c:idx val="1"/>
            <c:marker>
              <c:spPr>
                <a:solidFill>
                  <a:srgbClr val="339966"/>
                </a:solidFill>
                <a:ln>
                  <a:solidFill>
                    <a:srgbClr val="339966"/>
                  </a:solidFill>
                  <a:prstDash val="solid"/>
                </a:ln>
              </c:spPr>
            </c:marker>
            <c:bubble3D val="0"/>
            <c:extLst>
              <c:ext xmlns:c16="http://schemas.microsoft.com/office/drawing/2014/chart" uri="{C3380CC4-5D6E-409C-BE32-E72D297353CC}">
                <c16:uniqueId val="{00000002-597E-42BB-B1A6-1C6F2E3763A2}"/>
              </c:ext>
            </c:extLst>
          </c:dPt>
          <c:dPt>
            <c:idx val="2"/>
            <c:marker>
              <c:spPr>
                <a:solidFill>
                  <a:srgbClr val="339966"/>
                </a:solidFill>
                <a:ln>
                  <a:solidFill>
                    <a:srgbClr val="339966"/>
                  </a:solidFill>
                  <a:prstDash val="solid"/>
                </a:ln>
              </c:spPr>
            </c:marker>
            <c:bubble3D val="0"/>
            <c:extLst>
              <c:ext xmlns:c16="http://schemas.microsoft.com/office/drawing/2014/chart" uri="{C3380CC4-5D6E-409C-BE32-E72D297353CC}">
                <c16:uniqueId val="{00000003-597E-42BB-B1A6-1C6F2E3763A2}"/>
              </c:ext>
            </c:extLst>
          </c:dPt>
          <c:dPt>
            <c:idx val="3"/>
            <c:marker>
              <c:spPr>
                <a:solidFill>
                  <a:srgbClr val="339966"/>
                </a:solidFill>
                <a:ln>
                  <a:solidFill>
                    <a:srgbClr val="339966"/>
                  </a:solidFill>
                  <a:prstDash val="solid"/>
                </a:ln>
              </c:spPr>
            </c:marker>
            <c:bubble3D val="0"/>
            <c:extLst>
              <c:ext xmlns:c16="http://schemas.microsoft.com/office/drawing/2014/chart" uri="{C3380CC4-5D6E-409C-BE32-E72D297353CC}">
                <c16:uniqueId val="{00000004-597E-42BB-B1A6-1C6F2E3763A2}"/>
              </c:ext>
            </c:extLst>
          </c:dPt>
          <c:dPt>
            <c:idx val="4"/>
            <c:marker>
              <c:spPr>
                <a:solidFill>
                  <a:srgbClr val="339966"/>
                </a:solidFill>
                <a:ln>
                  <a:solidFill>
                    <a:srgbClr val="339966"/>
                  </a:solidFill>
                  <a:prstDash val="solid"/>
                </a:ln>
              </c:spPr>
            </c:marker>
            <c:bubble3D val="0"/>
            <c:extLst>
              <c:ext xmlns:c16="http://schemas.microsoft.com/office/drawing/2014/chart" uri="{C3380CC4-5D6E-409C-BE32-E72D297353CC}">
                <c16:uniqueId val="{00000005-597E-42BB-B1A6-1C6F2E3763A2}"/>
              </c:ext>
            </c:extLst>
          </c:dPt>
          <c:dPt>
            <c:idx val="5"/>
            <c:marker>
              <c:spPr>
                <a:solidFill>
                  <a:srgbClr val="339966"/>
                </a:solidFill>
                <a:ln>
                  <a:solidFill>
                    <a:srgbClr val="339966"/>
                  </a:solidFill>
                  <a:prstDash val="solid"/>
                </a:ln>
              </c:spPr>
            </c:marker>
            <c:bubble3D val="0"/>
            <c:extLst>
              <c:ext xmlns:c16="http://schemas.microsoft.com/office/drawing/2014/chart" uri="{C3380CC4-5D6E-409C-BE32-E72D297353CC}">
                <c16:uniqueId val="{00000006-597E-42BB-B1A6-1C6F2E3763A2}"/>
              </c:ext>
            </c:extLst>
          </c:dPt>
          <c:dPt>
            <c:idx val="6"/>
            <c:marker>
              <c:spPr>
                <a:solidFill>
                  <a:srgbClr val="339966"/>
                </a:solidFill>
                <a:ln>
                  <a:solidFill>
                    <a:srgbClr val="339966"/>
                  </a:solidFill>
                  <a:prstDash val="solid"/>
                </a:ln>
              </c:spPr>
            </c:marker>
            <c:bubble3D val="0"/>
            <c:extLst>
              <c:ext xmlns:c16="http://schemas.microsoft.com/office/drawing/2014/chart" uri="{C3380CC4-5D6E-409C-BE32-E72D297353CC}">
                <c16:uniqueId val="{00000007-597E-42BB-B1A6-1C6F2E3763A2}"/>
              </c:ext>
            </c:extLst>
          </c:dPt>
          <c:dPt>
            <c:idx val="7"/>
            <c:marker>
              <c:spPr>
                <a:solidFill>
                  <a:srgbClr val="339966"/>
                </a:solidFill>
                <a:ln>
                  <a:solidFill>
                    <a:srgbClr val="339966"/>
                  </a:solidFill>
                  <a:prstDash val="solid"/>
                </a:ln>
              </c:spPr>
            </c:marker>
            <c:bubble3D val="0"/>
            <c:extLst>
              <c:ext xmlns:c16="http://schemas.microsoft.com/office/drawing/2014/chart" uri="{C3380CC4-5D6E-409C-BE32-E72D297353CC}">
                <c16:uniqueId val="{00000008-597E-42BB-B1A6-1C6F2E3763A2}"/>
              </c:ext>
            </c:extLst>
          </c:dPt>
          <c:dPt>
            <c:idx val="8"/>
            <c:marker>
              <c:spPr>
                <a:solidFill>
                  <a:srgbClr val="339966"/>
                </a:solidFill>
                <a:ln>
                  <a:solidFill>
                    <a:srgbClr val="339966"/>
                  </a:solidFill>
                  <a:prstDash val="solid"/>
                </a:ln>
              </c:spPr>
            </c:marker>
            <c:bubble3D val="0"/>
            <c:extLst>
              <c:ext xmlns:c16="http://schemas.microsoft.com/office/drawing/2014/chart" uri="{C3380CC4-5D6E-409C-BE32-E72D297353CC}">
                <c16:uniqueId val="{00000009-597E-42BB-B1A6-1C6F2E3763A2}"/>
              </c:ext>
            </c:extLst>
          </c:dPt>
          <c:dPt>
            <c:idx val="9"/>
            <c:marker>
              <c:spPr>
                <a:solidFill>
                  <a:srgbClr val="339966"/>
                </a:solidFill>
                <a:ln>
                  <a:solidFill>
                    <a:srgbClr val="339966"/>
                  </a:solidFill>
                  <a:prstDash val="solid"/>
                </a:ln>
              </c:spPr>
            </c:marker>
            <c:bubble3D val="0"/>
            <c:extLst>
              <c:ext xmlns:c16="http://schemas.microsoft.com/office/drawing/2014/chart" uri="{C3380CC4-5D6E-409C-BE32-E72D297353CC}">
                <c16:uniqueId val="{0000000A-597E-42BB-B1A6-1C6F2E3763A2}"/>
              </c:ext>
            </c:extLst>
          </c:dPt>
          <c:dPt>
            <c:idx val="10"/>
            <c:marker>
              <c:spPr>
                <a:solidFill>
                  <a:srgbClr val="339966"/>
                </a:solidFill>
                <a:ln>
                  <a:solidFill>
                    <a:srgbClr val="339966"/>
                  </a:solidFill>
                  <a:prstDash val="solid"/>
                </a:ln>
              </c:spPr>
            </c:marker>
            <c:bubble3D val="0"/>
            <c:extLst>
              <c:ext xmlns:c16="http://schemas.microsoft.com/office/drawing/2014/chart" uri="{C3380CC4-5D6E-409C-BE32-E72D297353CC}">
                <c16:uniqueId val="{0000000B-597E-42BB-B1A6-1C6F2E3763A2}"/>
              </c:ext>
            </c:extLst>
          </c:dPt>
          <c:dPt>
            <c:idx val="11"/>
            <c:marker>
              <c:spPr>
                <a:solidFill>
                  <a:srgbClr val="339966"/>
                </a:solidFill>
                <a:ln>
                  <a:solidFill>
                    <a:srgbClr val="339966"/>
                  </a:solidFill>
                  <a:prstDash val="solid"/>
                </a:ln>
              </c:spPr>
            </c:marker>
            <c:bubble3D val="0"/>
            <c:extLst>
              <c:ext xmlns:c16="http://schemas.microsoft.com/office/drawing/2014/chart" uri="{C3380CC4-5D6E-409C-BE32-E72D297353CC}">
                <c16:uniqueId val="{0000000C-597E-42BB-B1A6-1C6F2E3763A2}"/>
              </c:ext>
            </c:extLst>
          </c:dPt>
          <c:dPt>
            <c:idx val="12"/>
            <c:marker>
              <c:spPr>
                <a:solidFill>
                  <a:srgbClr val="339966"/>
                </a:solidFill>
                <a:ln>
                  <a:solidFill>
                    <a:srgbClr val="339966"/>
                  </a:solidFill>
                  <a:prstDash val="solid"/>
                </a:ln>
              </c:spPr>
            </c:marker>
            <c:bubble3D val="0"/>
            <c:extLst>
              <c:ext xmlns:c16="http://schemas.microsoft.com/office/drawing/2014/chart" uri="{C3380CC4-5D6E-409C-BE32-E72D297353CC}">
                <c16:uniqueId val="{0000000D-597E-42BB-B1A6-1C6F2E3763A2}"/>
              </c:ext>
            </c:extLst>
          </c:dPt>
          <c:dPt>
            <c:idx val="13"/>
            <c:marker>
              <c:spPr>
                <a:solidFill>
                  <a:srgbClr val="339966"/>
                </a:solidFill>
                <a:ln>
                  <a:solidFill>
                    <a:srgbClr val="339966"/>
                  </a:solidFill>
                  <a:prstDash val="solid"/>
                </a:ln>
              </c:spPr>
            </c:marker>
            <c:bubble3D val="0"/>
            <c:extLst>
              <c:ext xmlns:c16="http://schemas.microsoft.com/office/drawing/2014/chart" uri="{C3380CC4-5D6E-409C-BE32-E72D297353CC}">
                <c16:uniqueId val="{0000000E-597E-42BB-B1A6-1C6F2E3763A2}"/>
              </c:ext>
            </c:extLst>
          </c:dPt>
          <c:dPt>
            <c:idx val="14"/>
            <c:marker>
              <c:spPr>
                <a:solidFill>
                  <a:srgbClr val="339966"/>
                </a:solidFill>
                <a:ln>
                  <a:solidFill>
                    <a:srgbClr val="339966"/>
                  </a:solidFill>
                  <a:prstDash val="solid"/>
                </a:ln>
              </c:spPr>
            </c:marker>
            <c:bubble3D val="0"/>
            <c:extLst>
              <c:ext xmlns:c16="http://schemas.microsoft.com/office/drawing/2014/chart" uri="{C3380CC4-5D6E-409C-BE32-E72D297353CC}">
                <c16:uniqueId val="{0000000F-597E-42BB-B1A6-1C6F2E3763A2}"/>
              </c:ext>
            </c:extLst>
          </c:dPt>
          <c:dPt>
            <c:idx val="15"/>
            <c:marker>
              <c:spPr>
                <a:solidFill>
                  <a:srgbClr val="339966"/>
                </a:solidFill>
                <a:ln>
                  <a:solidFill>
                    <a:srgbClr val="339966"/>
                  </a:solidFill>
                  <a:prstDash val="solid"/>
                </a:ln>
              </c:spPr>
            </c:marker>
            <c:bubble3D val="0"/>
            <c:extLst>
              <c:ext xmlns:c16="http://schemas.microsoft.com/office/drawing/2014/chart" uri="{C3380CC4-5D6E-409C-BE32-E72D297353CC}">
                <c16:uniqueId val="{00000010-597E-42BB-B1A6-1C6F2E3763A2}"/>
              </c:ext>
            </c:extLst>
          </c:dPt>
          <c:dLbls>
            <c:dLbl>
              <c:idx val="0"/>
              <c:tx>
                <c:rich>
                  <a:bodyPr/>
                  <a:lstStyle/>
                  <a:p>
                    <a:r>
                      <a:rPr lang="en-US"/>
                      <a:t>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97E-42BB-B1A6-1C6F2E3763A2}"/>
                </c:ext>
              </c:extLst>
            </c:dLbl>
            <c:dLbl>
              <c:idx val="1"/>
              <c:tx>
                <c:rich>
                  <a:bodyPr/>
                  <a:lstStyle/>
                  <a:p>
                    <a:r>
                      <a:rPr lang="en-US"/>
                      <a:t>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97E-42BB-B1A6-1C6F2E3763A2}"/>
                </c:ext>
              </c:extLst>
            </c:dLbl>
            <c:dLbl>
              <c:idx val="2"/>
              <c:tx>
                <c:rich>
                  <a:bodyPr/>
                  <a:lstStyle/>
                  <a:p>
                    <a:r>
                      <a:rPr lang="en-US"/>
                      <a:t>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597E-42BB-B1A6-1C6F2E3763A2}"/>
                </c:ext>
              </c:extLst>
            </c:dLbl>
            <c:dLbl>
              <c:idx val="3"/>
              <c:tx>
                <c:rich>
                  <a:bodyPr/>
                  <a:lstStyle/>
                  <a:p>
                    <a:r>
                      <a:rPr lang="en-US"/>
                      <a:t>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597E-42BB-B1A6-1C6F2E3763A2}"/>
                </c:ext>
              </c:extLst>
            </c:dLbl>
            <c:dLbl>
              <c:idx val="4"/>
              <c:tx>
                <c:rich>
                  <a:bodyPr/>
                  <a:lstStyle/>
                  <a:p>
                    <a:r>
                      <a:rPr lang="en-US"/>
                      <a:t>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597E-42BB-B1A6-1C6F2E3763A2}"/>
                </c:ext>
              </c:extLst>
            </c:dLbl>
            <c:dLbl>
              <c:idx val="5"/>
              <c:tx>
                <c:rich>
                  <a:bodyPr/>
                  <a:lstStyle/>
                  <a:p>
                    <a:r>
                      <a:rPr lang="en-US"/>
                      <a:t>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597E-42BB-B1A6-1C6F2E3763A2}"/>
                </c:ext>
              </c:extLst>
            </c:dLbl>
            <c:dLbl>
              <c:idx val="6"/>
              <c:tx>
                <c:rich>
                  <a:bodyPr/>
                  <a:lstStyle/>
                  <a:p>
                    <a:r>
                      <a:rPr lang="en-US"/>
                      <a:t>6</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597E-42BB-B1A6-1C6F2E3763A2}"/>
                </c:ext>
              </c:extLst>
            </c:dLbl>
            <c:dLbl>
              <c:idx val="7"/>
              <c:tx>
                <c:rich>
                  <a:bodyPr/>
                  <a:lstStyle/>
                  <a:p>
                    <a:r>
                      <a:rPr lang="en-US"/>
                      <a:t>7</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597E-42BB-B1A6-1C6F2E3763A2}"/>
                </c:ext>
              </c:extLst>
            </c:dLbl>
            <c:dLbl>
              <c:idx val="8"/>
              <c:tx>
                <c:rich>
                  <a:bodyPr/>
                  <a:lstStyle/>
                  <a:p>
                    <a:r>
                      <a:rPr lang="en-US"/>
                      <a:t>8</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597E-42BB-B1A6-1C6F2E3763A2}"/>
                </c:ext>
              </c:extLst>
            </c:dLbl>
            <c:dLbl>
              <c:idx val="9"/>
              <c:tx>
                <c:rich>
                  <a:bodyPr/>
                  <a:lstStyle/>
                  <a:p>
                    <a:r>
                      <a:rPr lang="en-US"/>
                      <a:t>9</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597E-42BB-B1A6-1C6F2E3763A2}"/>
                </c:ext>
              </c:extLst>
            </c:dLbl>
            <c:dLbl>
              <c:idx val="10"/>
              <c:tx>
                <c:rich>
                  <a:bodyPr/>
                  <a:lstStyle/>
                  <a:p>
                    <a:r>
                      <a:rPr lang="en-US"/>
                      <a:t>10</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597E-42BB-B1A6-1C6F2E3763A2}"/>
                </c:ext>
              </c:extLst>
            </c:dLbl>
            <c:dLbl>
              <c:idx val="11"/>
              <c:tx>
                <c:rich>
                  <a:bodyPr/>
                  <a:lstStyle/>
                  <a:p>
                    <a:r>
                      <a:rPr lang="en-US"/>
                      <a:t>11</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597E-42BB-B1A6-1C6F2E3763A2}"/>
                </c:ext>
              </c:extLst>
            </c:dLbl>
            <c:dLbl>
              <c:idx val="12"/>
              <c:tx>
                <c:rich>
                  <a:bodyPr/>
                  <a:lstStyle/>
                  <a:p>
                    <a:r>
                      <a:rPr lang="en-US"/>
                      <a:t>12</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597E-42BB-B1A6-1C6F2E3763A2}"/>
                </c:ext>
              </c:extLst>
            </c:dLbl>
            <c:dLbl>
              <c:idx val="13"/>
              <c:tx>
                <c:rich>
                  <a:bodyPr/>
                  <a:lstStyle/>
                  <a:p>
                    <a:r>
                      <a:rPr lang="en-US"/>
                      <a:t>13</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597E-42BB-B1A6-1C6F2E3763A2}"/>
                </c:ext>
              </c:extLst>
            </c:dLbl>
            <c:dLbl>
              <c:idx val="14"/>
              <c:tx>
                <c:rich>
                  <a:bodyPr/>
                  <a:lstStyle/>
                  <a:p>
                    <a:r>
                      <a:rPr lang="en-US"/>
                      <a:t>14</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597E-42BB-B1A6-1C6F2E3763A2}"/>
                </c:ext>
              </c:extLst>
            </c:dLbl>
            <c:dLbl>
              <c:idx val="15"/>
              <c:tx>
                <c:rich>
                  <a:bodyPr/>
                  <a:lstStyle/>
                  <a:p>
                    <a:r>
                      <a:rPr lang="en-US"/>
                      <a:t>15</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597E-42BB-B1A6-1C6F2E3763A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Ref>
              <c:f>'1. Locais'!$E$2:$E$17</c:f>
              <c:numCache>
                <c:formatCode>0.0000000</c:formatCode>
                <c:ptCount val="16"/>
                <c:pt idx="0">
                  <c:v>-48.342193999999999</c:v>
                </c:pt>
                <c:pt idx="1">
                  <c:v>-48.244219600000001</c:v>
                </c:pt>
                <c:pt idx="2">
                  <c:v>-48.220754999999997</c:v>
                </c:pt>
                <c:pt idx="3">
                  <c:v>-48.2241882</c:v>
                </c:pt>
                <c:pt idx="4">
                  <c:v>-48.281985599999999</c:v>
                </c:pt>
                <c:pt idx="5">
                  <c:v>-48.310142200000001</c:v>
                </c:pt>
                <c:pt idx="6">
                  <c:v>-48.257515300000001</c:v>
                </c:pt>
                <c:pt idx="7">
                  <c:v>-48.249821599999997</c:v>
                </c:pt>
                <c:pt idx="8">
                  <c:v>-48.328195399999998</c:v>
                </c:pt>
                <c:pt idx="9">
                  <c:v>-48.3372934</c:v>
                </c:pt>
                <c:pt idx="10">
                  <c:v>-48.315149099999999</c:v>
                </c:pt>
                <c:pt idx="11">
                  <c:v>-48.300901199999998</c:v>
                </c:pt>
                <c:pt idx="12">
                  <c:v>-48.270878400000001</c:v>
                </c:pt>
                <c:pt idx="13">
                  <c:v>-48.283127399999998</c:v>
                </c:pt>
                <c:pt idx="14">
                  <c:v>-48.275230999999998</c:v>
                </c:pt>
                <c:pt idx="15">
                  <c:v>-48.274801799999999</c:v>
                </c:pt>
              </c:numCache>
            </c:numRef>
          </c:xVal>
          <c:yVal>
            <c:numRef>
              <c:f>'1. Locais'!$D$2:$D$17</c:f>
              <c:numCache>
                <c:formatCode>0.0000000</c:formatCode>
                <c:ptCount val="16"/>
                <c:pt idx="0">
                  <c:v>-10.2185887</c:v>
                </c:pt>
                <c:pt idx="1">
                  <c:v>-10.2406319</c:v>
                </c:pt>
                <c:pt idx="2">
                  <c:v>-10.2421262</c:v>
                </c:pt>
                <c:pt idx="3">
                  <c:v>-10.238409799999999</c:v>
                </c:pt>
                <c:pt idx="4">
                  <c:v>-10.239022200000001</c:v>
                </c:pt>
                <c:pt idx="5">
                  <c:v>-10.229994899999999</c:v>
                </c:pt>
                <c:pt idx="6">
                  <c:v>-10.2511083</c:v>
                </c:pt>
                <c:pt idx="7">
                  <c:v>-10.2477339</c:v>
                </c:pt>
                <c:pt idx="8">
                  <c:v>-10.224122100000001</c:v>
                </c:pt>
                <c:pt idx="9">
                  <c:v>-10.2210813</c:v>
                </c:pt>
                <c:pt idx="10">
                  <c:v>-10.2301193</c:v>
                </c:pt>
                <c:pt idx="11">
                  <c:v>-10.2383124</c:v>
                </c:pt>
                <c:pt idx="12">
                  <c:v>-10.2459422</c:v>
                </c:pt>
                <c:pt idx="13">
                  <c:v>-10.2542846</c:v>
                </c:pt>
                <c:pt idx="14">
                  <c:v>-10.2743854</c:v>
                </c:pt>
                <c:pt idx="15">
                  <c:v>-10.263237200000001</c:v>
                </c:pt>
              </c:numCache>
            </c:numRef>
          </c:yVal>
          <c:smooth val="0"/>
          <c:extLst>
            <c:ext xmlns:c16="http://schemas.microsoft.com/office/drawing/2014/chart" uri="{C3380CC4-5D6E-409C-BE32-E72D297353CC}">
              <c16:uniqueId val="{00000000-597E-42BB-B1A6-1C6F2E3763A2}"/>
            </c:ext>
          </c:extLst>
        </c:ser>
        <c:ser>
          <c:idx val="1"/>
          <c:order val="1"/>
          <c:tx>
            <c:strRef>
              <c:f>'4. Solução'!$B$3</c:f>
              <c:strCache>
                <c:ptCount val="1"/>
                <c:pt idx="0">
                  <c:v>V1</c:v>
                </c:pt>
              </c:strCache>
            </c:strRef>
          </c:tx>
          <c:spPr>
            <a:ln w="22225"/>
          </c:spPr>
          <c:marker>
            <c:symbol val="none"/>
          </c:marker>
          <c:xVal>
            <c:numRef>
              <c:f>'4. Solução'!$E$5:$E$21</c:f>
              <c:numCache>
                <c:formatCode>General</c:formatCode>
                <c:ptCount val="17"/>
                <c:pt idx="0">
                  <c:v>-48.342193999999999</c:v>
                </c:pt>
                <c:pt idx="1">
                  <c:v>-48.328195399999998</c:v>
                </c:pt>
                <c:pt idx="2">
                  <c:v>-48.315149099999999</c:v>
                </c:pt>
                <c:pt idx="3">
                  <c:v>-48.275230999999998</c:v>
                </c:pt>
                <c:pt idx="4">
                  <c:v>-48.274801799999999</c:v>
                </c:pt>
                <c:pt idx="5">
                  <c:v>-48.283127399999998</c:v>
                </c:pt>
                <c:pt idx="6">
                  <c:v>-48.220754999999997</c:v>
                </c:pt>
                <c:pt idx="7">
                  <c:v>-48.2241882</c:v>
                </c:pt>
                <c:pt idx="8">
                  <c:v>-48.244219600000001</c:v>
                </c:pt>
                <c:pt idx="9">
                  <c:v>-48.249821599999997</c:v>
                </c:pt>
                <c:pt idx="10">
                  <c:v>-48.257515300000001</c:v>
                </c:pt>
                <c:pt idx="11">
                  <c:v>-48.270878400000001</c:v>
                </c:pt>
                <c:pt idx="12">
                  <c:v>-48.281985599999999</c:v>
                </c:pt>
                <c:pt idx="13">
                  <c:v>-48.300901199999998</c:v>
                </c:pt>
                <c:pt idx="14">
                  <c:v>-48.310142200000001</c:v>
                </c:pt>
                <c:pt idx="15">
                  <c:v>-48.3372934</c:v>
                </c:pt>
                <c:pt idx="16">
                  <c:v>-48.342193999999999</c:v>
                </c:pt>
              </c:numCache>
            </c:numRef>
          </c:xVal>
          <c:yVal>
            <c:numRef>
              <c:f>'4. Solução'!$D$5:$D$21</c:f>
              <c:numCache>
                <c:formatCode>General</c:formatCode>
                <c:ptCount val="17"/>
                <c:pt idx="0">
                  <c:v>-10.2185887</c:v>
                </c:pt>
                <c:pt idx="1">
                  <c:v>-10.224122100000001</c:v>
                </c:pt>
                <c:pt idx="2">
                  <c:v>-10.2301193</c:v>
                </c:pt>
                <c:pt idx="3">
                  <c:v>-10.2743854</c:v>
                </c:pt>
                <c:pt idx="4">
                  <c:v>-10.263237200000001</c:v>
                </c:pt>
                <c:pt idx="5">
                  <c:v>-10.2542846</c:v>
                </c:pt>
                <c:pt idx="6">
                  <c:v>-10.2421262</c:v>
                </c:pt>
                <c:pt idx="7">
                  <c:v>-10.238409799999999</c:v>
                </c:pt>
                <c:pt idx="8">
                  <c:v>-10.2406319</c:v>
                </c:pt>
                <c:pt idx="9">
                  <c:v>-10.2477339</c:v>
                </c:pt>
                <c:pt idx="10">
                  <c:v>-10.2511083</c:v>
                </c:pt>
                <c:pt idx="11">
                  <c:v>-10.2459422</c:v>
                </c:pt>
                <c:pt idx="12">
                  <c:v>-10.239022200000001</c:v>
                </c:pt>
                <c:pt idx="13">
                  <c:v>-10.2383124</c:v>
                </c:pt>
                <c:pt idx="14">
                  <c:v>-10.229994899999999</c:v>
                </c:pt>
                <c:pt idx="15">
                  <c:v>-10.2210813</c:v>
                </c:pt>
                <c:pt idx="16">
                  <c:v>-10.2185887</c:v>
                </c:pt>
              </c:numCache>
            </c:numRef>
          </c:yVal>
          <c:smooth val="0"/>
          <c:extLst>
            <c:ext xmlns:c16="http://schemas.microsoft.com/office/drawing/2014/chart" uri="{C3380CC4-5D6E-409C-BE32-E72D297353CC}">
              <c16:uniqueId val="{00000011-597E-42BB-B1A6-1C6F2E3763A2}"/>
            </c:ext>
          </c:extLst>
        </c:ser>
        <c:dLbls>
          <c:showLegendKey val="0"/>
          <c:showVal val="0"/>
          <c:showCatName val="0"/>
          <c:showSerName val="0"/>
          <c:showPercent val="0"/>
          <c:showBubbleSize val="0"/>
        </c:dLbls>
        <c:axId val="1723079696"/>
        <c:axId val="1723083440"/>
      </c:scatterChart>
      <c:valAx>
        <c:axId val="1723079696"/>
        <c:scaling>
          <c:orientation val="minMax"/>
          <c:max val="-48.17230224609375"/>
          <c:min val="-48.39202880859375"/>
        </c:scaling>
        <c:delete val="1"/>
        <c:axPos val="b"/>
        <c:numFmt formatCode="0.0000000" sourceLinked="1"/>
        <c:majorTickMark val="out"/>
        <c:minorTickMark val="none"/>
        <c:tickLblPos val="nextTo"/>
        <c:crossAx val="1723083440"/>
        <c:crosses val="autoZero"/>
        <c:crossBetween val="midCat"/>
      </c:valAx>
      <c:valAx>
        <c:axId val="1723083440"/>
        <c:scaling>
          <c:orientation val="minMax"/>
          <c:max val="-10.133144652698325"/>
          <c:min val="-10.34937035926801"/>
        </c:scaling>
        <c:delete val="1"/>
        <c:axPos val="l"/>
        <c:numFmt formatCode="0.0000000" sourceLinked="1"/>
        <c:majorTickMark val="out"/>
        <c:minorTickMark val="none"/>
        <c:tickLblPos val="nextTo"/>
        <c:crossAx val="1723079696"/>
        <c:crosses val="autoZero"/>
        <c:crossBetween val="midCat"/>
      </c:valAx>
      <c:spPr>
        <a:blipFill dpi="0" rotWithShape="1">
          <a:blip xmlns:r="http://schemas.openxmlformats.org/officeDocument/2006/relationships" r:embed="rId1">
            <a:alphaModFix amt="50000"/>
          </a:blip>
          <a:srcRect/>
          <a:stretch>
            <a:fillRect/>
          </a:stretch>
        </a:blipFill>
        <a:ln w="12700">
          <a:solidFill>
            <a:srgbClr val="FFFFFF"/>
          </a:solidFill>
        </a:ln>
      </c:spPr>
    </c:plotArea>
    <c:legend>
      <c:legendPos val="r"/>
      <c:legendEntry>
        <c:idx val="0"/>
        <c:delete val="1"/>
      </c:legendEntry>
      <c:layout>
        <c:manualLayout>
          <c:xMode val="edge"/>
          <c:yMode val="edge"/>
          <c:x val="0.90650992125984253"/>
          <c:y val="1.020408163265306E-2"/>
          <c:w val="8.1490078740157484E-2"/>
          <c:h val="0.98469387755102045"/>
        </c:manualLayout>
      </c:layout>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486383</xdr:colOff>
      <xdr:row>26</xdr:row>
      <xdr:rowOff>25400</xdr:rowOff>
    </xdr:to>
    <xdr:graphicFrame macro="">
      <xdr:nvGraphicFramePr>
        <xdr:cNvPr id="2" name="Gráfico 1">
          <a:extLst>
            <a:ext uri="{FF2B5EF4-FFF2-40B4-BE49-F238E27FC236}">
              <a16:creationId xmlns:a16="http://schemas.microsoft.com/office/drawing/2014/main" id="{AF75C0D2-7793-41B3-B027-4FDD516AF8D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11" sqref="C11"/>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4018</v>
      </c>
      <c r="D3" s="3" t="s">
        <v>1761</v>
      </c>
    </row>
    <row r="5" spans="1:4" x14ac:dyDescent="0.25">
      <c r="A5" s="4" t="s">
        <v>1085</v>
      </c>
      <c r="B5" s="3" t="s">
        <v>1387</v>
      </c>
      <c r="C5" s="6">
        <v>1</v>
      </c>
      <c r="D5" s="3" t="s">
        <v>24</v>
      </c>
    </row>
    <row r="6" spans="1:4" x14ac:dyDescent="0.25">
      <c r="A6" s="2"/>
      <c r="B6" s="2" t="s">
        <v>1603</v>
      </c>
      <c r="C6" s="7">
        <v>15</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ED5950CF-825D-43FC-859D-0F1204136744}">
      <formula1>1</formula1>
      <formula2>20</formula2>
    </dataValidation>
    <dataValidation type="whole" allowBlank="1" showInputMessage="1" showErrorMessage="1" error="Insira um número inteiro de 5 a 200" sqref="C6" xr:uid="{73F3AACF-E9A8-4DAF-836F-A63C50753CB9}">
      <formula1>5</formula1>
      <formula2>200</formula2>
    </dataValidation>
    <dataValidation type="list" allowBlank="1" showInputMessage="1" showErrorMessage="1" sqref="C8" xr:uid="{94B6F5BD-8877-45DD-B1C7-961A750DA00D}">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13F49A42-BF34-460C-84CE-DE8B30CE3CB7}">
      <formula1>"Entrada manual,Velocidade média do veículo,Duração de condução do Bing Maps"</formula1>
    </dataValidation>
    <dataValidation type="list" allowBlank="1" showInputMessage="1" showErrorMessage="1" sqref="C10" xr:uid="{46512D85-D8E3-4188-BBDB-2C3C76751121}">
      <formula1>"Mais curto,O mais rápido,Mais rápido - Tráfego em tempo real"</formula1>
    </dataValidation>
    <dataValidation type="decimal" operator="greaterThan" allowBlank="1" showInputMessage="1" showErrorMessage="1" error="Insira um valor positivo" sqref="C11" xr:uid="{9D367372-0BA2-43DE-A2AD-979EC95621FA}">
      <formula1>0.0001</formula1>
    </dataValidation>
    <dataValidation type="whole" allowBlank="1" showInputMessage="1" showErrorMessage="1" error="Insira um número inteiro de 1 a 10" sqref="C13" xr:uid="{0C55B0D5-4EF0-44E4-8144-A74D42D4D7B0}">
      <formula1>1</formula1>
      <formula2>10</formula2>
    </dataValidation>
    <dataValidation type="list" allowBlank="1" showInputMessage="1" showErrorMessage="1" sqref="C15" xr:uid="{ABCA3D7A-1CA4-473D-9829-25632B5BF235}">
      <formula1>"Não,Sim - apenas uma vez no final,Sim - pode fazer isso várias vezes"</formula1>
    </dataValidation>
    <dataValidation type="list" allowBlank="1" showInputMessage="1" showErrorMessage="1" sqref="C16" xr:uid="{61061BD8-058A-4D48-9BDC-452B3E9573AD}">
      <formula1>"Difícil,Suave"</formula1>
    </dataValidation>
    <dataValidation type="list" allowBlank="1" showInputMessage="1" showErrorMessage="1" sqref="C17 C22 C23" xr:uid="{38FD7E65-44F3-4D03-AD4D-D533E04F09A3}">
      <formula1>"sim,Não"</formula1>
    </dataValidation>
    <dataValidation type="list" allowBlank="1" showInputMessage="1" showErrorMessage="1" sqref="C19" xr:uid="{14A6825F-D186-4E31-B6B6-E24199C4C17E}">
      <formula1>"Em branco,Bing Maps"</formula1>
    </dataValidation>
    <dataValidation type="list" allowBlank="1" showInputMessage="1" showErrorMessage="1" sqref="C20" xr:uid="{776CFA57-4C3E-4D39-B9F5-09BC0E4DA105}">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568C83DB-CE60-452A-9CCF-F6FD0E4671FD}">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EB0E-64A7-4223-8865-28E1850E90DB}">
  <dimension ref="A1:L17"/>
  <sheetViews>
    <sheetView topLeftCell="B1" workbookViewId="0">
      <selection activeCell="D4" sqref="D4"/>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4002</v>
      </c>
      <c r="C2" s="29"/>
      <c r="D2" s="33">
        <v>-10.2185887</v>
      </c>
      <c r="E2" s="33">
        <v>-48.342193999999999</v>
      </c>
      <c r="F2" s="37">
        <v>0</v>
      </c>
      <c r="G2" s="37">
        <v>0.99930555555555556</v>
      </c>
      <c r="H2" s="44" t="s">
        <v>1628</v>
      </c>
      <c r="I2" s="45">
        <v>0</v>
      </c>
      <c r="J2" s="44">
        <v>0</v>
      </c>
      <c r="K2" s="44">
        <v>0</v>
      </c>
      <c r="L2" s="44">
        <v>0</v>
      </c>
    </row>
    <row r="3" spans="1:12" ht="15.75" thickTop="1" x14ac:dyDescent="0.25">
      <c r="A3" s="22">
        <v>1</v>
      </c>
      <c r="B3" s="30" t="s">
        <v>4003</v>
      </c>
      <c r="C3" s="30"/>
      <c r="D3" s="34">
        <v>-10.2406319</v>
      </c>
      <c r="E3" s="34">
        <v>-48.244219600000001</v>
      </c>
      <c r="F3" s="38">
        <v>0</v>
      </c>
      <c r="G3" s="38">
        <v>0.99930555555555556</v>
      </c>
      <c r="H3" s="30" t="s">
        <v>1152</v>
      </c>
      <c r="I3" s="41">
        <v>0</v>
      </c>
      <c r="J3" s="30">
        <v>4</v>
      </c>
      <c r="K3" s="30">
        <v>0</v>
      </c>
      <c r="L3" s="30">
        <v>0</v>
      </c>
    </row>
    <row r="4" spans="1:12" ht="15.75" thickBot="1" x14ac:dyDescent="0.3">
      <c r="A4" s="25">
        <v>2</v>
      </c>
      <c r="B4" s="31" t="s">
        <v>4004</v>
      </c>
      <c r="C4" s="31"/>
      <c r="D4" s="35">
        <v>-10.2421262</v>
      </c>
      <c r="E4" s="35">
        <v>-48.220754999999997</v>
      </c>
      <c r="F4" s="39">
        <v>0</v>
      </c>
      <c r="G4" s="39">
        <v>0.99930555555555556</v>
      </c>
      <c r="H4" s="31" t="s">
        <v>1152</v>
      </c>
      <c r="I4" s="42">
        <v>0</v>
      </c>
      <c r="J4" s="31">
        <v>2</v>
      </c>
      <c r="K4" s="31">
        <v>0</v>
      </c>
      <c r="L4" s="31">
        <v>0</v>
      </c>
    </row>
    <row r="5" spans="1:12" ht="15.75" thickTop="1" x14ac:dyDescent="0.25">
      <c r="A5" s="25">
        <v>3</v>
      </c>
      <c r="B5" s="30" t="s">
        <v>4005</v>
      </c>
      <c r="C5" s="32"/>
      <c r="D5" s="36">
        <v>-10.238409799999999</v>
      </c>
      <c r="E5" s="36">
        <v>-48.2241882</v>
      </c>
      <c r="F5" s="40">
        <v>0</v>
      </c>
      <c r="G5" s="40">
        <v>0.99930555555555556</v>
      </c>
      <c r="H5" s="32" t="s">
        <v>1152</v>
      </c>
      <c r="I5" s="43">
        <v>0</v>
      </c>
      <c r="J5" s="32">
        <v>2</v>
      </c>
      <c r="K5" s="32">
        <v>0</v>
      </c>
      <c r="L5" s="32">
        <v>0</v>
      </c>
    </row>
    <row r="6" spans="1:12" ht="15.75" thickBot="1" x14ac:dyDescent="0.3">
      <c r="A6" s="25">
        <v>4</v>
      </c>
      <c r="B6" s="31" t="s">
        <v>4006</v>
      </c>
      <c r="C6" s="31"/>
      <c r="D6" s="35">
        <v>-10.239022200000001</v>
      </c>
      <c r="E6" s="35">
        <v>-48.281985599999999</v>
      </c>
      <c r="F6" s="39">
        <v>0</v>
      </c>
      <c r="G6" s="39">
        <v>0.99930555555555556</v>
      </c>
      <c r="H6" s="31" t="s">
        <v>1152</v>
      </c>
      <c r="I6" s="42">
        <v>0</v>
      </c>
      <c r="J6" s="31">
        <v>4</v>
      </c>
      <c r="K6" s="31">
        <v>0</v>
      </c>
      <c r="L6" s="31">
        <v>0</v>
      </c>
    </row>
    <row r="7" spans="1:12" ht="15.75" thickTop="1" x14ac:dyDescent="0.25">
      <c r="A7" s="25">
        <v>5</v>
      </c>
      <c r="B7" s="30" t="s">
        <v>4007</v>
      </c>
      <c r="C7" s="32"/>
      <c r="D7" s="36">
        <v>-10.229994899999999</v>
      </c>
      <c r="E7" s="36">
        <v>-48.310142200000001</v>
      </c>
      <c r="F7" s="40">
        <v>0</v>
      </c>
      <c r="G7" s="40">
        <v>0.99930555555555556</v>
      </c>
      <c r="H7" s="32" t="s">
        <v>1152</v>
      </c>
      <c r="I7" s="43">
        <v>0</v>
      </c>
      <c r="J7" s="32">
        <v>0</v>
      </c>
      <c r="K7" s="32">
        <v>0</v>
      </c>
      <c r="L7" s="32">
        <v>0</v>
      </c>
    </row>
    <row r="8" spans="1:12" ht="15.75" thickBot="1" x14ac:dyDescent="0.3">
      <c r="A8" s="25">
        <v>6</v>
      </c>
      <c r="B8" s="31" t="s">
        <v>4008</v>
      </c>
      <c r="C8" s="31"/>
      <c r="D8" s="35">
        <v>-10.2511083</v>
      </c>
      <c r="E8" s="35">
        <v>-48.257515300000001</v>
      </c>
      <c r="F8" s="39">
        <v>0</v>
      </c>
      <c r="G8" s="39">
        <v>0.99930555555555556</v>
      </c>
      <c r="H8" s="31" t="s">
        <v>1152</v>
      </c>
      <c r="I8" s="42">
        <v>0</v>
      </c>
      <c r="J8" s="31">
        <v>1</v>
      </c>
      <c r="K8" s="31">
        <v>0</v>
      </c>
      <c r="L8" s="31">
        <v>0</v>
      </c>
    </row>
    <row r="9" spans="1:12" ht="15.75" thickTop="1" x14ac:dyDescent="0.25">
      <c r="A9" s="25">
        <v>7</v>
      </c>
      <c r="B9" s="30" t="s">
        <v>4009</v>
      </c>
      <c r="C9" s="32"/>
      <c r="D9" s="36">
        <v>-10.2477339</v>
      </c>
      <c r="E9" s="36">
        <v>-48.249821599999997</v>
      </c>
      <c r="F9" s="40">
        <v>0</v>
      </c>
      <c r="G9" s="40">
        <v>0.99930555555555556</v>
      </c>
      <c r="H9" s="32" t="s">
        <v>1152</v>
      </c>
      <c r="I9" s="43">
        <v>0</v>
      </c>
      <c r="J9" s="32">
        <v>0</v>
      </c>
      <c r="K9" s="32">
        <v>0</v>
      </c>
      <c r="L9" s="32">
        <v>0</v>
      </c>
    </row>
    <row r="10" spans="1:12" ht="15.75" thickBot="1" x14ac:dyDescent="0.3">
      <c r="A10" s="25">
        <v>8</v>
      </c>
      <c r="B10" s="31" t="s">
        <v>4010</v>
      </c>
      <c r="C10" s="31"/>
      <c r="D10" s="35">
        <v>-10.224122100000001</v>
      </c>
      <c r="E10" s="35">
        <v>-48.328195399999998</v>
      </c>
      <c r="F10" s="39">
        <v>0</v>
      </c>
      <c r="G10" s="39">
        <v>0.99930555555555556</v>
      </c>
      <c r="H10" s="31" t="s">
        <v>1152</v>
      </c>
      <c r="I10" s="42">
        <v>0</v>
      </c>
      <c r="J10" s="31">
        <v>0</v>
      </c>
      <c r="K10" s="31">
        <v>0</v>
      </c>
      <c r="L10" s="31">
        <v>0</v>
      </c>
    </row>
    <row r="11" spans="1:12" ht="15.75" thickTop="1" x14ac:dyDescent="0.25">
      <c r="A11" s="25">
        <v>9</v>
      </c>
      <c r="B11" s="30" t="s">
        <v>4011</v>
      </c>
      <c r="C11" s="32"/>
      <c r="D11" s="36">
        <v>-10.2210813</v>
      </c>
      <c r="E11" s="36">
        <v>-48.3372934</v>
      </c>
      <c r="F11" s="40">
        <v>0</v>
      </c>
      <c r="G11" s="40">
        <v>0.99930555555555556</v>
      </c>
      <c r="H11" s="32" t="s">
        <v>1152</v>
      </c>
      <c r="I11" s="43">
        <v>0</v>
      </c>
      <c r="J11" s="32">
        <v>3</v>
      </c>
      <c r="K11" s="32">
        <v>0</v>
      </c>
      <c r="L11" s="32">
        <v>0</v>
      </c>
    </row>
    <row r="12" spans="1:12" ht="15.75" thickBot="1" x14ac:dyDescent="0.3">
      <c r="A12" s="25">
        <v>10</v>
      </c>
      <c r="B12" s="31" t="s">
        <v>4012</v>
      </c>
      <c r="C12" s="31"/>
      <c r="D12" s="35">
        <v>-10.2301193</v>
      </c>
      <c r="E12" s="35">
        <v>-48.315149099999999</v>
      </c>
      <c r="F12" s="39">
        <v>0</v>
      </c>
      <c r="G12" s="39">
        <v>0.99930555555555556</v>
      </c>
      <c r="H12" s="31" t="s">
        <v>1152</v>
      </c>
      <c r="I12" s="42">
        <v>0</v>
      </c>
      <c r="J12" s="31">
        <v>5</v>
      </c>
      <c r="K12" s="31">
        <v>0</v>
      </c>
      <c r="L12" s="31">
        <v>0</v>
      </c>
    </row>
    <row r="13" spans="1:12" ht="15.75" thickTop="1" x14ac:dyDescent="0.25">
      <c r="A13" s="25">
        <v>11</v>
      </c>
      <c r="B13" s="30" t="s">
        <v>4013</v>
      </c>
      <c r="C13" s="32"/>
      <c r="D13" s="36">
        <v>-10.2383124</v>
      </c>
      <c r="E13" s="36">
        <v>-48.300901199999998</v>
      </c>
      <c r="F13" s="40">
        <v>0</v>
      </c>
      <c r="G13" s="40">
        <v>0.99930555555555556</v>
      </c>
      <c r="H13" s="32" t="s">
        <v>1152</v>
      </c>
      <c r="I13" s="43">
        <v>0</v>
      </c>
      <c r="J13" s="32">
        <v>1</v>
      </c>
      <c r="K13" s="32">
        <v>0</v>
      </c>
      <c r="L13" s="32">
        <v>0</v>
      </c>
    </row>
    <row r="14" spans="1:12" ht="15.75" thickBot="1" x14ac:dyDescent="0.3">
      <c r="A14" s="25">
        <v>12</v>
      </c>
      <c r="B14" s="31" t="s">
        <v>4014</v>
      </c>
      <c r="C14" s="31"/>
      <c r="D14" s="35">
        <v>-10.2459422</v>
      </c>
      <c r="E14" s="35">
        <v>-48.270878400000001</v>
      </c>
      <c r="F14" s="39">
        <v>0</v>
      </c>
      <c r="G14" s="39">
        <v>0.99930555555555556</v>
      </c>
      <c r="H14" s="31" t="s">
        <v>1152</v>
      </c>
      <c r="I14" s="42">
        <v>0</v>
      </c>
      <c r="J14" s="31">
        <v>5</v>
      </c>
      <c r="K14" s="31">
        <v>0</v>
      </c>
      <c r="L14" s="31">
        <v>0</v>
      </c>
    </row>
    <row r="15" spans="1:12" ht="15.75" thickTop="1" x14ac:dyDescent="0.25">
      <c r="A15" s="25">
        <v>13</v>
      </c>
      <c r="B15" s="30" t="s">
        <v>4015</v>
      </c>
      <c r="C15" s="32"/>
      <c r="D15" s="36">
        <v>-10.2542846</v>
      </c>
      <c r="E15" s="36">
        <v>-48.283127399999998</v>
      </c>
      <c r="F15" s="40">
        <v>0</v>
      </c>
      <c r="G15" s="40">
        <v>0.99930555555555556</v>
      </c>
      <c r="H15" s="32" t="s">
        <v>1152</v>
      </c>
      <c r="I15" s="43">
        <v>0</v>
      </c>
      <c r="J15" s="32">
        <v>2</v>
      </c>
      <c r="K15" s="32">
        <v>0</v>
      </c>
      <c r="L15" s="32">
        <v>0</v>
      </c>
    </row>
    <row r="16" spans="1:12" ht="15.75" thickBot="1" x14ac:dyDescent="0.3">
      <c r="A16" s="25">
        <v>14</v>
      </c>
      <c r="B16" s="31" t="s">
        <v>4016</v>
      </c>
      <c r="C16" s="31"/>
      <c r="D16" s="35">
        <v>-10.2743854</v>
      </c>
      <c r="E16" s="35">
        <v>-48.275230999999998</v>
      </c>
      <c r="F16" s="39">
        <v>0</v>
      </c>
      <c r="G16" s="39">
        <v>0.99930555555555556</v>
      </c>
      <c r="H16" s="31" t="s">
        <v>1152</v>
      </c>
      <c r="I16" s="42">
        <v>0</v>
      </c>
      <c r="J16" s="31">
        <v>1</v>
      </c>
      <c r="K16" s="31">
        <v>0</v>
      </c>
      <c r="L16" s="31">
        <v>0</v>
      </c>
    </row>
    <row r="17" spans="1:12" ht="15.75" thickTop="1" x14ac:dyDescent="0.25">
      <c r="A17" s="23">
        <v>15</v>
      </c>
      <c r="B17" s="30" t="s">
        <v>4017</v>
      </c>
      <c r="C17" s="75"/>
      <c r="D17" s="76">
        <v>-10.263237200000001</v>
      </c>
      <c r="E17" s="76">
        <v>-48.274801799999999</v>
      </c>
      <c r="F17" s="77">
        <v>0</v>
      </c>
      <c r="G17" s="77">
        <v>0.99930555555555556</v>
      </c>
      <c r="H17" s="75" t="s">
        <v>1152</v>
      </c>
      <c r="I17" s="78">
        <v>0</v>
      </c>
      <c r="J17" s="75">
        <v>0</v>
      </c>
      <c r="K17" s="75">
        <v>0</v>
      </c>
      <c r="L17" s="75">
        <v>0</v>
      </c>
    </row>
  </sheetData>
  <phoneticPr fontId="28" type="noConversion"/>
  <conditionalFormatting sqref="A2">
    <cfRule type="expression" dxfId="172" priority="1" stopIfTrue="1">
      <formula>ISBLANK(A2)</formula>
    </cfRule>
  </conditionalFormatting>
  <conditionalFormatting sqref="B2">
    <cfRule type="expression" dxfId="171" priority="2" stopIfTrue="1">
      <formula>ISBLANK(B2)</formula>
    </cfRule>
  </conditionalFormatting>
  <conditionalFormatting sqref="F2">
    <cfRule type="cellIs" dxfId="170" priority="3" stopIfTrue="1" operator="greaterThan">
      <formula>G2-$I$2</formula>
    </cfRule>
  </conditionalFormatting>
  <conditionalFormatting sqref="G2">
    <cfRule type="cellIs" dxfId="169" priority="4" stopIfTrue="1" operator="lessThan">
      <formula>F2+$I$2</formula>
    </cfRule>
  </conditionalFormatting>
  <conditionalFormatting sqref="I2">
    <cfRule type="cellIs" dxfId="168" priority="5" stopIfTrue="1" operator="greaterThan">
      <formula>G2-F2 + 0.0001</formula>
    </cfRule>
  </conditionalFormatting>
  <conditionalFormatting sqref="A3">
    <cfRule type="expression" dxfId="167" priority="6" stopIfTrue="1">
      <formula>ISBLANK(A3)</formula>
    </cfRule>
  </conditionalFormatting>
  <conditionalFormatting sqref="B3 B5 B7 B9 B11 B13 B15 B17">
    <cfRule type="expression" dxfId="166" priority="7" stopIfTrue="1">
      <formula>ISBLANK(B3)</formula>
    </cfRule>
  </conditionalFormatting>
  <conditionalFormatting sqref="F3">
    <cfRule type="cellIs" dxfId="165" priority="8" stopIfTrue="1" operator="greaterThan">
      <formula>G3-$I$3</formula>
    </cfRule>
  </conditionalFormatting>
  <conditionalFormatting sqref="G3">
    <cfRule type="cellIs" dxfId="164" priority="9" stopIfTrue="1" operator="lessThan">
      <formula>F3+$I$3</formula>
    </cfRule>
  </conditionalFormatting>
  <conditionalFormatting sqref="H3">
    <cfRule type="cellIs" dxfId="163" priority="10" stopIfTrue="1" operator="equal">
      <formula>"Pode ser visitado"</formula>
    </cfRule>
    <cfRule type="cellIs" dxfId="162" priority="11" stopIfTrue="1" operator="equal">
      <formula>"Não visite"</formula>
    </cfRule>
  </conditionalFormatting>
  <conditionalFormatting sqref="I3">
    <cfRule type="cellIs" dxfId="161" priority="12" stopIfTrue="1" operator="greaterThan">
      <formula>G3-F3 + 0.0001</formula>
    </cfRule>
  </conditionalFormatting>
  <conditionalFormatting sqref="A4">
    <cfRule type="expression" dxfId="160" priority="13" stopIfTrue="1">
      <formula>ISBLANK(A4)</formula>
    </cfRule>
  </conditionalFormatting>
  <conditionalFormatting sqref="B4 B6 B8 B10 B12 B14 B16">
    <cfRule type="expression" dxfId="159" priority="14" stopIfTrue="1">
      <formula>ISBLANK(B4)</formula>
    </cfRule>
  </conditionalFormatting>
  <conditionalFormatting sqref="F4">
    <cfRule type="cellIs" dxfId="158" priority="15" stopIfTrue="1" operator="greaterThan">
      <formula>G4-$I$4</formula>
    </cfRule>
  </conditionalFormatting>
  <conditionalFormatting sqref="G4">
    <cfRule type="cellIs" dxfId="157" priority="16" stopIfTrue="1" operator="lessThan">
      <formula>F4+$I$4</formula>
    </cfRule>
  </conditionalFormatting>
  <conditionalFormatting sqref="H4">
    <cfRule type="cellIs" dxfId="156" priority="17" stopIfTrue="1" operator="equal">
      <formula>"Pode ser visitado"</formula>
    </cfRule>
    <cfRule type="cellIs" dxfId="155" priority="18" stopIfTrue="1" operator="equal">
      <formula>"Não visite"</formula>
    </cfRule>
  </conditionalFormatting>
  <conditionalFormatting sqref="I4">
    <cfRule type="cellIs" dxfId="154" priority="19" stopIfTrue="1" operator="greaterThan">
      <formula>G4-F4 + 0.0001</formula>
    </cfRule>
  </conditionalFormatting>
  <conditionalFormatting sqref="A5">
    <cfRule type="expression" dxfId="153" priority="20" stopIfTrue="1">
      <formula>ISBLANK(A5)</formula>
    </cfRule>
  </conditionalFormatting>
  <conditionalFormatting sqref="B5">
    <cfRule type="expression" dxfId="152" priority="21" stopIfTrue="1">
      <formula>ISBLANK(B5)</formula>
    </cfRule>
  </conditionalFormatting>
  <conditionalFormatting sqref="F5">
    <cfRule type="cellIs" dxfId="151" priority="22" stopIfTrue="1" operator="greaterThan">
      <formula>G5-$I$5</formula>
    </cfRule>
  </conditionalFormatting>
  <conditionalFormatting sqref="G5">
    <cfRule type="cellIs" dxfId="150" priority="23" stopIfTrue="1" operator="lessThan">
      <formula>F5+$I$5</formula>
    </cfRule>
  </conditionalFormatting>
  <conditionalFormatting sqref="H5">
    <cfRule type="cellIs" dxfId="149" priority="24" stopIfTrue="1" operator="equal">
      <formula>"Pode ser visitado"</formula>
    </cfRule>
  </conditionalFormatting>
  <conditionalFormatting sqref="H5">
    <cfRule type="cellIs" dxfId="148" priority="25" stopIfTrue="1" operator="equal">
      <formula>"Não visite"</formula>
    </cfRule>
  </conditionalFormatting>
  <conditionalFormatting sqref="I5">
    <cfRule type="cellIs" dxfId="147" priority="26" stopIfTrue="1" operator="greaterThan">
      <formula>G5-F5 + 0.0001</formula>
    </cfRule>
  </conditionalFormatting>
  <conditionalFormatting sqref="A6">
    <cfRule type="expression" dxfId="146" priority="27" stopIfTrue="1">
      <formula>ISBLANK(A6)</formula>
    </cfRule>
  </conditionalFormatting>
  <conditionalFormatting sqref="B6">
    <cfRule type="expression" dxfId="145" priority="28" stopIfTrue="1">
      <formula>ISBLANK(B6)</formula>
    </cfRule>
  </conditionalFormatting>
  <conditionalFormatting sqref="F6">
    <cfRule type="cellIs" dxfId="144" priority="29" stopIfTrue="1" operator="greaterThan">
      <formula>G6-$I$6</formula>
    </cfRule>
  </conditionalFormatting>
  <conditionalFormatting sqref="G6">
    <cfRule type="cellIs" dxfId="143" priority="30" stopIfTrue="1" operator="lessThan">
      <formula>F6+$I$6</formula>
    </cfRule>
  </conditionalFormatting>
  <conditionalFormatting sqref="H6">
    <cfRule type="cellIs" dxfId="142" priority="31" stopIfTrue="1" operator="equal">
      <formula>"Pode ser visitado"</formula>
    </cfRule>
  </conditionalFormatting>
  <conditionalFormatting sqref="H6">
    <cfRule type="cellIs" dxfId="141" priority="32" stopIfTrue="1" operator="equal">
      <formula>"Não visite"</formula>
    </cfRule>
  </conditionalFormatting>
  <conditionalFormatting sqref="I6">
    <cfRule type="cellIs" dxfId="140" priority="33" stopIfTrue="1" operator="greaterThan">
      <formula>G6-F6 + 0.0001</formula>
    </cfRule>
  </conditionalFormatting>
  <conditionalFormatting sqref="A7">
    <cfRule type="expression" dxfId="139" priority="34" stopIfTrue="1">
      <formula>ISBLANK(A7)</formula>
    </cfRule>
  </conditionalFormatting>
  <conditionalFormatting sqref="B7">
    <cfRule type="expression" dxfId="138" priority="35" stopIfTrue="1">
      <formula>ISBLANK(B7)</formula>
    </cfRule>
  </conditionalFormatting>
  <conditionalFormatting sqref="F7">
    <cfRule type="cellIs" dxfId="137" priority="36" stopIfTrue="1" operator="greaterThan">
      <formula>G7-$I$7</formula>
    </cfRule>
  </conditionalFormatting>
  <conditionalFormatting sqref="G7">
    <cfRule type="cellIs" dxfId="136" priority="37" stopIfTrue="1" operator="lessThan">
      <formula>F7+$I$7</formula>
    </cfRule>
  </conditionalFormatting>
  <conditionalFormatting sqref="H7">
    <cfRule type="cellIs" dxfId="135" priority="38" stopIfTrue="1" operator="equal">
      <formula>"Pode ser visitado"</formula>
    </cfRule>
  </conditionalFormatting>
  <conditionalFormatting sqref="H7">
    <cfRule type="cellIs" dxfId="134" priority="39" stopIfTrue="1" operator="equal">
      <formula>"Não visite"</formula>
    </cfRule>
  </conditionalFormatting>
  <conditionalFormatting sqref="I7">
    <cfRule type="cellIs" dxfId="133" priority="40" stopIfTrue="1" operator="greaterThan">
      <formula>G7-F7 + 0.0001</formula>
    </cfRule>
  </conditionalFormatting>
  <conditionalFormatting sqref="A8">
    <cfRule type="expression" dxfId="132" priority="41" stopIfTrue="1">
      <formula>ISBLANK(A8)</formula>
    </cfRule>
  </conditionalFormatting>
  <conditionalFormatting sqref="B8">
    <cfRule type="expression" dxfId="131" priority="42" stopIfTrue="1">
      <formula>ISBLANK(B8)</formula>
    </cfRule>
  </conditionalFormatting>
  <conditionalFormatting sqref="F8">
    <cfRule type="cellIs" dxfId="130" priority="43" stopIfTrue="1" operator="greaterThan">
      <formula>G8-$I$8</formula>
    </cfRule>
  </conditionalFormatting>
  <conditionalFormatting sqref="G8">
    <cfRule type="cellIs" dxfId="129" priority="44" stopIfTrue="1" operator="lessThan">
      <formula>F8+$I$8</formula>
    </cfRule>
  </conditionalFormatting>
  <conditionalFormatting sqref="H8">
    <cfRule type="cellIs" dxfId="128" priority="45" stopIfTrue="1" operator="equal">
      <formula>"Pode ser visitado"</formula>
    </cfRule>
  </conditionalFormatting>
  <conditionalFormatting sqref="H8">
    <cfRule type="cellIs" dxfId="127" priority="46" stopIfTrue="1" operator="equal">
      <formula>"Não visite"</formula>
    </cfRule>
  </conditionalFormatting>
  <conditionalFormatting sqref="I8">
    <cfRule type="cellIs" dxfId="126" priority="47" stopIfTrue="1" operator="greaterThan">
      <formula>G8-F8 + 0.0001</formula>
    </cfRule>
  </conditionalFormatting>
  <conditionalFormatting sqref="A9">
    <cfRule type="expression" dxfId="125" priority="48" stopIfTrue="1">
      <formula>ISBLANK(A9)</formula>
    </cfRule>
  </conditionalFormatting>
  <conditionalFormatting sqref="B9">
    <cfRule type="expression" dxfId="124" priority="49" stopIfTrue="1">
      <formula>ISBLANK(B9)</formula>
    </cfRule>
  </conditionalFormatting>
  <conditionalFormatting sqref="F9">
    <cfRule type="cellIs" dxfId="123" priority="50" stopIfTrue="1" operator="greaterThan">
      <formula>G9-$I$9</formula>
    </cfRule>
  </conditionalFormatting>
  <conditionalFormatting sqref="G9">
    <cfRule type="cellIs" dxfId="122" priority="51" stopIfTrue="1" operator="lessThan">
      <formula>F9+$I$9</formula>
    </cfRule>
  </conditionalFormatting>
  <conditionalFormatting sqref="H9">
    <cfRule type="cellIs" dxfId="121" priority="52" stopIfTrue="1" operator="equal">
      <formula>"Pode ser visitado"</formula>
    </cfRule>
  </conditionalFormatting>
  <conditionalFormatting sqref="H9">
    <cfRule type="cellIs" dxfId="120" priority="53" stopIfTrue="1" operator="equal">
      <formula>"Não visite"</formula>
    </cfRule>
  </conditionalFormatting>
  <conditionalFormatting sqref="I9">
    <cfRule type="cellIs" dxfId="119" priority="54" stopIfTrue="1" operator="greaterThan">
      <formula>G9-F9 + 0.0001</formula>
    </cfRule>
  </conditionalFormatting>
  <conditionalFormatting sqref="A10">
    <cfRule type="expression" dxfId="118" priority="55" stopIfTrue="1">
      <formula>ISBLANK(A10)</formula>
    </cfRule>
  </conditionalFormatting>
  <conditionalFormatting sqref="B10">
    <cfRule type="expression" dxfId="117" priority="56" stopIfTrue="1">
      <formula>ISBLANK(B10)</formula>
    </cfRule>
  </conditionalFormatting>
  <conditionalFormatting sqref="F10">
    <cfRule type="cellIs" dxfId="116" priority="57" stopIfTrue="1" operator="greaterThan">
      <formula>G10-$I$10</formula>
    </cfRule>
  </conditionalFormatting>
  <conditionalFormatting sqref="G10">
    <cfRule type="cellIs" dxfId="115" priority="58" stopIfTrue="1" operator="lessThan">
      <formula>F10+$I$10</formula>
    </cfRule>
  </conditionalFormatting>
  <conditionalFormatting sqref="H10">
    <cfRule type="cellIs" dxfId="114" priority="59" stopIfTrue="1" operator="equal">
      <formula>"Pode ser visitado"</formula>
    </cfRule>
  </conditionalFormatting>
  <conditionalFormatting sqref="H10">
    <cfRule type="cellIs" dxfId="113" priority="60" stopIfTrue="1" operator="equal">
      <formula>"Não visite"</formula>
    </cfRule>
  </conditionalFormatting>
  <conditionalFormatting sqref="I10">
    <cfRule type="cellIs" dxfId="112" priority="61" stopIfTrue="1" operator="greaterThan">
      <formula>G10-F10 + 0.0001</formula>
    </cfRule>
  </conditionalFormatting>
  <conditionalFormatting sqref="A11">
    <cfRule type="expression" dxfId="111" priority="62" stopIfTrue="1">
      <formula>ISBLANK(A11)</formula>
    </cfRule>
  </conditionalFormatting>
  <conditionalFormatting sqref="B11">
    <cfRule type="expression" dxfId="110" priority="63" stopIfTrue="1">
      <formula>ISBLANK(B11)</formula>
    </cfRule>
  </conditionalFormatting>
  <conditionalFormatting sqref="F11">
    <cfRule type="cellIs" dxfId="109" priority="64" stopIfTrue="1" operator="greaterThan">
      <formula>G11-$I$11</formula>
    </cfRule>
  </conditionalFormatting>
  <conditionalFormatting sqref="G11">
    <cfRule type="cellIs" dxfId="108" priority="65" stopIfTrue="1" operator="lessThan">
      <formula>F11+$I$11</formula>
    </cfRule>
  </conditionalFormatting>
  <conditionalFormatting sqref="H11">
    <cfRule type="cellIs" dxfId="107" priority="66" stopIfTrue="1" operator="equal">
      <formula>"Pode ser visitado"</formula>
    </cfRule>
  </conditionalFormatting>
  <conditionalFormatting sqref="H11">
    <cfRule type="cellIs" dxfId="106" priority="67" stopIfTrue="1" operator="equal">
      <formula>"Não visite"</formula>
    </cfRule>
  </conditionalFormatting>
  <conditionalFormatting sqref="I11">
    <cfRule type="cellIs" dxfId="105" priority="68" stopIfTrue="1" operator="greaterThan">
      <formula>G11-F11 + 0.0001</formula>
    </cfRule>
  </conditionalFormatting>
  <conditionalFormatting sqref="A12">
    <cfRule type="expression" dxfId="104" priority="69" stopIfTrue="1">
      <formula>ISBLANK(A12)</formula>
    </cfRule>
  </conditionalFormatting>
  <conditionalFormatting sqref="B12">
    <cfRule type="expression" dxfId="103" priority="70" stopIfTrue="1">
      <formula>ISBLANK(B12)</formula>
    </cfRule>
  </conditionalFormatting>
  <conditionalFormatting sqref="F12">
    <cfRule type="cellIs" dxfId="102" priority="71" stopIfTrue="1" operator="greaterThan">
      <formula>G12-$I$12</formula>
    </cfRule>
  </conditionalFormatting>
  <conditionalFormatting sqref="G12">
    <cfRule type="cellIs" dxfId="101" priority="72" stopIfTrue="1" operator="lessThan">
      <formula>F12+$I$12</formula>
    </cfRule>
  </conditionalFormatting>
  <conditionalFormatting sqref="H12">
    <cfRule type="cellIs" dxfId="100" priority="73" stopIfTrue="1" operator="equal">
      <formula>"Pode ser visitado"</formula>
    </cfRule>
  </conditionalFormatting>
  <conditionalFormatting sqref="H12">
    <cfRule type="cellIs" dxfId="99" priority="74" stopIfTrue="1" operator="equal">
      <formula>"Não visite"</formula>
    </cfRule>
  </conditionalFormatting>
  <conditionalFormatting sqref="I12">
    <cfRule type="cellIs" dxfId="98" priority="75" stopIfTrue="1" operator="greaterThan">
      <formula>G12-F12 + 0.0001</formula>
    </cfRule>
  </conditionalFormatting>
  <conditionalFormatting sqref="A13">
    <cfRule type="expression" dxfId="97" priority="76" stopIfTrue="1">
      <formula>ISBLANK(A13)</formula>
    </cfRule>
  </conditionalFormatting>
  <conditionalFormatting sqref="B13">
    <cfRule type="expression" dxfId="96" priority="77" stopIfTrue="1">
      <formula>ISBLANK(B13)</formula>
    </cfRule>
  </conditionalFormatting>
  <conditionalFormatting sqref="F13">
    <cfRule type="cellIs" dxfId="95" priority="78" stopIfTrue="1" operator="greaterThan">
      <formula>G13-$I$13</formula>
    </cfRule>
  </conditionalFormatting>
  <conditionalFormatting sqref="G13">
    <cfRule type="cellIs" dxfId="94" priority="79" stopIfTrue="1" operator="lessThan">
      <formula>F13+$I$13</formula>
    </cfRule>
  </conditionalFormatting>
  <conditionalFormatting sqref="H13">
    <cfRule type="cellIs" dxfId="93" priority="80" stopIfTrue="1" operator="equal">
      <formula>"Pode ser visitado"</formula>
    </cfRule>
  </conditionalFormatting>
  <conditionalFormatting sqref="H13">
    <cfRule type="cellIs" dxfId="92" priority="81" stopIfTrue="1" operator="equal">
      <formula>"Não visite"</formula>
    </cfRule>
  </conditionalFormatting>
  <conditionalFormatting sqref="I13">
    <cfRule type="cellIs" dxfId="91" priority="82" stopIfTrue="1" operator="greaterThan">
      <formula>G13-F13 + 0.0001</formula>
    </cfRule>
  </conditionalFormatting>
  <conditionalFormatting sqref="A14">
    <cfRule type="expression" dxfId="90" priority="83" stopIfTrue="1">
      <formula>ISBLANK(A14)</formula>
    </cfRule>
  </conditionalFormatting>
  <conditionalFormatting sqref="B14">
    <cfRule type="expression" dxfId="89" priority="84" stopIfTrue="1">
      <formula>ISBLANK(B14)</formula>
    </cfRule>
  </conditionalFormatting>
  <conditionalFormatting sqref="F14">
    <cfRule type="cellIs" dxfId="88" priority="85" stopIfTrue="1" operator="greaterThan">
      <formula>G14-$I$14</formula>
    </cfRule>
  </conditionalFormatting>
  <conditionalFormatting sqref="G14">
    <cfRule type="cellIs" dxfId="87" priority="86" stopIfTrue="1" operator="lessThan">
      <formula>F14+$I$14</formula>
    </cfRule>
  </conditionalFormatting>
  <conditionalFormatting sqref="H14">
    <cfRule type="cellIs" dxfId="86" priority="87" stopIfTrue="1" operator="equal">
      <formula>"Pode ser visitado"</formula>
    </cfRule>
  </conditionalFormatting>
  <conditionalFormatting sqref="H14">
    <cfRule type="cellIs" dxfId="85" priority="88" stopIfTrue="1" operator="equal">
      <formula>"Não visite"</formula>
    </cfRule>
  </conditionalFormatting>
  <conditionalFormatting sqref="I14">
    <cfRule type="cellIs" dxfId="84" priority="89" stopIfTrue="1" operator="greaterThan">
      <formula>G14-F14 + 0.0001</formula>
    </cfRule>
  </conditionalFormatting>
  <conditionalFormatting sqref="A15">
    <cfRule type="expression" dxfId="83" priority="90" stopIfTrue="1">
      <formula>ISBLANK(A15)</formula>
    </cfRule>
  </conditionalFormatting>
  <conditionalFormatting sqref="B15">
    <cfRule type="expression" dxfId="82" priority="91" stopIfTrue="1">
      <formula>ISBLANK(B15)</formula>
    </cfRule>
  </conditionalFormatting>
  <conditionalFormatting sqref="F15">
    <cfRule type="cellIs" dxfId="81" priority="92" stopIfTrue="1" operator="greaterThan">
      <formula>G15-$I$15</formula>
    </cfRule>
  </conditionalFormatting>
  <conditionalFormatting sqref="G15">
    <cfRule type="cellIs" dxfId="80" priority="93" stopIfTrue="1" operator="lessThan">
      <formula>F15+$I$15</formula>
    </cfRule>
  </conditionalFormatting>
  <conditionalFormatting sqref="H15">
    <cfRule type="cellIs" dxfId="79" priority="94" stopIfTrue="1" operator="equal">
      <formula>"Pode ser visitado"</formula>
    </cfRule>
  </conditionalFormatting>
  <conditionalFormatting sqref="H15">
    <cfRule type="cellIs" dxfId="78" priority="95" stopIfTrue="1" operator="equal">
      <formula>"Não visite"</formula>
    </cfRule>
  </conditionalFormatting>
  <conditionalFormatting sqref="I15">
    <cfRule type="cellIs" dxfId="77" priority="96" stopIfTrue="1" operator="greaterThan">
      <formula>G15-F15 + 0.0001</formula>
    </cfRule>
  </conditionalFormatting>
  <conditionalFormatting sqref="A16">
    <cfRule type="expression" dxfId="76" priority="97" stopIfTrue="1">
      <formula>ISBLANK(A16)</formula>
    </cfRule>
  </conditionalFormatting>
  <conditionalFormatting sqref="B16">
    <cfRule type="expression" dxfId="75" priority="98" stopIfTrue="1">
      <formula>ISBLANK(B16)</formula>
    </cfRule>
  </conditionalFormatting>
  <conditionalFormatting sqref="F16">
    <cfRule type="cellIs" dxfId="74" priority="99" stopIfTrue="1" operator="greaterThan">
      <formula>G16-$I$16</formula>
    </cfRule>
  </conditionalFormatting>
  <conditionalFormatting sqref="G16">
    <cfRule type="cellIs" dxfId="73" priority="100" stopIfTrue="1" operator="lessThan">
      <formula>F16+$I$16</formula>
    </cfRule>
  </conditionalFormatting>
  <conditionalFormatting sqref="H16">
    <cfRule type="cellIs" dxfId="72" priority="101" stopIfTrue="1" operator="equal">
      <formula>"Pode ser visitado"</formula>
    </cfRule>
  </conditionalFormatting>
  <conditionalFormatting sqref="H16">
    <cfRule type="cellIs" dxfId="71" priority="102" stopIfTrue="1" operator="equal">
      <formula>"Não visite"</formula>
    </cfRule>
  </conditionalFormatting>
  <conditionalFormatting sqref="I16">
    <cfRule type="cellIs" dxfId="70" priority="103" stopIfTrue="1" operator="greaterThan">
      <formula>G16-F16 + 0.0001</formula>
    </cfRule>
  </conditionalFormatting>
  <conditionalFormatting sqref="A17">
    <cfRule type="expression" dxfId="69" priority="104" stopIfTrue="1">
      <formula>ISBLANK(A17)</formula>
    </cfRule>
  </conditionalFormatting>
  <conditionalFormatting sqref="B17">
    <cfRule type="expression" dxfId="68" priority="105" stopIfTrue="1">
      <formula>ISBLANK(B17)</formula>
    </cfRule>
  </conditionalFormatting>
  <conditionalFormatting sqref="F17">
    <cfRule type="cellIs" dxfId="67" priority="106" stopIfTrue="1" operator="greaterThan">
      <formula>G17-$I$17</formula>
    </cfRule>
  </conditionalFormatting>
  <conditionalFormatting sqref="G17">
    <cfRule type="cellIs" dxfId="66" priority="107" stopIfTrue="1" operator="lessThan">
      <formula>F17+$I$17</formula>
    </cfRule>
  </conditionalFormatting>
  <conditionalFormatting sqref="H17">
    <cfRule type="cellIs" dxfId="65" priority="108" stopIfTrue="1" operator="equal">
      <formula>"Pode ser visitado"</formula>
    </cfRule>
  </conditionalFormatting>
  <conditionalFormatting sqref="H17">
    <cfRule type="cellIs" dxfId="64" priority="109" stopIfTrue="1" operator="equal">
      <formula>"Não visite"</formula>
    </cfRule>
  </conditionalFormatting>
  <conditionalFormatting sqref="I17">
    <cfRule type="cellIs" dxfId="63" priority="110" stopIfTrue="1" operator="greaterThan">
      <formula>G17-F17 + 0.0001</formula>
    </cfRule>
  </conditionalFormatting>
  <conditionalFormatting sqref="J3:J17">
    <cfRule type="cellIs" dxfId="62" priority="111" stopIfTrue="1" operator="lessThan">
      <formula>0</formula>
    </cfRule>
  </conditionalFormatting>
  <conditionalFormatting sqref="B2:B17">
    <cfRule type="duplicateValues" dxfId="61" priority="112"/>
  </conditionalFormatting>
  <dataValidations count="17">
    <dataValidation type="decimal" operator="greaterThan" allowBlank="1" showInputMessage="1" showErrorMessage="1" error="Insira um valor não negativo" sqref="K2" xr:uid="{A3746A8A-5ADD-4176-9BE5-FB2F5FBD70A4}">
      <formula1>-0.0001</formula1>
    </dataValidation>
    <dataValidation type="list" allowBlank="1" showInputMessage="1" showErrorMessage="1" sqref="H3:H17" xr:uid="{F69A783E-FCD9-45FD-976F-4C9718705D37}">
      <formula1>"Deve ser visitado,Pode ser visitado,Não visite"</formula1>
    </dataValidation>
    <dataValidation type="decimal" operator="greaterThan" allowBlank="1" showInputMessage="1" showErrorMessage="1" error="Insira um valor não negativo" sqref="K3" xr:uid="{69B3DDBD-E723-4AC0-BFE5-44C25B5D73F3}">
      <formula1>-0.0001</formula1>
    </dataValidation>
    <dataValidation type="decimal" operator="greaterThan" allowBlank="1" showInputMessage="1" showErrorMessage="1" error="Insira um valor não negativo" sqref="K4" xr:uid="{C8EE6904-F1FD-4462-BA2A-1B28DF80089F}">
      <formula1>-0.0001</formula1>
    </dataValidation>
    <dataValidation type="decimal" operator="greaterThan" allowBlank="1" showInputMessage="1" showErrorMessage="1" error="Insira um valor não negativo" sqref="K5" xr:uid="{E8D390EB-B712-4EDB-AD5D-85288A2D429B}">
      <formula1>-0.0001</formula1>
    </dataValidation>
    <dataValidation type="decimal" operator="greaterThan" allowBlank="1" showInputMessage="1" showErrorMessage="1" error="Insira um valor não negativo" sqref="K6" xr:uid="{D5639AA4-ECDB-4270-8DE2-FC513056BDA1}">
      <formula1>-0.0001</formula1>
    </dataValidation>
    <dataValidation type="decimal" operator="greaterThan" allowBlank="1" showInputMessage="1" showErrorMessage="1" error="Insira um valor não negativo" sqref="K7" xr:uid="{E6902BAE-61B5-4765-A417-19C6F5D13FD8}">
      <formula1>-0.0001</formula1>
    </dataValidation>
    <dataValidation type="decimal" operator="greaterThan" allowBlank="1" showInputMessage="1" showErrorMessage="1" error="Insira um valor não negativo" sqref="K8" xr:uid="{C87667A4-5D74-4F31-B28D-784E1643EF6F}">
      <formula1>-0.0001</formula1>
    </dataValidation>
    <dataValidation type="decimal" operator="greaterThan" allowBlank="1" showInputMessage="1" showErrorMessage="1" error="Insira um valor não negativo" sqref="K9" xr:uid="{5B7CC694-4CED-4F5D-B455-D8C7DAD9C2B6}">
      <formula1>-0.0001</formula1>
    </dataValidation>
    <dataValidation type="decimal" operator="greaterThan" allowBlank="1" showInputMessage="1" showErrorMessage="1" error="Insira um valor não negativo" sqref="K10" xr:uid="{50C890A1-ACA8-4B99-98BC-D3967393CD40}">
      <formula1>-0.0001</formula1>
    </dataValidation>
    <dataValidation type="decimal" operator="greaterThan" allowBlank="1" showInputMessage="1" showErrorMessage="1" error="Insira um valor não negativo" sqref="K11" xr:uid="{21E180BB-3000-4990-BE4B-F9B4048C862B}">
      <formula1>-0.0001</formula1>
    </dataValidation>
    <dataValidation type="decimal" operator="greaterThan" allowBlank="1" showInputMessage="1" showErrorMessage="1" error="Insira um valor não negativo" sqref="K12" xr:uid="{C27126DD-B5DA-49A1-ADD9-6BEAF6798294}">
      <formula1>-0.0001</formula1>
    </dataValidation>
    <dataValidation type="decimal" operator="greaterThan" allowBlank="1" showInputMessage="1" showErrorMessage="1" error="Insira um valor não negativo" sqref="K13" xr:uid="{893A8EB7-5E05-4F9B-99B8-C8D81685DF04}">
      <formula1>-0.0001</formula1>
    </dataValidation>
    <dataValidation type="decimal" operator="greaterThan" allowBlank="1" showInputMessage="1" showErrorMessage="1" error="Insira um valor não negativo" sqref="K14" xr:uid="{D40CFEB6-C494-43AA-8CE7-CDE94D53B37E}">
      <formula1>-0.0001</formula1>
    </dataValidation>
    <dataValidation type="decimal" operator="greaterThan" allowBlank="1" showInputMessage="1" showErrorMessage="1" error="Insira um valor não negativo" sqref="K15" xr:uid="{163C0AB4-5FF1-4486-8B80-7A14AF800880}">
      <formula1>-0.0001</formula1>
    </dataValidation>
    <dataValidation type="decimal" operator="greaterThan" allowBlank="1" showInputMessage="1" showErrorMessage="1" error="Insira um valor não negativo" sqref="K16" xr:uid="{7431D966-9E9E-449D-993D-A82CE8990FD2}">
      <formula1>-0.0001</formula1>
    </dataValidation>
    <dataValidation type="decimal" operator="greaterThan" allowBlank="1" showInputMessage="1" showErrorMessage="1" error="Insira um valor não negativo" sqref="K17" xr:uid="{1F62BD54-96D9-4E04-97F3-977E7B9DBD44}">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E6ABC-79DA-491B-AAC7-199EEDDBA109}">
  <dimension ref="A1:F257"/>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4019</v>
      </c>
    </row>
    <row r="2" spans="1:6" x14ac:dyDescent="0.25">
      <c r="A2" s="21" t="s">
        <v>4002</v>
      </c>
      <c r="B2" s="21" t="s">
        <v>4002</v>
      </c>
      <c r="C2" s="46">
        <v>0</v>
      </c>
      <c r="D2" s="47">
        <v>0</v>
      </c>
    </row>
    <row r="3" spans="1:6" x14ac:dyDescent="0.25">
      <c r="A3" s="25" t="s">
        <v>4002</v>
      </c>
      <c r="B3" s="25" t="s">
        <v>4003</v>
      </c>
      <c r="C3" s="49">
        <v>15.234</v>
      </c>
      <c r="D3" s="26">
        <f xml:space="preserve"> C3 / (24 * 'VRP Solver Console'!C11)</f>
        <v>1.0579166666666667E-2</v>
      </c>
    </row>
    <row r="4" spans="1:6" x14ac:dyDescent="0.25">
      <c r="A4" s="25" t="s">
        <v>4002</v>
      </c>
      <c r="B4" s="25" t="s">
        <v>4004</v>
      </c>
      <c r="C4" s="50">
        <v>17.536000000000001</v>
      </c>
      <c r="D4" s="27">
        <f xml:space="preserve"> C4 / (24 * 'VRP Solver Console'!C11)</f>
        <v>1.2177777777777779E-2</v>
      </c>
    </row>
    <row r="5" spans="1:6" x14ac:dyDescent="0.25">
      <c r="A5" s="25" t="s">
        <v>4002</v>
      </c>
      <c r="B5" s="25" t="s">
        <v>4005</v>
      </c>
      <c r="C5" s="49">
        <v>16.952000000000002</v>
      </c>
      <c r="D5" s="26">
        <f xml:space="preserve"> C5 / (24 * 'VRP Solver Console'!C11)</f>
        <v>1.1772222222222224E-2</v>
      </c>
    </row>
    <row r="6" spans="1:6" x14ac:dyDescent="0.25">
      <c r="A6" s="25" t="s">
        <v>4002</v>
      </c>
      <c r="B6" s="25" t="s">
        <v>4006</v>
      </c>
      <c r="C6" s="50">
        <v>9.5809999999999995</v>
      </c>
      <c r="D6" s="27">
        <f xml:space="preserve"> C6 / (24 * 'VRP Solver Console'!C11)</f>
        <v>6.6534722222222221E-3</v>
      </c>
    </row>
    <row r="7" spans="1:6" x14ac:dyDescent="0.25">
      <c r="A7" s="25" t="s">
        <v>4002</v>
      </c>
      <c r="B7" s="25" t="s">
        <v>4007</v>
      </c>
      <c r="C7" s="49">
        <v>5.8689999999999998</v>
      </c>
      <c r="D7" s="26">
        <f xml:space="preserve"> C7 / (24 * 'VRP Solver Console'!C11)</f>
        <v>4.0756944444444443E-3</v>
      </c>
    </row>
    <row r="8" spans="1:6" x14ac:dyDescent="0.25">
      <c r="A8" s="25" t="s">
        <v>4002</v>
      </c>
      <c r="B8" s="25" t="s">
        <v>4008</v>
      </c>
      <c r="C8" s="50">
        <v>12.917999999999999</v>
      </c>
      <c r="D8" s="27">
        <f xml:space="preserve"> C8 / (24 * 'VRP Solver Console'!C11)</f>
        <v>8.9708333333333324E-3</v>
      </c>
    </row>
    <row r="9" spans="1:6" x14ac:dyDescent="0.25">
      <c r="A9" s="25" t="s">
        <v>4002</v>
      </c>
      <c r="B9" s="25" t="s">
        <v>4009</v>
      </c>
      <c r="C9" s="49">
        <v>13.831</v>
      </c>
      <c r="D9" s="26">
        <f xml:space="preserve"> C9 / (24 * 'VRP Solver Console'!C11)</f>
        <v>9.6048611111111109E-3</v>
      </c>
    </row>
    <row r="10" spans="1:6" x14ac:dyDescent="0.25">
      <c r="A10" s="25" t="s">
        <v>4002</v>
      </c>
      <c r="B10" s="25" t="s">
        <v>4010</v>
      </c>
      <c r="C10" s="50">
        <v>2.2090000000000001</v>
      </c>
      <c r="D10" s="27">
        <f xml:space="preserve"> C10 / (24 * 'VRP Solver Console'!C11)</f>
        <v>1.5340277777777778E-3</v>
      </c>
    </row>
    <row r="11" spans="1:6" x14ac:dyDescent="0.25">
      <c r="A11" s="25" t="s">
        <v>4002</v>
      </c>
      <c r="B11" s="25" t="s">
        <v>4011</v>
      </c>
      <c r="C11" s="49">
        <v>0.77200000000000002</v>
      </c>
      <c r="D11" s="26">
        <f xml:space="preserve"> C11 / (24 * 'VRP Solver Console'!C11)</f>
        <v>5.3611111111111112E-4</v>
      </c>
    </row>
    <row r="12" spans="1:6" x14ac:dyDescent="0.25">
      <c r="A12" s="25" t="s">
        <v>4002</v>
      </c>
      <c r="B12" s="25" t="s">
        <v>4012</v>
      </c>
      <c r="C12" s="50">
        <v>4.3780000000000001</v>
      </c>
      <c r="D12" s="27">
        <f xml:space="preserve"> C12 / (24 * 'VRP Solver Console'!C11)</f>
        <v>3.040277777777778E-3</v>
      </c>
    </row>
    <row r="13" spans="1:6" x14ac:dyDescent="0.25">
      <c r="A13" s="25" t="s">
        <v>4002</v>
      </c>
      <c r="B13" s="25" t="s">
        <v>4013</v>
      </c>
      <c r="C13" s="49">
        <v>7.2670000000000003</v>
      </c>
      <c r="D13" s="26">
        <f xml:space="preserve"> C13 / (24 * 'VRP Solver Console'!C11)</f>
        <v>5.0465277777777783E-3</v>
      </c>
    </row>
    <row r="14" spans="1:6" x14ac:dyDescent="0.25">
      <c r="A14" s="25" t="s">
        <v>4002</v>
      </c>
      <c r="B14" s="25" t="s">
        <v>4014</v>
      </c>
      <c r="C14" s="50">
        <v>11.054</v>
      </c>
      <c r="D14" s="27">
        <f xml:space="preserve"> C14 / (24 * 'VRP Solver Console'!C11)</f>
        <v>7.6763888888888888E-3</v>
      </c>
    </row>
    <row r="15" spans="1:6" x14ac:dyDescent="0.25">
      <c r="A15" s="25" t="s">
        <v>4002</v>
      </c>
      <c r="B15" s="25" t="s">
        <v>4015</v>
      </c>
      <c r="C15" s="49">
        <v>10.938000000000001</v>
      </c>
      <c r="D15" s="26">
        <f xml:space="preserve"> C15 / (24 * 'VRP Solver Console'!C11)</f>
        <v>7.5958333333333338E-3</v>
      </c>
    </row>
    <row r="16" spans="1:6" x14ac:dyDescent="0.25">
      <c r="A16" s="25" t="s">
        <v>4002</v>
      </c>
      <c r="B16" s="25" t="s">
        <v>4016</v>
      </c>
      <c r="C16" s="50">
        <v>13.634</v>
      </c>
      <c r="D16" s="27">
        <f xml:space="preserve"> C16 / (24 * 'VRP Solver Console'!C11)</f>
        <v>9.4680555555555559E-3</v>
      </c>
    </row>
    <row r="17" spans="1:4" x14ac:dyDescent="0.25">
      <c r="A17" s="25" t="s">
        <v>4002</v>
      </c>
      <c r="B17" s="25" t="s">
        <v>4017</v>
      </c>
      <c r="C17" s="49">
        <v>12.388</v>
      </c>
      <c r="D17" s="26">
        <f xml:space="preserve"> C17 / (24 * 'VRP Solver Console'!C11)</f>
        <v>8.6027777777777769E-3</v>
      </c>
    </row>
    <row r="18" spans="1:4" x14ac:dyDescent="0.25">
      <c r="A18" s="25" t="s">
        <v>4003</v>
      </c>
      <c r="B18" s="25" t="s">
        <v>4002</v>
      </c>
      <c r="C18" s="50">
        <v>15.5</v>
      </c>
      <c r="D18" s="27">
        <f xml:space="preserve"> C18 / (24 * 'VRP Solver Console'!C11)</f>
        <v>1.0763888888888889E-2</v>
      </c>
    </row>
    <row r="19" spans="1:4" x14ac:dyDescent="0.25">
      <c r="A19" s="25" t="s">
        <v>4003</v>
      </c>
      <c r="B19" s="25" t="s">
        <v>4003</v>
      </c>
      <c r="C19" s="49">
        <v>0</v>
      </c>
      <c r="D19" s="26">
        <v>0</v>
      </c>
    </row>
    <row r="20" spans="1:4" x14ac:dyDescent="0.25">
      <c r="A20" s="25" t="s">
        <v>4003</v>
      </c>
      <c r="B20" s="25" t="s">
        <v>4004</v>
      </c>
      <c r="C20" s="50">
        <v>3.794</v>
      </c>
      <c r="D20" s="27">
        <f xml:space="preserve"> C20 / (24 * 'VRP Solver Console'!C11)</f>
        <v>2.6347222222222223E-3</v>
      </c>
    </row>
    <row r="21" spans="1:4" x14ac:dyDescent="0.25">
      <c r="A21" s="25" t="s">
        <v>4003</v>
      </c>
      <c r="B21" s="25" t="s">
        <v>4005</v>
      </c>
      <c r="C21" s="49">
        <v>3.21</v>
      </c>
      <c r="D21" s="26">
        <f xml:space="preserve"> C21 / (24 * 'VRP Solver Console'!C11)</f>
        <v>2.2291666666666666E-3</v>
      </c>
    </row>
    <row r="22" spans="1:4" x14ac:dyDescent="0.25">
      <c r="A22" s="25" t="s">
        <v>4003</v>
      </c>
      <c r="B22" s="25" t="s">
        <v>4006</v>
      </c>
      <c r="C22" s="50">
        <v>5.6520000000000001</v>
      </c>
      <c r="D22" s="27">
        <f xml:space="preserve"> C22 / (24 * 'VRP Solver Console'!C11)</f>
        <v>3.9249999999999997E-3</v>
      </c>
    </row>
    <row r="23" spans="1:4" x14ac:dyDescent="0.25">
      <c r="A23" s="25" t="s">
        <v>4003</v>
      </c>
      <c r="B23" s="25" t="s">
        <v>4007</v>
      </c>
      <c r="C23" s="49">
        <v>9.43</v>
      </c>
      <c r="D23" s="26">
        <f xml:space="preserve"> C23 / (24 * 'VRP Solver Console'!C11)</f>
        <v>6.548611111111111E-3</v>
      </c>
    </row>
    <row r="24" spans="1:4" x14ac:dyDescent="0.25">
      <c r="A24" s="25" t="s">
        <v>4003</v>
      </c>
      <c r="B24" s="25" t="s">
        <v>4008</v>
      </c>
      <c r="C24" s="50">
        <v>2.3149999999999999</v>
      </c>
      <c r="D24" s="27">
        <f xml:space="preserve"> C24 / (24 * 'VRP Solver Console'!C11)</f>
        <v>1.6076388888888889E-3</v>
      </c>
    </row>
    <row r="25" spans="1:4" x14ac:dyDescent="0.25">
      <c r="A25" s="25" t="s">
        <v>4003</v>
      </c>
      <c r="B25" s="25" t="s">
        <v>4009</v>
      </c>
      <c r="C25" s="49">
        <v>1.4019999999999999</v>
      </c>
      <c r="D25" s="26">
        <f xml:space="preserve"> C25 / (24 * 'VRP Solver Console'!C11)</f>
        <v>9.7361111111111107E-4</v>
      </c>
    </row>
    <row r="26" spans="1:4" x14ac:dyDescent="0.25">
      <c r="A26" s="25" t="s">
        <v>4003</v>
      </c>
      <c r="B26" s="25" t="s">
        <v>4010</v>
      </c>
      <c r="C26" s="50">
        <v>13.917999999999999</v>
      </c>
      <c r="D26" s="27">
        <f xml:space="preserve"> C26 / (24 * 'VRP Solver Console'!C11)</f>
        <v>9.6652777777777778E-3</v>
      </c>
    </row>
    <row r="27" spans="1:4" x14ac:dyDescent="0.25">
      <c r="A27" s="25" t="s">
        <v>4003</v>
      </c>
      <c r="B27" s="25" t="s">
        <v>4011</v>
      </c>
      <c r="C27" s="49">
        <v>14.782</v>
      </c>
      <c r="D27" s="26">
        <f xml:space="preserve"> C27 / (24 * 'VRP Solver Console'!C11)</f>
        <v>1.0265277777777778E-2</v>
      </c>
    </row>
    <row r="28" spans="1:4" x14ac:dyDescent="0.25">
      <c r="A28" s="25" t="s">
        <v>4003</v>
      </c>
      <c r="B28" s="25" t="s">
        <v>4012</v>
      </c>
      <c r="C28" s="50">
        <v>11.888</v>
      </c>
      <c r="D28" s="27">
        <f xml:space="preserve"> C28 / (24 * 'VRP Solver Console'!C11)</f>
        <v>8.2555555555555559E-3</v>
      </c>
    </row>
    <row r="29" spans="1:4" x14ac:dyDescent="0.25">
      <c r="A29" s="25" t="s">
        <v>4003</v>
      </c>
      <c r="B29" s="25" t="s">
        <v>4013</v>
      </c>
      <c r="C29" s="49">
        <v>8.2729999999999997</v>
      </c>
      <c r="D29" s="26">
        <f xml:space="preserve"> C29 / (24 * 'VRP Solver Console'!C11)</f>
        <v>5.745138888888889E-3</v>
      </c>
    </row>
    <row r="30" spans="1:4" x14ac:dyDescent="0.25">
      <c r="A30" s="25" t="s">
        <v>4003</v>
      </c>
      <c r="B30" s="25" t="s">
        <v>4014</v>
      </c>
      <c r="C30" s="50">
        <v>4.18</v>
      </c>
      <c r="D30" s="27">
        <f xml:space="preserve"> C30 / (24 * 'VRP Solver Console'!C11)</f>
        <v>2.9027777777777776E-3</v>
      </c>
    </row>
    <row r="31" spans="1:4" x14ac:dyDescent="0.25">
      <c r="A31" s="25" t="s">
        <v>4003</v>
      </c>
      <c r="B31" s="25" t="s">
        <v>4015</v>
      </c>
      <c r="C31" s="49">
        <v>5.8390000000000004</v>
      </c>
      <c r="D31" s="26">
        <f xml:space="preserve"> C31 / (24 * 'VRP Solver Console'!C11)</f>
        <v>4.0548611111111115E-3</v>
      </c>
    </row>
    <row r="32" spans="1:4" x14ac:dyDescent="0.25">
      <c r="A32" s="25" t="s">
        <v>4003</v>
      </c>
      <c r="B32" s="25" t="s">
        <v>4016</v>
      </c>
      <c r="C32" s="50">
        <v>8.5350000000000001</v>
      </c>
      <c r="D32" s="27">
        <f xml:space="preserve"> C32 / (24 * 'VRP Solver Console'!C11)</f>
        <v>5.9270833333333337E-3</v>
      </c>
    </row>
    <row r="33" spans="1:4" x14ac:dyDescent="0.25">
      <c r="A33" s="25" t="s">
        <v>4003</v>
      </c>
      <c r="B33" s="25" t="s">
        <v>4017</v>
      </c>
      <c r="C33" s="49">
        <v>7.2889999999999997</v>
      </c>
      <c r="D33" s="26">
        <f xml:space="preserve"> C33 / (24 * 'VRP Solver Console'!C11)</f>
        <v>5.0618055555555555E-3</v>
      </c>
    </row>
    <row r="34" spans="1:4" x14ac:dyDescent="0.25">
      <c r="A34" s="25" t="s">
        <v>4004</v>
      </c>
      <c r="B34" s="25" t="s">
        <v>4002</v>
      </c>
      <c r="C34" s="50">
        <v>17.802</v>
      </c>
      <c r="D34" s="27">
        <f xml:space="preserve"> C34 / (24 * 'VRP Solver Console'!C11)</f>
        <v>1.23625E-2</v>
      </c>
    </row>
    <row r="35" spans="1:4" x14ac:dyDescent="0.25">
      <c r="A35" s="25" t="s">
        <v>4004</v>
      </c>
      <c r="B35" s="25" t="s">
        <v>4003</v>
      </c>
      <c r="C35" s="49">
        <v>3.794</v>
      </c>
      <c r="D35" s="26">
        <f xml:space="preserve"> C35 / (24 * 'VRP Solver Console'!C11)</f>
        <v>2.6347222222222223E-3</v>
      </c>
    </row>
    <row r="36" spans="1:4" x14ac:dyDescent="0.25">
      <c r="A36" s="25" t="s">
        <v>4004</v>
      </c>
      <c r="B36" s="25" t="s">
        <v>4004</v>
      </c>
      <c r="C36" s="50">
        <v>0</v>
      </c>
      <c r="D36" s="27">
        <v>0</v>
      </c>
    </row>
    <row r="37" spans="1:4" x14ac:dyDescent="0.25">
      <c r="A37" s="25" t="s">
        <v>4004</v>
      </c>
      <c r="B37" s="25" t="s">
        <v>4005</v>
      </c>
      <c r="C37" s="49">
        <v>0.58299999999999996</v>
      </c>
      <c r="D37" s="26">
        <f xml:space="preserve"> C37 / (24 * 'VRP Solver Console'!C11)</f>
        <v>4.048611111111111E-4</v>
      </c>
    </row>
    <row r="38" spans="1:4" x14ac:dyDescent="0.25">
      <c r="A38" s="25" t="s">
        <v>4004</v>
      </c>
      <c r="B38" s="25" t="s">
        <v>4006</v>
      </c>
      <c r="C38" s="50">
        <v>7.9539999999999997</v>
      </c>
      <c r="D38" s="27">
        <f xml:space="preserve"> C38 / (24 * 'VRP Solver Console'!C11)</f>
        <v>5.5236111111111111E-3</v>
      </c>
    </row>
    <row r="39" spans="1:4" x14ac:dyDescent="0.25">
      <c r="A39" s="25" t="s">
        <v>4004</v>
      </c>
      <c r="B39" s="25" t="s">
        <v>4007</v>
      </c>
      <c r="C39" s="49">
        <v>11.731999999999999</v>
      </c>
      <c r="D39" s="26">
        <f xml:space="preserve"> C39 / (24 * 'VRP Solver Console'!C11)</f>
        <v>8.1472222222222224E-3</v>
      </c>
    </row>
    <row r="40" spans="1:4" x14ac:dyDescent="0.25">
      <c r="A40" s="25" t="s">
        <v>4004</v>
      </c>
      <c r="B40" s="25" t="s">
        <v>4008</v>
      </c>
      <c r="C40" s="50">
        <v>4.617</v>
      </c>
      <c r="D40" s="27">
        <f xml:space="preserve"> C40 / (24 * 'VRP Solver Console'!C11)</f>
        <v>3.2062499999999999E-3</v>
      </c>
    </row>
    <row r="41" spans="1:4" x14ac:dyDescent="0.25">
      <c r="A41" s="25" t="s">
        <v>4004</v>
      </c>
      <c r="B41" s="25" t="s">
        <v>4009</v>
      </c>
      <c r="C41" s="49">
        <v>3.7040000000000002</v>
      </c>
      <c r="D41" s="26">
        <f xml:space="preserve"> C41 / (24 * 'VRP Solver Console'!C11)</f>
        <v>2.5722222222222223E-3</v>
      </c>
    </row>
    <row r="42" spans="1:4" x14ac:dyDescent="0.25">
      <c r="A42" s="25" t="s">
        <v>4004</v>
      </c>
      <c r="B42" s="25" t="s">
        <v>4010</v>
      </c>
      <c r="C42" s="50">
        <v>16.22</v>
      </c>
      <c r="D42" s="27">
        <f xml:space="preserve"> C42 / (24 * 'VRP Solver Console'!C11)</f>
        <v>1.1263888888888888E-2</v>
      </c>
    </row>
    <row r="43" spans="1:4" x14ac:dyDescent="0.25">
      <c r="A43" s="25" t="s">
        <v>4004</v>
      </c>
      <c r="B43" s="25" t="s">
        <v>4011</v>
      </c>
      <c r="C43" s="49">
        <v>17.084</v>
      </c>
      <c r="D43" s="26">
        <f xml:space="preserve"> C43 / (24 * 'VRP Solver Console'!C11)</f>
        <v>1.1863888888888889E-2</v>
      </c>
    </row>
    <row r="44" spans="1:4" x14ac:dyDescent="0.25">
      <c r="A44" s="25" t="s">
        <v>4004</v>
      </c>
      <c r="B44" s="25" t="s">
        <v>4012</v>
      </c>
      <c r="C44" s="50">
        <v>14.19</v>
      </c>
      <c r="D44" s="27">
        <f xml:space="preserve"> C44 / (24 * 'VRP Solver Console'!C11)</f>
        <v>9.8541666666666656E-3</v>
      </c>
    </row>
    <row r="45" spans="1:4" x14ac:dyDescent="0.25">
      <c r="A45" s="25" t="s">
        <v>4004</v>
      </c>
      <c r="B45" s="25" t="s">
        <v>4013</v>
      </c>
      <c r="C45" s="49">
        <v>10.574999999999999</v>
      </c>
      <c r="D45" s="26">
        <f xml:space="preserve"> C45 / (24 * 'VRP Solver Console'!C11)</f>
        <v>7.3437499999999996E-3</v>
      </c>
    </row>
    <row r="46" spans="1:4" x14ac:dyDescent="0.25">
      <c r="A46" s="25" t="s">
        <v>4004</v>
      </c>
      <c r="B46" s="25" t="s">
        <v>4014</v>
      </c>
      <c r="C46" s="50">
        <v>6.4820000000000002</v>
      </c>
      <c r="D46" s="27">
        <f xml:space="preserve"> C46 / (24 * 'VRP Solver Console'!C11)</f>
        <v>4.501388888888889E-3</v>
      </c>
    </row>
    <row r="47" spans="1:4" x14ac:dyDescent="0.25">
      <c r="A47" s="25" t="s">
        <v>4004</v>
      </c>
      <c r="B47" s="25" t="s">
        <v>4015</v>
      </c>
      <c r="C47" s="49">
        <v>8.141</v>
      </c>
      <c r="D47" s="26">
        <f xml:space="preserve"> C47 / (24 * 'VRP Solver Console'!C11)</f>
        <v>5.6534722222222221E-3</v>
      </c>
    </row>
    <row r="48" spans="1:4" x14ac:dyDescent="0.25">
      <c r="A48" s="25" t="s">
        <v>4004</v>
      </c>
      <c r="B48" s="25" t="s">
        <v>4016</v>
      </c>
      <c r="C48" s="50">
        <v>10.837</v>
      </c>
      <c r="D48" s="27">
        <f xml:space="preserve"> C48 / (24 * 'VRP Solver Console'!C11)</f>
        <v>7.5256944444444442E-3</v>
      </c>
    </row>
    <row r="49" spans="1:4" x14ac:dyDescent="0.25">
      <c r="A49" s="25" t="s">
        <v>4004</v>
      </c>
      <c r="B49" s="25" t="s">
        <v>4017</v>
      </c>
      <c r="C49" s="49">
        <v>9.5909999999999993</v>
      </c>
      <c r="D49" s="26">
        <f xml:space="preserve"> C49 / (24 * 'VRP Solver Console'!C11)</f>
        <v>6.660416666666666E-3</v>
      </c>
    </row>
    <row r="50" spans="1:4" x14ac:dyDescent="0.25">
      <c r="A50" s="25" t="s">
        <v>4005</v>
      </c>
      <c r="B50" s="25" t="s">
        <v>4002</v>
      </c>
      <c r="C50" s="50">
        <v>17.218</v>
      </c>
      <c r="D50" s="27">
        <f xml:space="preserve"> C50 / (24 * 'VRP Solver Console'!C11)</f>
        <v>1.1956944444444444E-2</v>
      </c>
    </row>
    <row r="51" spans="1:4" x14ac:dyDescent="0.25">
      <c r="A51" s="25" t="s">
        <v>4005</v>
      </c>
      <c r="B51" s="25" t="s">
        <v>4003</v>
      </c>
      <c r="C51" s="49">
        <v>3.21</v>
      </c>
      <c r="D51" s="26">
        <f xml:space="preserve"> C51 / (24 * 'VRP Solver Console'!C11)</f>
        <v>2.2291666666666666E-3</v>
      </c>
    </row>
    <row r="52" spans="1:4" x14ac:dyDescent="0.25">
      <c r="A52" s="25" t="s">
        <v>4005</v>
      </c>
      <c r="B52" s="25" t="s">
        <v>4004</v>
      </c>
      <c r="C52" s="50">
        <v>0.58299999999999996</v>
      </c>
      <c r="D52" s="27">
        <f xml:space="preserve"> C52 / (24 * 'VRP Solver Console'!C11)</f>
        <v>4.048611111111111E-4</v>
      </c>
    </row>
    <row r="53" spans="1:4" x14ac:dyDescent="0.25">
      <c r="A53" s="25" t="s">
        <v>4005</v>
      </c>
      <c r="B53" s="25" t="s">
        <v>4005</v>
      </c>
      <c r="C53" s="49">
        <v>0</v>
      </c>
      <c r="D53" s="26">
        <v>0</v>
      </c>
    </row>
    <row r="54" spans="1:4" x14ac:dyDescent="0.25">
      <c r="A54" s="25" t="s">
        <v>4005</v>
      </c>
      <c r="B54" s="25" t="s">
        <v>4006</v>
      </c>
      <c r="C54" s="50">
        <v>7.37</v>
      </c>
      <c r="D54" s="27">
        <f xml:space="preserve"> C54 / (24 * 'VRP Solver Console'!C11)</f>
        <v>5.1180555555555554E-3</v>
      </c>
    </row>
    <row r="55" spans="1:4" x14ac:dyDescent="0.25">
      <c r="A55" s="25" t="s">
        <v>4005</v>
      </c>
      <c r="B55" s="25" t="s">
        <v>4007</v>
      </c>
      <c r="C55" s="49">
        <v>11.148</v>
      </c>
      <c r="D55" s="26">
        <f xml:space="preserve"> C55 / (24 * 'VRP Solver Console'!C11)</f>
        <v>7.7416666666666667E-3</v>
      </c>
    </row>
    <row r="56" spans="1:4" x14ac:dyDescent="0.25">
      <c r="A56" s="25" t="s">
        <v>4005</v>
      </c>
      <c r="B56" s="25" t="s">
        <v>4008</v>
      </c>
      <c r="C56" s="50">
        <v>4.0330000000000004</v>
      </c>
      <c r="D56" s="27">
        <f xml:space="preserve"> C56 / (24 * 'VRP Solver Console'!C11)</f>
        <v>2.8006944444444446E-3</v>
      </c>
    </row>
    <row r="57" spans="1:4" x14ac:dyDescent="0.25">
      <c r="A57" s="25" t="s">
        <v>4005</v>
      </c>
      <c r="B57" s="25" t="s">
        <v>4009</v>
      </c>
      <c r="C57" s="49">
        <v>3.12</v>
      </c>
      <c r="D57" s="26">
        <f xml:space="preserve"> C57 / (24 * 'VRP Solver Console'!C11)</f>
        <v>2.1666666666666666E-3</v>
      </c>
    </row>
    <row r="58" spans="1:4" x14ac:dyDescent="0.25">
      <c r="A58" s="25" t="s">
        <v>4005</v>
      </c>
      <c r="B58" s="25" t="s">
        <v>4010</v>
      </c>
      <c r="C58" s="50">
        <v>15.635999999999999</v>
      </c>
      <c r="D58" s="27">
        <f xml:space="preserve"> C58 / (24 * 'VRP Solver Console'!C11)</f>
        <v>1.0858333333333333E-2</v>
      </c>
    </row>
    <row r="59" spans="1:4" x14ac:dyDescent="0.25">
      <c r="A59" s="25" t="s">
        <v>4005</v>
      </c>
      <c r="B59" s="25" t="s">
        <v>4011</v>
      </c>
      <c r="C59" s="49">
        <v>16.5</v>
      </c>
      <c r="D59" s="26">
        <f xml:space="preserve"> C59 / (24 * 'VRP Solver Console'!C11)</f>
        <v>1.1458333333333333E-2</v>
      </c>
    </row>
    <row r="60" spans="1:4" x14ac:dyDescent="0.25">
      <c r="A60" s="25" t="s">
        <v>4005</v>
      </c>
      <c r="B60" s="25" t="s">
        <v>4012</v>
      </c>
      <c r="C60" s="50">
        <v>13.606</v>
      </c>
      <c r="D60" s="27">
        <f xml:space="preserve"> C60 / (24 * 'VRP Solver Console'!C11)</f>
        <v>9.4486111111111108E-3</v>
      </c>
    </row>
    <row r="61" spans="1:4" x14ac:dyDescent="0.25">
      <c r="A61" s="25" t="s">
        <v>4005</v>
      </c>
      <c r="B61" s="25" t="s">
        <v>4013</v>
      </c>
      <c r="C61" s="49">
        <v>9.9909999999999997</v>
      </c>
      <c r="D61" s="26">
        <f xml:space="preserve"> C61 / (24 * 'VRP Solver Console'!C11)</f>
        <v>6.9381944444444439E-3</v>
      </c>
    </row>
    <row r="62" spans="1:4" x14ac:dyDescent="0.25">
      <c r="A62" s="25" t="s">
        <v>4005</v>
      </c>
      <c r="B62" s="25" t="s">
        <v>4014</v>
      </c>
      <c r="C62" s="50">
        <v>5.8979999999999997</v>
      </c>
      <c r="D62" s="27">
        <f xml:space="preserve"> C62 / (24 * 'VRP Solver Console'!C11)</f>
        <v>4.0958333333333333E-3</v>
      </c>
    </row>
    <row r="63" spans="1:4" x14ac:dyDescent="0.25">
      <c r="A63" s="25" t="s">
        <v>4005</v>
      </c>
      <c r="B63" s="25" t="s">
        <v>4015</v>
      </c>
      <c r="C63" s="49">
        <v>7.5570000000000004</v>
      </c>
      <c r="D63" s="26">
        <f xml:space="preserve"> C63 / (24 * 'VRP Solver Console'!C11)</f>
        <v>5.2479166666666672E-3</v>
      </c>
    </row>
    <row r="64" spans="1:4" x14ac:dyDescent="0.25">
      <c r="A64" s="25" t="s">
        <v>4005</v>
      </c>
      <c r="B64" s="25" t="s">
        <v>4016</v>
      </c>
      <c r="C64" s="50">
        <v>10.253</v>
      </c>
      <c r="D64" s="27">
        <f xml:space="preserve"> C64 / (24 * 'VRP Solver Console'!C11)</f>
        <v>7.1201388888888894E-3</v>
      </c>
    </row>
    <row r="65" spans="1:4" x14ac:dyDescent="0.25">
      <c r="A65" s="25" t="s">
        <v>4005</v>
      </c>
      <c r="B65" s="25" t="s">
        <v>4017</v>
      </c>
      <c r="C65" s="49">
        <v>9.0069999999999997</v>
      </c>
      <c r="D65" s="26">
        <f xml:space="preserve"> C65 / (24 * 'VRP Solver Console'!C11)</f>
        <v>6.2548611111111112E-3</v>
      </c>
    </row>
    <row r="66" spans="1:4" x14ac:dyDescent="0.25">
      <c r="A66" s="25" t="s">
        <v>4006</v>
      </c>
      <c r="B66" s="25" t="s">
        <v>4002</v>
      </c>
      <c r="C66" s="50">
        <v>9.8469999999999995</v>
      </c>
      <c r="D66" s="27">
        <f xml:space="preserve"> C66 / (24 * 'VRP Solver Console'!C11)</f>
        <v>6.8381944444444445E-3</v>
      </c>
    </row>
    <row r="67" spans="1:4" x14ac:dyDescent="0.25">
      <c r="A67" s="25" t="s">
        <v>4006</v>
      </c>
      <c r="B67" s="25" t="s">
        <v>4003</v>
      </c>
      <c r="C67" s="49">
        <v>5.6520000000000001</v>
      </c>
      <c r="D67" s="26">
        <f xml:space="preserve"> C67 / (24 * 'VRP Solver Console'!C11)</f>
        <v>3.9249999999999997E-3</v>
      </c>
    </row>
    <row r="68" spans="1:4" x14ac:dyDescent="0.25">
      <c r="A68" s="25" t="s">
        <v>4006</v>
      </c>
      <c r="B68" s="25" t="s">
        <v>4004</v>
      </c>
      <c r="C68" s="50">
        <v>7.9539999999999997</v>
      </c>
      <c r="D68" s="27">
        <f xml:space="preserve"> C68 / (24 * 'VRP Solver Console'!C11)</f>
        <v>5.5236111111111111E-3</v>
      </c>
    </row>
    <row r="69" spans="1:4" x14ac:dyDescent="0.25">
      <c r="A69" s="25" t="s">
        <v>4006</v>
      </c>
      <c r="B69" s="25" t="s">
        <v>4005</v>
      </c>
      <c r="C69" s="49">
        <v>7.37</v>
      </c>
      <c r="D69" s="26">
        <f xml:space="preserve"> C69 / (24 * 'VRP Solver Console'!C11)</f>
        <v>5.1180555555555554E-3</v>
      </c>
    </row>
    <row r="70" spans="1:4" x14ac:dyDescent="0.25">
      <c r="A70" s="25" t="s">
        <v>4006</v>
      </c>
      <c r="B70" s="25" t="s">
        <v>4006</v>
      </c>
      <c r="C70" s="50">
        <v>0</v>
      </c>
      <c r="D70" s="27">
        <v>0</v>
      </c>
    </row>
    <row r="71" spans="1:4" x14ac:dyDescent="0.25">
      <c r="A71" s="25" t="s">
        <v>4006</v>
      </c>
      <c r="B71" s="25" t="s">
        <v>4007</v>
      </c>
      <c r="C71" s="49">
        <v>3.7770000000000001</v>
      </c>
      <c r="D71" s="26">
        <f xml:space="preserve"> C71 / (24 * 'VRP Solver Console'!C11)</f>
        <v>2.6229166666666666E-3</v>
      </c>
    </row>
    <row r="72" spans="1:4" x14ac:dyDescent="0.25">
      <c r="A72" s="25" t="s">
        <v>4006</v>
      </c>
      <c r="B72" s="25" t="s">
        <v>4008</v>
      </c>
      <c r="C72" s="50">
        <v>3.3359999999999999</v>
      </c>
      <c r="D72" s="27">
        <f xml:space="preserve"> C72 / (24 * 'VRP Solver Console'!C11)</f>
        <v>2.3166666666666665E-3</v>
      </c>
    </row>
    <row r="73" spans="1:4" x14ac:dyDescent="0.25">
      <c r="A73" s="25" t="s">
        <v>4006</v>
      </c>
      <c r="B73" s="25" t="s">
        <v>4009</v>
      </c>
      <c r="C73" s="49">
        <v>4.2489999999999997</v>
      </c>
      <c r="D73" s="26">
        <f xml:space="preserve"> C73 / (24 * 'VRP Solver Console'!C11)</f>
        <v>2.9506944444444442E-3</v>
      </c>
    </row>
    <row r="74" spans="1:4" x14ac:dyDescent="0.25">
      <c r="A74" s="25" t="s">
        <v>4006</v>
      </c>
      <c r="B74" s="25" t="s">
        <v>4010</v>
      </c>
      <c r="C74" s="50">
        <v>8.2650000000000006</v>
      </c>
      <c r="D74" s="27">
        <f xml:space="preserve"> C74 / (24 * 'VRP Solver Console'!C11)</f>
        <v>5.7395833333333335E-3</v>
      </c>
    </row>
    <row r="75" spans="1:4" x14ac:dyDescent="0.25">
      <c r="A75" s="25" t="s">
        <v>4006</v>
      </c>
      <c r="B75" s="25" t="s">
        <v>4011</v>
      </c>
      <c r="C75" s="49">
        <v>9.1289999999999996</v>
      </c>
      <c r="D75" s="26">
        <f xml:space="preserve"> C75 / (24 * 'VRP Solver Console'!C11)</f>
        <v>6.3395833333333334E-3</v>
      </c>
    </row>
    <row r="76" spans="1:4" x14ac:dyDescent="0.25">
      <c r="A76" s="25" t="s">
        <v>4006</v>
      </c>
      <c r="B76" s="25" t="s">
        <v>4012</v>
      </c>
      <c r="C76" s="50">
        <v>6.2350000000000003</v>
      </c>
      <c r="D76" s="27">
        <f xml:space="preserve"> C76 / (24 * 'VRP Solver Console'!C11)</f>
        <v>4.3298611111111116E-3</v>
      </c>
    </row>
    <row r="77" spans="1:4" x14ac:dyDescent="0.25">
      <c r="A77" s="25" t="s">
        <v>4006</v>
      </c>
      <c r="B77" s="25" t="s">
        <v>4013</v>
      </c>
      <c r="C77" s="49">
        <v>2.62</v>
      </c>
      <c r="D77" s="26">
        <f xml:space="preserve"> C77 / (24 * 'VRP Solver Console'!C11)</f>
        <v>1.8194444444444445E-3</v>
      </c>
    </row>
    <row r="78" spans="1:4" x14ac:dyDescent="0.25">
      <c r="A78" s="25" t="s">
        <v>4006</v>
      </c>
      <c r="B78" s="25" t="s">
        <v>4014</v>
      </c>
      <c r="C78" s="50">
        <v>1.472</v>
      </c>
      <c r="D78" s="27">
        <f xml:space="preserve"> C78 / (24 * 'VRP Solver Console'!C11)</f>
        <v>1.0222222222222221E-3</v>
      </c>
    </row>
    <row r="79" spans="1:4" x14ac:dyDescent="0.25">
      <c r="A79" s="25" t="s">
        <v>4006</v>
      </c>
      <c r="B79" s="25" t="s">
        <v>4015</v>
      </c>
      <c r="C79" s="49">
        <v>3.1309999999999998</v>
      </c>
      <c r="D79" s="26">
        <f xml:space="preserve"> C79 / (24 * 'VRP Solver Console'!C11)</f>
        <v>2.1743055555555552E-3</v>
      </c>
    </row>
    <row r="80" spans="1:4" x14ac:dyDescent="0.25">
      <c r="A80" s="25" t="s">
        <v>4006</v>
      </c>
      <c r="B80" s="25" t="s">
        <v>4016</v>
      </c>
      <c r="C80" s="50">
        <v>5.827</v>
      </c>
      <c r="D80" s="27">
        <f xml:space="preserve"> C80 / (24 * 'VRP Solver Console'!C11)</f>
        <v>4.0465277777777774E-3</v>
      </c>
    </row>
    <row r="81" spans="1:4" x14ac:dyDescent="0.25">
      <c r="A81" s="25" t="s">
        <v>4006</v>
      </c>
      <c r="B81" s="25" t="s">
        <v>4017</v>
      </c>
      <c r="C81" s="49">
        <v>4.5810000000000004</v>
      </c>
      <c r="D81" s="26">
        <f xml:space="preserve"> C81 / (24 * 'VRP Solver Console'!C11)</f>
        <v>3.1812500000000005E-3</v>
      </c>
    </row>
    <row r="82" spans="1:4" x14ac:dyDescent="0.25">
      <c r="A82" s="25" t="s">
        <v>4007</v>
      </c>
      <c r="B82" s="25" t="s">
        <v>4002</v>
      </c>
      <c r="C82" s="50">
        <v>6.069</v>
      </c>
      <c r="D82" s="27">
        <f xml:space="preserve"> C82 / (24 * 'VRP Solver Console'!C11)</f>
        <v>4.2145833333333332E-3</v>
      </c>
    </row>
    <row r="83" spans="1:4" x14ac:dyDescent="0.25">
      <c r="A83" s="25" t="s">
        <v>4007</v>
      </c>
      <c r="B83" s="25" t="s">
        <v>4003</v>
      </c>
      <c r="C83" s="49">
        <v>9.6769999999999996</v>
      </c>
      <c r="D83" s="26">
        <f xml:space="preserve"> C83 / (24 * 'VRP Solver Console'!C11)</f>
        <v>6.7201388888888883E-3</v>
      </c>
    </row>
    <row r="84" spans="1:4" x14ac:dyDescent="0.25">
      <c r="A84" s="25" t="s">
        <v>4007</v>
      </c>
      <c r="B84" s="25" t="s">
        <v>4004</v>
      </c>
      <c r="C84" s="50">
        <v>11.978999999999999</v>
      </c>
      <c r="D84" s="27">
        <f xml:space="preserve"> C84 / (24 * 'VRP Solver Console'!C11)</f>
        <v>8.3187499999999998E-3</v>
      </c>
    </row>
    <row r="85" spans="1:4" x14ac:dyDescent="0.25">
      <c r="A85" s="25" t="s">
        <v>4007</v>
      </c>
      <c r="B85" s="25" t="s">
        <v>4005</v>
      </c>
      <c r="C85" s="49">
        <v>11.395</v>
      </c>
      <c r="D85" s="26">
        <f xml:space="preserve"> C85 / (24 * 'VRP Solver Console'!C11)</f>
        <v>7.9131944444444449E-3</v>
      </c>
    </row>
    <row r="86" spans="1:4" x14ac:dyDescent="0.25">
      <c r="A86" s="25" t="s">
        <v>4007</v>
      </c>
      <c r="B86" s="25" t="s">
        <v>4006</v>
      </c>
      <c r="C86" s="50">
        <v>4.024</v>
      </c>
      <c r="D86" s="27">
        <f xml:space="preserve"> C86 / (24 * 'VRP Solver Console'!C11)</f>
        <v>2.7944444444444444E-3</v>
      </c>
    </row>
    <row r="87" spans="1:4" x14ac:dyDescent="0.25">
      <c r="A87" s="25" t="s">
        <v>4007</v>
      </c>
      <c r="B87" s="25" t="s">
        <v>4007</v>
      </c>
      <c r="C87" s="49">
        <v>0</v>
      </c>
      <c r="D87" s="26">
        <v>0</v>
      </c>
    </row>
    <row r="88" spans="1:4" x14ac:dyDescent="0.25">
      <c r="A88" s="25" t="s">
        <v>4007</v>
      </c>
      <c r="B88" s="25" t="s">
        <v>4008</v>
      </c>
      <c r="C88" s="50">
        <v>7.3609999999999998</v>
      </c>
      <c r="D88" s="27">
        <f xml:space="preserve"> C88 / (24 * 'VRP Solver Console'!C11)</f>
        <v>5.1118055555555552E-3</v>
      </c>
    </row>
    <row r="89" spans="1:4" x14ac:dyDescent="0.25">
      <c r="A89" s="25" t="s">
        <v>4007</v>
      </c>
      <c r="B89" s="25" t="s">
        <v>4009</v>
      </c>
      <c r="C89" s="49">
        <v>8.2739999999999991</v>
      </c>
      <c r="D89" s="26">
        <f xml:space="preserve"> C89 / (24 * 'VRP Solver Console'!C11)</f>
        <v>5.7458333333333328E-3</v>
      </c>
    </row>
    <row r="90" spans="1:4" x14ac:dyDescent="0.25">
      <c r="A90" s="25" t="s">
        <v>4007</v>
      </c>
      <c r="B90" s="25" t="s">
        <v>4010</v>
      </c>
      <c r="C90" s="50">
        <v>4.4870000000000001</v>
      </c>
      <c r="D90" s="27">
        <f xml:space="preserve"> C90 / (24 * 'VRP Solver Console'!C11)</f>
        <v>3.1159722222222222E-3</v>
      </c>
    </row>
    <row r="91" spans="1:4" x14ac:dyDescent="0.25">
      <c r="A91" s="25" t="s">
        <v>4007</v>
      </c>
      <c r="B91" s="25" t="s">
        <v>4011</v>
      </c>
      <c r="C91" s="49">
        <v>5.351</v>
      </c>
      <c r="D91" s="26">
        <f xml:space="preserve"> C91 / (24 * 'VRP Solver Console'!C11)</f>
        <v>3.7159722222222221E-3</v>
      </c>
    </row>
    <row r="92" spans="1:4" x14ac:dyDescent="0.25">
      <c r="A92" s="25" t="s">
        <v>4007</v>
      </c>
      <c r="B92" s="25" t="s">
        <v>4012</v>
      </c>
      <c r="C92" s="50">
        <v>2.4569999999999999</v>
      </c>
      <c r="D92" s="27">
        <f xml:space="preserve"> C92 / (24 * 'VRP Solver Console'!C11)</f>
        <v>1.7062499999999999E-3</v>
      </c>
    </row>
    <row r="93" spans="1:4" x14ac:dyDescent="0.25">
      <c r="A93" s="25" t="s">
        <v>4007</v>
      </c>
      <c r="B93" s="25" t="s">
        <v>4013</v>
      </c>
      <c r="C93" s="49">
        <v>1.71</v>
      </c>
      <c r="D93" s="26">
        <f xml:space="preserve"> C93 / (24 * 'VRP Solver Console'!C11)</f>
        <v>1.1875E-3</v>
      </c>
    </row>
    <row r="94" spans="1:4" x14ac:dyDescent="0.25">
      <c r="A94" s="25" t="s">
        <v>4007</v>
      </c>
      <c r="B94" s="25" t="s">
        <v>4014</v>
      </c>
      <c r="C94" s="50">
        <v>5.4969999999999999</v>
      </c>
      <c r="D94" s="27">
        <f xml:space="preserve"> C94 / (24 * 'VRP Solver Console'!C11)</f>
        <v>3.8173611111111112E-3</v>
      </c>
    </row>
    <row r="95" spans="1:4" x14ac:dyDescent="0.25">
      <c r="A95" s="25" t="s">
        <v>4007</v>
      </c>
      <c r="B95" s="25" t="s">
        <v>4015</v>
      </c>
      <c r="C95" s="49">
        <v>5.3810000000000002</v>
      </c>
      <c r="D95" s="26">
        <f xml:space="preserve"> C95 / (24 * 'VRP Solver Console'!C11)</f>
        <v>3.7368055555555557E-3</v>
      </c>
    </row>
    <row r="96" spans="1:4" x14ac:dyDescent="0.25">
      <c r="A96" s="25" t="s">
        <v>4007</v>
      </c>
      <c r="B96" s="25" t="s">
        <v>4016</v>
      </c>
      <c r="C96" s="50">
        <v>8.077</v>
      </c>
      <c r="D96" s="27">
        <f xml:space="preserve"> C96 / (24 * 'VRP Solver Console'!C11)</f>
        <v>5.6090277777777779E-3</v>
      </c>
    </row>
    <row r="97" spans="1:4" x14ac:dyDescent="0.25">
      <c r="A97" s="25" t="s">
        <v>4007</v>
      </c>
      <c r="B97" s="25" t="s">
        <v>4017</v>
      </c>
      <c r="C97" s="49">
        <v>6.8310000000000004</v>
      </c>
      <c r="D97" s="26">
        <f xml:space="preserve"> C97 / (24 * 'VRP Solver Console'!C11)</f>
        <v>4.7437500000000006E-3</v>
      </c>
    </row>
    <row r="98" spans="1:4" x14ac:dyDescent="0.25">
      <c r="A98" s="25" t="s">
        <v>4008</v>
      </c>
      <c r="B98" s="25" t="s">
        <v>4002</v>
      </c>
      <c r="C98" s="50">
        <v>13.183999999999999</v>
      </c>
      <c r="D98" s="27">
        <f xml:space="preserve"> C98 / (24 * 'VRP Solver Console'!C11)</f>
        <v>9.1555555555555557E-3</v>
      </c>
    </row>
    <row r="99" spans="1:4" x14ac:dyDescent="0.25">
      <c r="A99" s="25" t="s">
        <v>4008</v>
      </c>
      <c r="B99" s="25" t="s">
        <v>4003</v>
      </c>
      <c r="C99" s="49">
        <v>2.3149999999999999</v>
      </c>
      <c r="D99" s="26">
        <f xml:space="preserve"> C99 / (24 * 'VRP Solver Console'!C11)</f>
        <v>1.6076388888888889E-3</v>
      </c>
    </row>
    <row r="100" spans="1:4" x14ac:dyDescent="0.25">
      <c r="A100" s="25" t="s">
        <v>4008</v>
      </c>
      <c r="B100" s="25" t="s">
        <v>4004</v>
      </c>
      <c r="C100" s="50">
        <v>4.617</v>
      </c>
      <c r="D100" s="27">
        <f xml:space="preserve"> C100 / (24 * 'VRP Solver Console'!C11)</f>
        <v>3.2062499999999999E-3</v>
      </c>
    </row>
    <row r="101" spans="1:4" x14ac:dyDescent="0.25">
      <c r="A101" s="25" t="s">
        <v>4008</v>
      </c>
      <c r="B101" s="25" t="s">
        <v>4005</v>
      </c>
      <c r="C101" s="49">
        <v>4.0330000000000004</v>
      </c>
      <c r="D101" s="26">
        <f xml:space="preserve"> C101 / (24 * 'VRP Solver Console'!C11)</f>
        <v>2.8006944444444446E-3</v>
      </c>
    </row>
    <row r="102" spans="1:4" x14ac:dyDescent="0.25">
      <c r="A102" s="25" t="s">
        <v>4008</v>
      </c>
      <c r="B102" s="25" t="s">
        <v>4006</v>
      </c>
      <c r="C102" s="50">
        <v>3.3359999999999999</v>
      </c>
      <c r="D102" s="27">
        <f xml:space="preserve"> C102 / (24 * 'VRP Solver Console'!C11)</f>
        <v>2.3166666666666665E-3</v>
      </c>
    </row>
    <row r="103" spans="1:4" x14ac:dyDescent="0.25">
      <c r="A103" s="25" t="s">
        <v>4008</v>
      </c>
      <c r="B103" s="25" t="s">
        <v>4007</v>
      </c>
      <c r="C103" s="49">
        <v>7.1139999999999999</v>
      </c>
      <c r="D103" s="26">
        <f xml:space="preserve"> C103 / (24 * 'VRP Solver Console'!C11)</f>
        <v>4.9402777777777778E-3</v>
      </c>
    </row>
    <row r="104" spans="1:4" x14ac:dyDescent="0.25">
      <c r="A104" s="25" t="s">
        <v>4008</v>
      </c>
      <c r="B104" s="25" t="s">
        <v>4008</v>
      </c>
      <c r="C104" s="50">
        <v>0</v>
      </c>
      <c r="D104" s="27">
        <v>0</v>
      </c>
    </row>
    <row r="105" spans="1:4" x14ac:dyDescent="0.25">
      <c r="A105" s="25" t="s">
        <v>4008</v>
      </c>
      <c r="B105" s="25" t="s">
        <v>4009</v>
      </c>
      <c r="C105" s="49">
        <v>0.91200000000000003</v>
      </c>
      <c r="D105" s="26">
        <f xml:space="preserve"> C105 / (24 * 'VRP Solver Console'!C11)</f>
        <v>6.333333333333334E-4</v>
      </c>
    </row>
    <row r="106" spans="1:4" x14ac:dyDescent="0.25">
      <c r="A106" s="25" t="s">
        <v>4008</v>
      </c>
      <c r="B106" s="25" t="s">
        <v>4010</v>
      </c>
      <c r="C106" s="50">
        <v>11.602</v>
      </c>
      <c r="D106" s="27">
        <f xml:space="preserve"> C106 / (24 * 'VRP Solver Console'!C11)</f>
        <v>8.0569444444444447E-3</v>
      </c>
    </row>
    <row r="107" spans="1:4" x14ac:dyDescent="0.25">
      <c r="A107" s="25" t="s">
        <v>4008</v>
      </c>
      <c r="B107" s="25" t="s">
        <v>4011</v>
      </c>
      <c r="C107" s="49">
        <v>12.465999999999999</v>
      </c>
      <c r="D107" s="26">
        <f xml:space="preserve"> C107 / (24 * 'VRP Solver Console'!C11)</f>
        <v>8.6569444444444445E-3</v>
      </c>
    </row>
    <row r="108" spans="1:4" x14ac:dyDescent="0.25">
      <c r="A108" s="25" t="s">
        <v>4008</v>
      </c>
      <c r="B108" s="25" t="s">
        <v>4012</v>
      </c>
      <c r="C108" s="50">
        <v>9.5719999999999992</v>
      </c>
      <c r="D108" s="27">
        <f xml:space="preserve"> C108 / (24 * 'VRP Solver Console'!C11)</f>
        <v>6.6472222222222219E-3</v>
      </c>
    </row>
    <row r="109" spans="1:4" x14ac:dyDescent="0.25">
      <c r="A109" s="25" t="s">
        <v>4008</v>
      </c>
      <c r="B109" s="25" t="s">
        <v>4013</v>
      </c>
      <c r="C109" s="49">
        <v>5.9569999999999999</v>
      </c>
      <c r="D109" s="26">
        <f xml:space="preserve"> C109 / (24 * 'VRP Solver Console'!C11)</f>
        <v>4.136805555555555E-3</v>
      </c>
    </row>
    <row r="110" spans="1:4" x14ac:dyDescent="0.25">
      <c r="A110" s="25" t="s">
        <v>4008</v>
      </c>
      <c r="B110" s="25" t="s">
        <v>4014</v>
      </c>
      <c r="C110" s="50">
        <v>1.8640000000000001</v>
      </c>
      <c r="D110" s="27">
        <f xml:space="preserve"> C110 / (24 * 'VRP Solver Console'!C11)</f>
        <v>1.2944444444444444E-3</v>
      </c>
    </row>
    <row r="111" spans="1:4" x14ac:dyDescent="0.25">
      <c r="A111" s="25" t="s">
        <v>4008</v>
      </c>
      <c r="B111" s="25" t="s">
        <v>4015</v>
      </c>
      <c r="C111" s="49">
        <v>3.5230000000000001</v>
      </c>
      <c r="D111" s="26">
        <f xml:space="preserve"> C111 / (24 * 'VRP Solver Console'!C11)</f>
        <v>2.4465277777777779E-3</v>
      </c>
    </row>
    <row r="112" spans="1:4" x14ac:dyDescent="0.25">
      <c r="A112" s="25" t="s">
        <v>4008</v>
      </c>
      <c r="B112" s="25" t="s">
        <v>4016</v>
      </c>
      <c r="C112" s="50">
        <v>6.2190000000000003</v>
      </c>
      <c r="D112" s="27">
        <f xml:space="preserve"> C112 / (24 * 'VRP Solver Console'!C11)</f>
        <v>4.3187500000000005E-3</v>
      </c>
    </row>
    <row r="113" spans="1:4" x14ac:dyDescent="0.25">
      <c r="A113" s="25" t="s">
        <v>4008</v>
      </c>
      <c r="B113" s="25" t="s">
        <v>4017</v>
      </c>
      <c r="C113" s="49">
        <v>4.9729999999999999</v>
      </c>
      <c r="D113" s="26">
        <f xml:space="preserve"> C113 / (24 * 'VRP Solver Console'!C11)</f>
        <v>3.4534722222222219E-3</v>
      </c>
    </row>
    <row r="114" spans="1:4" x14ac:dyDescent="0.25">
      <c r="A114" s="25" t="s">
        <v>4009</v>
      </c>
      <c r="B114" s="25" t="s">
        <v>4002</v>
      </c>
      <c r="C114" s="50">
        <v>14.097</v>
      </c>
      <c r="D114" s="27">
        <f xml:space="preserve"> C114 / (24 * 'VRP Solver Console'!C11)</f>
        <v>9.7895833333333324E-3</v>
      </c>
    </row>
    <row r="115" spans="1:4" x14ac:dyDescent="0.25">
      <c r="A115" s="25" t="s">
        <v>4009</v>
      </c>
      <c r="B115" s="25" t="s">
        <v>4003</v>
      </c>
      <c r="C115" s="49">
        <v>1.4019999999999999</v>
      </c>
      <c r="D115" s="26">
        <f xml:space="preserve"> C115 / (24 * 'VRP Solver Console'!C11)</f>
        <v>9.7361111111111107E-4</v>
      </c>
    </row>
    <row r="116" spans="1:4" x14ac:dyDescent="0.25">
      <c r="A116" s="25" t="s">
        <v>4009</v>
      </c>
      <c r="B116" s="25" t="s">
        <v>4004</v>
      </c>
      <c r="C116" s="50">
        <v>3.7040000000000002</v>
      </c>
      <c r="D116" s="27">
        <f xml:space="preserve"> C116 / (24 * 'VRP Solver Console'!C11)</f>
        <v>2.5722222222222223E-3</v>
      </c>
    </row>
    <row r="117" spans="1:4" x14ac:dyDescent="0.25">
      <c r="A117" s="25" t="s">
        <v>4009</v>
      </c>
      <c r="B117" s="25" t="s">
        <v>4005</v>
      </c>
      <c r="C117" s="49">
        <v>3.12</v>
      </c>
      <c r="D117" s="26">
        <f xml:space="preserve"> C117 / (24 * 'VRP Solver Console'!C11)</f>
        <v>2.1666666666666666E-3</v>
      </c>
    </row>
    <row r="118" spans="1:4" x14ac:dyDescent="0.25">
      <c r="A118" s="25" t="s">
        <v>4009</v>
      </c>
      <c r="B118" s="25" t="s">
        <v>4006</v>
      </c>
      <c r="C118" s="50">
        <v>4.2489999999999997</v>
      </c>
      <c r="D118" s="27">
        <f xml:space="preserve"> C118 / (24 * 'VRP Solver Console'!C11)</f>
        <v>2.9506944444444442E-3</v>
      </c>
    </row>
    <row r="119" spans="1:4" x14ac:dyDescent="0.25">
      <c r="A119" s="25" t="s">
        <v>4009</v>
      </c>
      <c r="B119" s="25" t="s">
        <v>4007</v>
      </c>
      <c r="C119" s="49">
        <v>8.0269999999999992</v>
      </c>
      <c r="D119" s="26">
        <f xml:space="preserve"> C119 / (24 * 'VRP Solver Console'!C11)</f>
        <v>5.5743055555555554E-3</v>
      </c>
    </row>
    <row r="120" spans="1:4" x14ac:dyDescent="0.25">
      <c r="A120" s="25" t="s">
        <v>4009</v>
      </c>
      <c r="B120" s="25" t="s">
        <v>4008</v>
      </c>
      <c r="C120" s="50">
        <v>0.91200000000000003</v>
      </c>
      <c r="D120" s="27">
        <f xml:space="preserve"> C120 / (24 * 'VRP Solver Console'!C11)</f>
        <v>6.333333333333334E-4</v>
      </c>
    </row>
    <row r="121" spans="1:4" x14ac:dyDescent="0.25">
      <c r="A121" s="25" t="s">
        <v>4009</v>
      </c>
      <c r="B121" s="25" t="s">
        <v>4009</v>
      </c>
      <c r="C121" s="49">
        <v>0</v>
      </c>
      <c r="D121" s="26">
        <v>0</v>
      </c>
    </row>
    <row r="122" spans="1:4" x14ac:dyDescent="0.25">
      <c r="A122" s="25" t="s">
        <v>4009</v>
      </c>
      <c r="B122" s="25" t="s">
        <v>4010</v>
      </c>
      <c r="C122" s="50">
        <v>12.515000000000001</v>
      </c>
      <c r="D122" s="27">
        <f xml:space="preserve"> C122 / (24 * 'VRP Solver Console'!C11)</f>
        <v>8.6909722222222232E-3</v>
      </c>
    </row>
    <row r="123" spans="1:4" x14ac:dyDescent="0.25">
      <c r="A123" s="25" t="s">
        <v>4009</v>
      </c>
      <c r="B123" s="25" t="s">
        <v>4011</v>
      </c>
      <c r="C123" s="49">
        <v>13.379</v>
      </c>
      <c r="D123" s="26">
        <f xml:space="preserve"> C123 / (24 * 'VRP Solver Console'!C11)</f>
        <v>9.2909722222222213E-3</v>
      </c>
    </row>
    <row r="124" spans="1:4" x14ac:dyDescent="0.25">
      <c r="A124" s="25" t="s">
        <v>4009</v>
      </c>
      <c r="B124" s="25" t="s">
        <v>4012</v>
      </c>
      <c r="C124" s="50">
        <v>10.484999999999999</v>
      </c>
      <c r="D124" s="27">
        <f xml:space="preserve"> C124 / (24 * 'VRP Solver Console'!C11)</f>
        <v>7.2812499999999995E-3</v>
      </c>
    </row>
    <row r="125" spans="1:4" x14ac:dyDescent="0.25">
      <c r="A125" s="25" t="s">
        <v>4009</v>
      </c>
      <c r="B125" s="25" t="s">
        <v>4013</v>
      </c>
      <c r="C125" s="49">
        <v>6.87</v>
      </c>
      <c r="D125" s="26">
        <f xml:space="preserve"> C125 / (24 * 'VRP Solver Console'!C11)</f>
        <v>4.7708333333333335E-3</v>
      </c>
    </row>
    <row r="126" spans="1:4" x14ac:dyDescent="0.25">
      <c r="A126" s="25" t="s">
        <v>4009</v>
      </c>
      <c r="B126" s="25" t="s">
        <v>4014</v>
      </c>
      <c r="C126" s="50">
        <v>2.7770000000000001</v>
      </c>
      <c r="D126" s="27">
        <f xml:space="preserve"> C126 / (24 * 'VRP Solver Console'!C11)</f>
        <v>1.9284722222222223E-3</v>
      </c>
    </row>
    <row r="127" spans="1:4" x14ac:dyDescent="0.25">
      <c r="A127" s="25" t="s">
        <v>4009</v>
      </c>
      <c r="B127" s="25" t="s">
        <v>4015</v>
      </c>
      <c r="C127" s="49">
        <v>4.4359999999999999</v>
      </c>
      <c r="D127" s="26">
        <f xml:space="preserve"> C127 / (24 * 'VRP Solver Console'!C11)</f>
        <v>3.0805555555555556E-3</v>
      </c>
    </row>
    <row r="128" spans="1:4" x14ac:dyDescent="0.25">
      <c r="A128" s="25" t="s">
        <v>4009</v>
      </c>
      <c r="B128" s="25" t="s">
        <v>4016</v>
      </c>
      <c r="C128" s="50">
        <v>7.1319999999999997</v>
      </c>
      <c r="D128" s="27">
        <f xml:space="preserve"> C128 / (24 * 'VRP Solver Console'!C11)</f>
        <v>4.9527777777777773E-3</v>
      </c>
    </row>
    <row r="129" spans="1:4" x14ac:dyDescent="0.25">
      <c r="A129" s="25" t="s">
        <v>4009</v>
      </c>
      <c r="B129" s="25" t="s">
        <v>4017</v>
      </c>
      <c r="C129" s="49">
        <v>5.8860000000000001</v>
      </c>
      <c r="D129" s="26">
        <f xml:space="preserve"> C129 / (24 * 'VRP Solver Console'!C11)</f>
        <v>4.0875E-3</v>
      </c>
    </row>
    <row r="130" spans="1:4" x14ac:dyDescent="0.25">
      <c r="A130" s="25" t="s">
        <v>4010</v>
      </c>
      <c r="B130" s="25" t="s">
        <v>4002</v>
      </c>
      <c r="C130" s="50">
        <v>3.089</v>
      </c>
      <c r="D130" s="27">
        <f xml:space="preserve"> C130 / (24 * 'VRP Solver Console'!C11)</f>
        <v>2.1451388888888887E-3</v>
      </c>
    </row>
    <row r="131" spans="1:4" x14ac:dyDescent="0.25">
      <c r="A131" s="25" t="s">
        <v>4010</v>
      </c>
      <c r="B131" s="25" t="s">
        <v>4003</v>
      </c>
      <c r="C131" s="49">
        <v>13.045</v>
      </c>
      <c r="D131" s="26">
        <f xml:space="preserve"> C131 / (24 * 'VRP Solver Console'!C11)</f>
        <v>9.059027777777777E-3</v>
      </c>
    </row>
    <row r="132" spans="1:4" x14ac:dyDescent="0.25">
      <c r="A132" s="25" t="s">
        <v>4010</v>
      </c>
      <c r="B132" s="25" t="s">
        <v>4004</v>
      </c>
      <c r="C132" s="50">
        <v>15.347</v>
      </c>
      <c r="D132" s="27">
        <f xml:space="preserve"> C132 / (24 * 'VRP Solver Console'!C11)</f>
        <v>1.0657638888888888E-2</v>
      </c>
    </row>
    <row r="133" spans="1:4" x14ac:dyDescent="0.25">
      <c r="A133" s="25" t="s">
        <v>4010</v>
      </c>
      <c r="B133" s="25" t="s">
        <v>4005</v>
      </c>
      <c r="C133" s="49">
        <v>14.763</v>
      </c>
      <c r="D133" s="26">
        <f xml:space="preserve"> C133 / (24 * 'VRP Solver Console'!C11)</f>
        <v>1.0252083333333334E-2</v>
      </c>
    </row>
    <row r="134" spans="1:4" x14ac:dyDescent="0.25">
      <c r="A134" s="25" t="s">
        <v>4010</v>
      </c>
      <c r="B134" s="25" t="s">
        <v>4006</v>
      </c>
      <c r="C134" s="50">
        <v>7.3920000000000003</v>
      </c>
      <c r="D134" s="27">
        <f xml:space="preserve"> C134 / (24 * 'VRP Solver Console'!C11)</f>
        <v>5.1333333333333335E-3</v>
      </c>
    </row>
    <row r="135" spans="1:4" x14ac:dyDescent="0.25">
      <c r="A135" s="25" t="s">
        <v>4010</v>
      </c>
      <c r="B135" s="25" t="s">
        <v>4007</v>
      </c>
      <c r="C135" s="49">
        <v>3.68</v>
      </c>
      <c r="D135" s="26">
        <f xml:space="preserve"> C135 / (24 * 'VRP Solver Console'!C11)</f>
        <v>2.5555555555555557E-3</v>
      </c>
    </row>
    <row r="136" spans="1:4" x14ac:dyDescent="0.25">
      <c r="A136" s="25" t="s">
        <v>4010</v>
      </c>
      <c r="B136" s="25" t="s">
        <v>4008</v>
      </c>
      <c r="C136" s="50">
        <v>10.728999999999999</v>
      </c>
      <c r="D136" s="27">
        <f xml:space="preserve"> C136 / (24 * 'VRP Solver Console'!C11)</f>
        <v>7.4506944444444438E-3</v>
      </c>
    </row>
    <row r="137" spans="1:4" x14ac:dyDescent="0.25">
      <c r="A137" s="25" t="s">
        <v>4010</v>
      </c>
      <c r="B137" s="25" t="s">
        <v>4009</v>
      </c>
      <c r="C137" s="49">
        <v>11.641999999999999</v>
      </c>
      <c r="D137" s="26">
        <f xml:space="preserve"> C137 / (24 * 'VRP Solver Console'!C11)</f>
        <v>8.0847222222222223E-3</v>
      </c>
    </row>
    <row r="138" spans="1:4" x14ac:dyDescent="0.25">
      <c r="A138" s="25" t="s">
        <v>4010</v>
      </c>
      <c r="B138" s="25" t="s">
        <v>4010</v>
      </c>
      <c r="C138" s="50">
        <v>0</v>
      </c>
      <c r="D138" s="27">
        <v>0</v>
      </c>
    </row>
    <row r="139" spans="1:4" x14ac:dyDescent="0.25">
      <c r="A139" s="25" t="s">
        <v>4010</v>
      </c>
      <c r="B139" s="25" t="s">
        <v>4011</v>
      </c>
      <c r="C139" s="49">
        <v>2.371</v>
      </c>
      <c r="D139" s="26">
        <f xml:space="preserve"> C139 / (24 * 'VRP Solver Console'!C11)</f>
        <v>1.6465277777777778E-3</v>
      </c>
    </row>
    <row r="140" spans="1:4" x14ac:dyDescent="0.25">
      <c r="A140" s="25" t="s">
        <v>4010</v>
      </c>
      <c r="B140" s="25" t="s">
        <v>4012</v>
      </c>
      <c r="C140" s="50">
        <v>2.1890000000000001</v>
      </c>
      <c r="D140" s="27">
        <f xml:space="preserve"> C140 / (24 * 'VRP Solver Console'!C11)</f>
        <v>1.520138888888889E-3</v>
      </c>
    </row>
    <row r="141" spans="1:4" x14ac:dyDescent="0.25">
      <c r="A141" s="25" t="s">
        <v>4010</v>
      </c>
      <c r="B141" s="25" t="s">
        <v>4013</v>
      </c>
      <c r="C141" s="49">
        <v>5.0780000000000003</v>
      </c>
      <c r="D141" s="26">
        <f xml:space="preserve"> C141 / (24 * 'VRP Solver Console'!C11)</f>
        <v>3.5263888888888892E-3</v>
      </c>
    </row>
    <row r="142" spans="1:4" x14ac:dyDescent="0.25">
      <c r="A142" s="25" t="s">
        <v>4010</v>
      </c>
      <c r="B142" s="25" t="s">
        <v>4014</v>
      </c>
      <c r="C142" s="50">
        <v>8.8650000000000002</v>
      </c>
      <c r="D142" s="27">
        <f xml:space="preserve"> C142 / (24 * 'VRP Solver Console'!C11)</f>
        <v>6.1562500000000003E-3</v>
      </c>
    </row>
    <row r="143" spans="1:4" x14ac:dyDescent="0.25">
      <c r="A143" s="25" t="s">
        <v>4010</v>
      </c>
      <c r="B143" s="25" t="s">
        <v>4015</v>
      </c>
      <c r="C143" s="49">
        <v>8.7490000000000006</v>
      </c>
      <c r="D143" s="26">
        <f xml:space="preserve"> C143 / (24 * 'VRP Solver Console'!C11)</f>
        <v>6.0756944444444452E-3</v>
      </c>
    </row>
    <row r="144" spans="1:4" x14ac:dyDescent="0.25">
      <c r="A144" s="25" t="s">
        <v>4010</v>
      </c>
      <c r="B144" s="25" t="s">
        <v>4016</v>
      </c>
      <c r="C144" s="50">
        <v>11.445</v>
      </c>
      <c r="D144" s="27">
        <f xml:space="preserve"> C144 / (24 * 'VRP Solver Console'!C11)</f>
        <v>7.9479166666666674E-3</v>
      </c>
    </row>
    <row r="145" spans="1:4" x14ac:dyDescent="0.25">
      <c r="A145" s="25" t="s">
        <v>4010</v>
      </c>
      <c r="B145" s="25" t="s">
        <v>4017</v>
      </c>
      <c r="C145" s="49">
        <v>10.199</v>
      </c>
      <c r="D145" s="26">
        <f xml:space="preserve"> C145 / (24 * 'VRP Solver Console'!C11)</f>
        <v>7.0826388888888892E-3</v>
      </c>
    </row>
    <row r="146" spans="1:4" x14ac:dyDescent="0.25">
      <c r="A146" s="25" t="s">
        <v>4011</v>
      </c>
      <c r="B146" s="25" t="s">
        <v>4002</v>
      </c>
      <c r="C146" s="50">
        <v>0.77200000000000002</v>
      </c>
      <c r="D146" s="27">
        <f xml:space="preserve"> C146 / (24 * 'VRP Solver Console'!C11)</f>
        <v>5.3611111111111112E-4</v>
      </c>
    </row>
    <row r="147" spans="1:4" x14ac:dyDescent="0.25">
      <c r="A147" s="25" t="s">
        <v>4011</v>
      </c>
      <c r="B147" s="25" t="s">
        <v>4003</v>
      </c>
      <c r="C147" s="49">
        <v>14.516</v>
      </c>
      <c r="D147" s="26">
        <f xml:space="preserve"> C147 / (24 * 'VRP Solver Console'!C11)</f>
        <v>1.0080555555555556E-2</v>
      </c>
    </row>
    <row r="148" spans="1:4" x14ac:dyDescent="0.25">
      <c r="A148" s="25" t="s">
        <v>4011</v>
      </c>
      <c r="B148" s="25" t="s">
        <v>4004</v>
      </c>
      <c r="C148" s="50">
        <v>16.818000000000001</v>
      </c>
      <c r="D148" s="27">
        <f xml:space="preserve"> C148 / (24 * 'VRP Solver Console'!C11)</f>
        <v>1.1679166666666668E-2</v>
      </c>
    </row>
    <row r="149" spans="1:4" x14ac:dyDescent="0.25">
      <c r="A149" s="25" t="s">
        <v>4011</v>
      </c>
      <c r="B149" s="25" t="s">
        <v>4005</v>
      </c>
      <c r="C149" s="49">
        <v>16.234000000000002</v>
      </c>
      <c r="D149" s="26">
        <f xml:space="preserve"> C149 / (24 * 'VRP Solver Console'!C11)</f>
        <v>1.1273611111111113E-2</v>
      </c>
    </row>
    <row r="150" spans="1:4" x14ac:dyDescent="0.25">
      <c r="A150" s="25" t="s">
        <v>4011</v>
      </c>
      <c r="B150" s="25" t="s">
        <v>4006</v>
      </c>
      <c r="C150" s="50">
        <v>8.8629999999999995</v>
      </c>
      <c r="D150" s="27">
        <f xml:space="preserve"> C150 / (24 * 'VRP Solver Console'!C11)</f>
        <v>6.1548611111111109E-3</v>
      </c>
    </row>
    <row r="151" spans="1:4" x14ac:dyDescent="0.25">
      <c r="A151" s="25" t="s">
        <v>4011</v>
      </c>
      <c r="B151" s="25" t="s">
        <v>4007</v>
      </c>
      <c r="C151" s="49">
        <v>5.1509999999999998</v>
      </c>
      <c r="D151" s="26">
        <f xml:space="preserve"> C151 / (24 * 'VRP Solver Console'!C11)</f>
        <v>3.5770833333333332E-3</v>
      </c>
    </row>
    <row r="152" spans="1:4" x14ac:dyDescent="0.25">
      <c r="A152" s="25" t="s">
        <v>4011</v>
      </c>
      <c r="B152" s="25" t="s">
        <v>4008</v>
      </c>
      <c r="C152" s="50">
        <v>12.2</v>
      </c>
      <c r="D152" s="27">
        <f xml:space="preserve"> C152 / (24 * 'VRP Solver Console'!C11)</f>
        <v>8.4722222222222213E-3</v>
      </c>
    </row>
    <row r="153" spans="1:4" x14ac:dyDescent="0.25">
      <c r="A153" s="25" t="s">
        <v>4011</v>
      </c>
      <c r="B153" s="25" t="s">
        <v>4009</v>
      </c>
      <c r="C153" s="49">
        <v>13.113</v>
      </c>
      <c r="D153" s="26">
        <f xml:space="preserve"> C153 / (24 * 'VRP Solver Console'!C11)</f>
        <v>9.1062499999999998E-3</v>
      </c>
    </row>
    <row r="154" spans="1:4" x14ac:dyDescent="0.25">
      <c r="A154" s="25" t="s">
        <v>4011</v>
      </c>
      <c r="B154" s="25" t="s">
        <v>4010</v>
      </c>
      <c r="C154" s="50">
        <v>1.4910000000000001</v>
      </c>
      <c r="D154" s="27">
        <f xml:space="preserve"> C154 / (24 * 'VRP Solver Console'!C11)</f>
        <v>1.0354166666666667E-3</v>
      </c>
    </row>
    <row r="155" spans="1:4" x14ac:dyDescent="0.25">
      <c r="A155" s="25" t="s">
        <v>4011</v>
      </c>
      <c r="B155" s="25" t="s">
        <v>4011</v>
      </c>
      <c r="C155" s="49">
        <v>0</v>
      </c>
      <c r="D155" s="26">
        <v>0</v>
      </c>
    </row>
    <row r="156" spans="1:4" x14ac:dyDescent="0.25">
      <c r="A156" s="25" t="s">
        <v>4011</v>
      </c>
      <c r="B156" s="25" t="s">
        <v>4012</v>
      </c>
      <c r="C156" s="50">
        <v>3.66</v>
      </c>
      <c r="D156" s="27">
        <f xml:space="preserve"> C156 / (24 * 'VRP Solver Console'!C11)</f>
        <v>2.5416666666666669E-3</v>
      </c>
    </row>
    <row r="157" spans="1:4" x14ac:dyDescent="0.25">
      <c r="A157" s="25" t="s">
        <v>4011</v>
      </c>
      <c r="B157" s="25" t="s">
        <v>4013</v>
      </c>
      <c r="C157" s="49">
        <v>6.5490000000000004</v>
      </c>
      <c r="D157" s="26">
        <f xml:space="preserve"> C157 / (24 * 'VRP Solver Console'!C11)</f>
        <v>4.5479166666666671E-3</v>
      </c>
    </row>
    <row r="158" spans="1:4" x14ac:dyDescent="0.25">
      <c r="A158" s="25" t="s">
        <v>4011</v>
      </c>
      <c r="B158" s="25" t="s">
        <v>4014</v>
      </c>
      <c r="C158" s="50">
        <v>10.336</v>
      </c>
      <c r="D158" s="27">
        <f xml:space="preserve"> C158 / (24 * 'VRP Solver Console'!C11)</f>
        <v>7.1777777777777777E-3</v>
      </c>
    </row>
    <row r="159" spans="1:4" x14ac:dyDescent="0.25">
      <c r="A159" s="25" t="s">
        <v>4011</v>
      </c>
      <c r="B159" s="25" t="s">
        <v>4015</v>
      </c>
      <c r="C159" s="49">
        <v>10.220000000000001</v>
      </c>
      <c r="D159" s="26">
        <f xml:space="preserve"> C159 / (24 * 'VRP Solver Console'!C11)</f>
        <v>7.0972222222222226E-3</v>
      </c>
    </row>
    <row r="160" spans="1:4" x14ac:dyDescent="0.25">
      <c r="A160" s="25" t="s">
        <v>4011</v>
      </c>
      <c r="B160" s="25" t="s">
        <v>4016</v>
      </c>
      <c r="C160" s="50">
        <v>12.916</v>
      </c>
      <c r="D160" s="27">
        <f xml:space="preserve"> C160 / (24 * 'VRP Solver Console'!C11)</f>
        <v>8.9694444444444448E-3</v>
      </c>
    </row>
    <row r="161" spans="1:4" x14ac:dyDescent="0.25">
      <c r="A161" s="25" t="s">
        <v>4011</v>
      </c>
      <c r="B161" s="25" t="s">
        <v>4017</v>
      </c>
      <c r="C161" s="49">
        <v>11.67</v>
      </c>
      <c r="D161" s="26">
        <f xml:space="preserve"> C161 / (24 * 'VRP Solver Console'!C11)</f>
        <v>8.1041666666666658E-3</v>
      </c>
    </row>
    <row r="162" spans="1:4" x14ac:dyDescent="0.25">
      <c r="A162" s="25" t="s">
        <v>4012</v>
      </c>
      <c r="B162" s="25" t="s">
        <v>4002</v>
      </c>
      <c r="C162" s="50">
        <v>4.6559999999999997</v>
      </c>
      <c r="D162" s="27">
        <f xml:space="preserve"> C162 / (24 * 'VRP Solver Console'!C11)</f>
        <v>3.2333333333333333E-3</v>
      </c>
    </row>
    <row r="163" spans="1:4" x14ac:dyDescent="0.25">
      <c r="A163" s="25" t="s">
        <v>4012</v>
      </c>
      <c r="B163" s="25" t="s">
        <v>4003</v>
      </c>
      <c r="C163" s="49">
        <v>10.835000000000001</v>
      </c>
      <c r="D163" s="26">
        <f xml:space="preserve"> C163 / (24 * 'VRP Solver Console'!C11)</f>
        <v>7.5243055555555558E-3</v>
      </c>
    </row>
    <row r="164" spans="1:4" x14ac:dyDescent="0.25">
      <c r="A164" s="25" t="s">
        <v>4012</v>
      </c>
      <c r="B164" s="25" t="s">
        <v>4004</v>
      </c>
      <c r="C164" s="50">
        <v>13.137</v>
      </c>
      <c r="D164" s="27">
        <f xml:space="preserve"> C164 / (24 * 'VRP Solver Console'!C11)</f>
        <v>9.1229166666666663E-3</v>
      </c>
    </row>
    <row r="165" spans="1:4" x14ac:dyDescent="0.25">
      <c r="A165" s="25" t="s">
        <v>4012</v>
      </c>
      <c r="B165" s="25" t="s">
        <v>4005</v>
      </c>
      <c r="C165" s="49">
        <v>12.553000000000001</v>
      </c>
      <c r="D165" s="26">
        <f xml:space="preserve"> C165 / (24 * 'VRP Solver Console'!C11)</f>
        <v>8.7173611111111115E-3</v>
      </c>
    </row>
    <row r="166" spans="1:4" x14ac:dyDescent="0.25">
      <c r="A166" s="25" t="s">
        <v>4012</v>
      </c>
      <c r="B166" s="25" t="s">
        <v>4006</v>
      </c>
      <c r="C166" s="50">
        <v>5.1820000000000004</v>
      </c>
      <c r="D166" s="27">
        <f xml:space="preserve"> C166 / (24 * 'VRP Solver Console'!C11)</f>
        <v>3.5986111111111115E-3</v>
      </c>
    </row>
    <row r="167" spans="1:4" x14ac:dyDescent="0.25">
      <c r="A167" s="25" t="s">
        <v>4012</v>
      </c>
      <c r="B167" s="25" t="s">
        <v>4007</v>
      </c>
      <c r="C167" s="49">
        <v>1.47</v>
      </c>
      <c r="D167" s="26">
        <f xml:space="preserve"> C167 / (24 * 'VRP Solver Console'!C11)</f>
        <v>1.0208333333333332E-3</v>
      </c>
    </row>
    <row r="168" spans="1:4" x14ac:dyDescent="0.25">
      <c r="A168" s="25" t="s">
        <v>4012</v>
      </c>
      <c r="B168" s="25" t="s">
        <v>4008</v>
      </c>
      <c r="C168" s="50">
        <v>8.5190000000000001</v>
      </c>
      <c r="D168" s="27">
        <f xml:space="preserve"> C168 / (24 * 'VRP Solver Console'!C11)</f>
        <v>5.9159722222222226E-3</v>
      </c>
    </row>
    <row r="169" spans="1:4" x14ac:dyDescent="0.25">
      <c r="A169" s="25" t="s">
        <v>4012</v>
      </c>
      <c r="B169" s="25" t="s">
        <v>4009</v>
      </c>
      <c r="C169" s="49">
        <v>9.4320000000000004</v>
      </c>
      <c r="D169" s="26">
        <f xml:space="preserve"> C169 / (24 * 'VRP Solver Console'!C11)</f>
        <v>6.5500000000000003E-3</v>
      </c>
    </row>
    <row r="170" spans="1:4" x14ac:dyDescent="0.25">
      <c r="A170" s="25" t="s">
        <v>4012</v>
      </c>
      <c r="B170" s="25" t="s">
        <v>4010</v>
      </c>
      <c r="C170" s="50">
        <v>3.0739999999999998</v>
      </c>
      <c r="D170" s="27">
        <f xml:space="preserve"> C170 / (24 * 'VRP Solver Console'!C11)</f>
        <v>2.1347222222222223E-3</v>
      </c>
    </row>
    <row r="171" spans="1:4" x14ac:dyDescent="0.25">
      <c r="A171" s="25" t="s">
        <v>4012</v>
      </c>
      <c r="B171" s="25" t="s">
        <v>4011</v>
      </c>
      <c r="C171" s="49">
        <v>3.9380000000000002</v>
      </c>
      <c r="D171" s="26">
        <f xml:space="preserve"> C171 / (24 * 'VRP Solver Console'!C11)</f>
        <v>2.7347222222222222E-3</v>
      </c>
    </row>
    <row r="172" spans="1:4" x14ac:dyDescent="0.25">
      <c r="A172" s="25" t="s">
        <v>4012</v>
      </c>
      <c r="B172" s="25" t="s">
        <v>4012</v>
      </c>
      <c r="C172" s="50">
        <v>0</v>
      </c>
      <c r="D172" s="27">
        <v>0</v>
      </c>
    </row>
    <row r="173" spans="1:4" x14ac:dyDescent="0.25">
      <c r="A173" s="25" t="s">
        <v>4012</v>
      </c>
      <c r="B173" s="25" t="s">
        <v>4013</v>
      </c>
      <c r="C173" s="49">
        <v>2.8679999999999999</v>
      </c>
      <c r="D173" s="26">
        <f xml:space="preserve"> C173 / (24 * 'VRP Solver Console'!C11)</f>
        <v>1.9916666666666668E-3</v>
      </c>
    </row>
    <row r="174" spans="1:4" x14ac:dyDescent="0.25">
      <c r="A174" s="25" t="s">
        <v>4012</v>
      </c>
      <c r="B174" s="25" t="s">
        <v>4014</v>
      </c>
      <c r="C174" s="50">
        <v>6.6550000000000002</v>
      </c>
      <c r="D174" s="27">
        <f xml:space="preserve"> C174 / (24 * 'VRP Solver Console'!C11)</f>
        <v>4.6215277777777782E-3</v>
      </c>
    </row>
    <row r="175" spans="1:4" x14ac:dyDescent="0.25">
      <c r="A175" s="25" t="s">
        <v>4012</v>
      </c>
      <c r="B175" s="25" t="s">
        <v>4015</v>
      </c>
      <c r="C175" s="49">
        <v>6.5389999999999997</v>
      </c>
      <c r="D175" s="26">
        <f xml:space="preserve"> C175 / (24 * 'VRP Solver Console'!C11)</f>
        <v>4.5409722222222223E-3</v>
      </c>
    </row>
    <row r="176" spans="1:4" x14ac:dyDescent="0.25">
      <c r="A176" s="25" t="s">
        <v>4012</v>
      </c>
      <c r="B176" s="25" t="s">
        <v>4016</v>
      </c>
      <c r="C176" s="50">
        <v>9.2349999999999994</v>
      </c>
      <c r="D176" s="27">
        <f xml:space="preserve"> C176 / (24 * 'VRP Solver Console'!C11)</f>
        <v>6.4131944444444445E-3</v>
      </c>
    </row>
    <row r="177" spans="1:4" x14ac:dyDescent="0.25">
      <c r="A177" s="25" t="s">
        <v>4012</v>
      </c>
      <c r="B177" s="25" t="s">
        <v>4017</v>
      </c>
      <c r="C177" s="49">
        <v>7.9889999999999999</v>
      </c>
      <c r="D177" s="26">
        <f xml:space="preserve"> C177 / (24 * 'VRP Solver Console'!C11)</f>
        <v>5.5479166666666663E-3</v>
      </c>
    </row>
    <row r="178" spans="1:4" x14ac:dyDescent="0.25">
      <c r="A178" s="25" t="s">
        <v>4013</v>
      </c>
      <c r="B178" s="25" t="s">
        <v>4002</v>
      </c>
      <c r="C178" s="50">
        <v>7.5309999999999997</v>
      </c>
      <c r="D178" s="27">
        <f xml:space="preserve"> C178 / (24 * 'VRP Solver Console'!C11)</f>
        <v>5.2298611111111105E-3</v>
      </c>
    </row>
    <row r="179" spans="1:4" x14ac:dyDescent="0.25">
      <c r="A179" s="25" t="s">
        <v>4013</v>
      </c>
      <c r="B179" s="25" t="s">
        <v>4003</v>
      </c>
      <c r="C179" s="49">
        <v>8.3049999999999997</v>
      </c>
      <c r="D179" s="26">
        <f xml:space="preserve"> C179 / (24 * 'VRP Solver Console'!C11)</f>
        <v>5.7673611111111111E-3</v>
      </c>
    </row>
    <row r="180" spans="1:4" x14ac:dyDescent="0.25">
      <c r="A180" s="25" t="s">
        <v>4013</v>
      </c>
      <c r="B180" s="25" t="s">
        <v>4004</v>
      </c>
      <c r="C180" s="50">
        <v>10.606999999999999</v>
      </c>
      <c r="D180" s="27">
        <f xml:space="preserve"> C180 / (24 * 'VRP Solver Console'!C11)</f>
        <v>7.3659722222222217E-3</v>
      </c>
    </row>
    <row r="181" spans="1:4" x14ac:dyDescent="0.25">
      <c r="A181" s="25" t="s">
        <v>4013</v>
      </c>
      <c r="B181" s="25" t="s">
        <v>4005</v>
      </c>
      <c r="C181" s="49">
        <v>10.023</v>
      </c>
      <c r="D181" s="26">
        <f xml:space="preserve"> C181 / (24 * 'VRP Solver Console'!C11)</f>
        <v>6.9604166666666668E-3</v>
      </c>
    </row>
    <row r="182" spans="1:4" x14ac:dyDescent="0.25">
      <c r="A182" s="25" t="s">
        <v>4013</v>
      </c>
      <c r="B182" s="25" t="s">
        <v>4006</v>
      </c>
      <c r="C182" s="50">
        <v>2.6520000000000001</v>
      </c>
      <c r="D182" s="27">
        <f xml:space="preserve"> C182 / (24 * 'VRP Solver Console'!C11)</f>
        <v>1.8416666666666668E-3</v>
      </c>
    </row>
    <row r="183" spans="1:4" x14ac:dyDescent="0.25">
      <c r="A183" s="25" t="s">
        <v>4013</v>
      </c>
      <c r="B183" s="25" t="s">
        <v>4007</v>
      </c>
      <c r="C183" s="49">
        <v>1.4610000000000001</v>
      </c>
      <c r="D183" s="26">
        <f xml:space="preserve"> C183 / (24 * 'VRP Solver Console'!C11)</f>
        <v>1.0145833333333335E-3</v>
      </c>
    </row>
    <row r="184" spans="1:4" x14ac:dyDescent="0.25">
      <c r="A184" s="25" t="s">
        <v>4013</v>
      </c>
      <c r="B184" s="25" t="s">
        <v>4008</v>
      </c>
      <c r="C184" s="50">
        <v>5.9889999999999999</v>
      </c>
      <c r="D184" s="27">
        <f xml:space="preserve"> C184 / (24 * 'VRP Solver Console'!C11)</f>
        <v>4.159027777777778E-3</v>
      </c>
    </row>
    <row r="185" spans="1:4" x14ac:dyDescent="0.25">
      <c r="A185" s="25" t="s">
        <v>4013</v>
      </c>
      <c r="B185" s="25" t="s">
        <v>4009</v>
      </c>
      <c r="C185" s="49">
        <v>6.9020000000000001</v>
      </c>
      <c r="D185" s="26">
        <f xml:space="preserve"> C185 / (24 * 'VRP Solver Console'!C11)</f>
        <v>4.7930555555555556E-3</v>
      </c>
    </row>
    <row r="186" spans="1:4" x14ac:dyDescent="0.25">
      <c r="A186" s="25" t="s">
        <v>4013</v>
      </c>
      <c r="B186" s="25" t="s">
        <v>4010</v>
      </c>
      <c r="C186" s="50">
        <v>5.9489999999999998</v>
      </c>
      <c r="D186" s="27">
        <f xml:space="preserve"> C186 / (24 * 'VRP Solver Console'!C11)</f>
        <v>4.1312499999999995E-3</v>
      </c>
    </row>
    <row r="187" spans="1:4" x14ac:dyDescent="0.25">
      <c r="A187" s="25" t="s">
        <v>4013</v>
      </c>
      <c r="B187" s="25" t="s">
        <v>4011</v>
      </c>
      <c r="C187" s="49">
        <v>6.8129999999999997</v>
      </c>
      <c r="D187" s="26">
        <f xml:space="preserve"> C187 / (24 * 'VRP Solver Console'!C11)</f>
        <v>4.7312500000000002E-3</v>
      </c>
    </row>
    <row r="188" spans="1:4" x14ac:dyDescent="0.25">
      <c r="A188" s="25" t="s">
        <v>4013</v>
      </c>
      <c r="B188" s="25" t="s">
        <v>4012</v>
      </c>
      <c r="C188" s="50">
        <v>3.919</v>
      </c>
      <c r="D188" s="27">
        <f xml:space="preserve"> C188 / (24 * 'VRP Solver Console'!C11)</f>
        <v>2.721527777777778E-3</v>
      </c>
    </row>
    <row r="189" spans="1:4" x14ac:dyDescent="0.25">
      <c r="A189" s="25" t="s">
        <v>4013</v>
      </c>
      <c r="B189" s="25" t="s">
        <v>4013</v>
      </c>
      <c r="C189" s="49">
        <v>0</v>
      </c>
      <c r="D189" s="26">
        <v>0</v>
      </c>
    </row>
    <row r="190" spans="1:4" x14ac:dyDescent="0.25">
      <c r="A190" s="25" t="s">
        <v>4013</v>
      </c>
      <c r="B190" s="25" t="s">
        <v>4014</v>
      </c>
      <c r="C190" s="50">
        <v>4.125</v>
      </c>
      <c r="D190" s="27">
        <f xml:space="preserve"> C190 / (24 * 'VRP Solver Console'!C11)</f>
        <v>2.8645833333333331E-3</v>
      </c>
    </row>
    <row r="191" spans="1:4" x14ac:dyDescent="0.25">
      <c r="A191" s="25" t="s">
        <v>4013</v>
      </c>
      <c r="B191" s="25" t="s">
        <v>4015</v>
      </c>
      <c r="C191" s="49">
        <v>4.0090000000000003</v>
      </c>
      <c r="D191" s="26">
        <f xml:space="preserve"> C191 / (24 * 'VRP Solver Console'!C11)</f>
        <v>2.7840277777777781E-3</v>
      </c>
    </row>
    <row r="192" spans="1:4" x14ac:dyDescent="0.25">
      <c r="A192" s="25" t="s">
        <v>4013</v>
      </c>
      <c r="B192" s="25" t="s">
        <v>4016</v>
      </c>
      <c r="C192" s="50">
        <v>6.7050000000000001</v>
      </c>
      <c r="D192" s="27">
        <f xml:space="preserve"> C192 / (24 * 'VRP Solver Console'!C11)</f>
        <v>4.6562499999999998E-3</v>
      </c>
    </row>
    <row r="193" spans="1:4" x14ac:dyDescent="0.25">
      <c r="A193" s="25" t="s">
        <v>4013</v>
      </c>
      <c r="B193" s="25" t="s">
        <v>4017</v>
      </c>
      <c r="C193" s="49">
        <v>5.4589999999999996</v>
      </c>
      <c r="D193" s="26">
        <f xml:space="preserve"> C193 / (24 * 'VRP Solver Console'!C11)</f>
        <v>3.7909722222222221E-3</v>
      </c>
    </row>
    <row r="194" spans="1:4" x14ac:dyDescent="0.25">
      <c r="A194" s="25" t="s">
        <v>4014</v>
      </c>
      <c r="B194" s="25" t="s">
        <v>4002</v>
      </c>
      <c r="C194" s="50">
        <v>11.32</v>
      </c>
      <c r="D194" s="27">
        <f xml:space="preserve"> C194 / (24 * 'VRP Solver Console'!C11)</f>
        <v>7.8611111111111121E-3</v>
      </c>
    </row>
    <row r="195" spans="1:4" x14ac:dyDescent="0.25">
      <c r="A195" s="25" t="s">
        <v>4014</v>
      </c>
      <c r="B195" s="25" t="s">
        <v>4003</v>
      </c>
      <c r="C195" s="49">
        <v>4.18</v>
      </c>
      <c r="D195" s="26">
        <f xml:space="preserve"> C195 / (24 * 'VRP Solver Console'!C11)</f>
        <v>2.9027777777777776E-3</v>
      </c>
    </row>
    <row r="196" spans="1:4" x14ac:dyDescent="0.25">
      <c r="A196" s="25" t="s">
        <v>4014</v>
      </c>
      <c r="B196" s="25" t="s">
        <v>4004</v>
      </c>
      <c r="C196" s="50">
        <v>6.4820000000000002</v>
      </c>
      <c r="D196" s="27">
        <f xml:space="preserve"> C196 / (24 * 'VRP Solver Console'!C11)</f>
        <v>4.501388888888889E-3</v>
      </c>
    </row>
    <row r="197" spans="1:4" x14ac:dyDescent="0.25">
      <c r="A197" s="25" t="s">
        <v>4014</v>
      </c>
      <c r="B197" s="25" t="s">
        <v>4005</v>
      </c>
      <c r="C197" s="49">
        <v>5.8979999999999997</v>
      </c>
      <c r="D197" s="26">
        <f xml:space="preserve"> C197 / (24 * 'VRP Solver Console'!C11)</f>
        <v>4.0958333333333333E-3</v>
      </c>
    </row>
    <row r="198" spans="1:4" x14ac:dyDescent="0.25">
      <c r="A198" s="25" t="s">
        <v>4014</v>
      </c>
      <c r="B198" s="25" t="s">
        <v>4006</v>
      </c>
      <c r="C198" s="50">
        <v>1.472</v>
      </c>
      <c r="D198" s="27">
        <f xml:space="preserve"> C198 / (24 * 'VRP Solver Console'!C11)</f>
        <v>1.0222222222222221E-3</v>
      </c>
    </row>
    <row r="199" spans="1:4" x14ac:dyDescent="0.25">
      <c r="A199" s="25" t="s">
        <v>4014</v>
      </c>
      <c r="B199" s="25" t="s">
        <v>4007</v>
      </c>
      <c r="C199" s="49">
        <v>5.25</v>
      </c>
      <c r="D199" s="26">
        <f xml:space="preserve"> C199 / (24 * 'VRP Solver Console'!C11)</f>
        <v>3.6458333333333334E-3</v>
      </c>
    </row>
    <row r="200" spans="1:4" x14ac:dyDescent="0.25">
      <c r="A200" s="25" t="s">
        <v>4014</v>
      </c>
      <c r="B200" s="25" t="s">
        <v>4008</v>
      </c>
      <c r="C200" s="50">
        <v>1.8640000000000001</v>
      </c>
      <c r="D200" s="27">
        <f xml:space="preserve"> C200 / (24 * 'VRP Solver Console'!C11)</f>
        <v>1.2944444444444444E-3</v>
      </c>
    </row>
    <row r="201" spans="1:4" x14ac:dyDescent="0.25">
      <c r="A201" s="25" t="s">
        <v>4014</v>
      </c>
      <c r="B201" s="25" t="s">
        <v>4009</v>
      </c>
      <c r="C201" s="49">
        <v>2.7770000000000001</v>
      </c>
      <c r="D201" s="26">
        <f xml:space="preserve"> C201 / (24 * 'VRP Solver Console'!C11)</f>
        <v>1.9284722222222223E-3</v>
      </c>
    </row>
    <row r="202" spans="1:4" x14ac:dyDescent="0.25">
      <c r="A202" s="25" t="s">
        <v>4014</v>
      </c>
      <c r="B202" s="25" t="s">
        <v>4010</v>
      </c>
      <c r="C202" s="50">
        <v>9.7379999999999995</v>
      </c>
      <c r="D202" s="27">
        <f xml:space="preserve"> C202 / (24 * 'VRP Solver Console'!C11)</f>
        <v>6.7624999999999994E-3</v>
      </c>
    </row>
    <row r="203" spans="1:4" x14ac:dyDescent="0.25">
      <c r="A203" s="25" t="s">
        <v>4014</v>
      </c>
      <c r="B203" s="25" t="s">
        <v>4011</v>
      </c>
      <c r="C203" s="49">
        <v>10.602</v>
      </c>
      <c r="D203" s="26">
        <f xml:space="preserve"> C203 / (24 * 'VRP Solver Console'!C11)</f>
        <v>7.3625000000000001E-3</v>
      </c>
    </row>
    <row r="204" spans="1:4" x14ac:dyDescent="0.25">
      <c r="A204" s="25" t="s">
        <v>4014</v>
      </c>
      <c r="B204" s="25" t="s">
        <v>4012</v>
      </c>
      <c r="C204" s="50">
        <v>7.7080000000000002</v>
      </c>
      <c r="D204" s="27">
        <f xml:space="preserve"> C204 / (24 * 'VRP Solver Console'!C11)</f>
        <v>5.3527777777777775E-3</v>
      </c>
    </row>
    <row r="205" spans="1:4" x14ac:dyDescent="0.25">
      <c r="A205" s="25" t="s">
        <v>4014</v>
      </c>
      <c r="B205" s="25" t="s">
        <v>4013</v>
      </c>
      <c r="C205" s="49">
        <v>4.093</v>
      </c>
      <c r="D205" s="26">
        <f xml:space="preserve"> C205 / (24 * 'VRP Solver Console'!C11)</f>
        <v>2.842361111111111E-3</v>
      </c>
    </row>
    <row r="206" spans="1:4" x14ac:dyDescent="0.25">
      <c r="A206" s="25" t="s">
        <v>4014</v>
      </c>
      <c r="B206" s="25" t="s">
        <v>4014</v>
      </c>
      <c r="C206" s="50">
        <v>0</v>
      </c>
      <c r="D206" s="27">
        <v>0</v>
      </c>
    </row>
    <row r="207" spans="1:4" x14ac:dyDescent="0.25">
      <c r="A207" s="25" t="s">
        <v>4014</v>
      </c>
      <c r="B207" s="25" t="s">
        <v>4015</v>
      </c>
      <c r="C207" s="49">
        <v>1.659</v>
      </c>
      <c r="D207" s="26">
        <f xml:space="preserve"> C207 / (24 * 'VRP Solver Console'!C11)</f>
        <v>1.1520833333333333E-3</v>
      </c>
    </row>
    <row r="208" spans="1:4" x14ac:dyDescent="0.25">
      <c r="A208" s="25" t="s">
        <v>4014</v>
      </c>
      <c r="B208" s="25" t="s">
        <v>4016</v>
      </c>
      <c r="C208" s="50">
        <v>4.3550000000000004</v>
      </c>
      <c r="D208" s="27">
        <f xml:space="preserve"> C208 / (24 * 'VRP Solver Console'!C11)</f>
        <v>3.0243055555555557E-3</v>
      </c>
    </row>
    <row r="209" spans="1:4" x14ac:dyDescent="0.25">
      <c r="A209" s="25" t="s">
        <v>4014</v>
      </c>
      <c r="B209" s="25" t="s">
        <v>4017</v>
      </c>
      <c r="C209" s="49">
        <v>3.109</v>
      </c>
      <c r="D209" s="26">
        <f xml:space="preserve"> C209 / (24 * 'VRP Solver Console'!C11)</f>
        <v>2.1590277777777779E-3</v>
      </c>
    </row>
    <row r="210" spans="1:4" x14ac:dyDescent="0.25">
      <c r="A210" s="25" t="s">
        <v>4015</v>
      </c>
      <c r="B210" s="25" t="s">
        <v>4002</v>
      </c>
      <c r="C210" s="50">
        <v>12.978999999999999</v>
      </c>
      <c r="D210" s="27">
        <f xml:space="preserve"> C210 / (24 * 'VRP Solver Console'!C11)</f>
        <v>9.0131944444444435E-3</v>
      </c>
    </row>
    <row r="211" spans="1:4" x14ac:dyDescent="0.25">
      <c r="A211" s="25" t="s">
        <v>4015</v>
      </c>
      <c r="B211" s="25" t="s">
        <v>4003</v>
      </c>
      <c r="C211" s="49">
        <v>5.8390000000000004</v>
      </c>
      <c r="D211" s="26">
        <f xml:space="preserve"> C211 / (24 * 'VRP Solver Console'!C11)</f>
        <v>4.0548611111111115E-3</v>
      </c>
    </row>
    <row r="212" spans="1:4" x14ac:dyDescent="0.25">
      <c r="A212" s="25" t="s">
        <v>4015</v>
      </c>
      <c r="B212" s="25" t="s">
        <v>4004</v>
      </c>
      <c r="C212" s="50">
        <v>8.141</v>
      </c>
      <c r="D212" s="27">
        <f xml:space="preserve"> C212 / (24 * 'VRP Solver Console'!C11)</f>
        <v>5.6534722222222221E-3</v>
      </c>
    </row>
    <row r="213" spans="1:4" x14ac:dyDescent="0.25">
      <c r="A213" s="25" t="s">
        <v>4015</v>
      </c>
      <c r="B213" s="25" t="s">
        <v>4005</v>
      </c>
      <c r="C213" s="49">
        <v>7.5570000000000004</v>
      </c>
      <c r="D213" s="26">
        <f xml:space="preserve"> C213 / (24 * 'VRP Solver Console'!C11)</f>
        <v>5.2479166666666672E-3</v>
      </c>
    </row>
    <row r="214" spans="1:4" x14ac:dyDescent="0.25">
      <c r="A214" s="25" t="s">
        <v>4015</v>
      </c>
      <c r="B214" s="25" t="s">
        <v>4006</v>
      </c>
      <c r="C214" s="50">
        <v>3.1309999999999998</v>
      </c>
      <c r="D214" s="27">
        <f xml:space="preserve"> C214 / (24 * 'VRP Solver Console'!C11)</f>
        <v>2.1743055555555552E-3</v>
      </c>
    </row>
    <row r="215" spans="1:4" x14ac:dyDescent="0.25">
      <c r="A215" s="25" t="s">
        <v>4015</v>
      </c>
      <c r="B215" s="25" t="s">
        <v>4007</v>
      </c>
      <c r="C215" s="49">
        <v>6.9089999999999998</v>
      </c>
      <c r="D215" s="26">
        <f xml:space="preserve"> C215 / (24 * 'VRP Solver Console'!C11)</f>
        <v>4.7979166666666665E-3</v>
      </c>
    </row>
    <row r="216" spans="1:4" x14ac:dyDescent="0.25">
      <c r="A216" s="25" t="s">
        <v>4015</v>
      </c>
      <c r="B216" s="25" t="s">
        <v>4008</v>
      </c>
      <c r="C216" s="50">
        <v>3.5230000000000001</v>
      </c>
      <c r="D216" s="27">
        <f xml:space="preserve"> C216 / (24 * 'VRP Solver Console'!C11)</f>
        <v>2.4465277777777779E-3</v>
      </c>
    </row>
    <row r="217" spans="1:4" x14ac:dyDescent="0.25">
      <c r="A217" s="25" t="s">
        <v>4015</v>
      </c>
      <c r="B217" s="25" t="s">
        <v>4009</v>
      </c>
      <c r="C217" s="49">
        <v>4.4359999999999999</v>
      </c>
      <c r="D217" s="26">
        <f xml:space="preserve"> C217 / (24 * 'VRP Solver Console'!C11)</f>
        <v>3.0805555555555556E-3</v>
      </c>
    </row>
    <row r="218" spans="1:4" x14ac:dyDescent="0.25">
      <c r="A218" s="25" t="s">
        <v>4015</v>
      </c>
      <c r="B218" s="25" t="s">
        <v>4010</v>
      </c>
      <c r="C218" s="50">
        <v>11.397</v>
      </c>
      <c r="D218" s="27">
        <f xml:space="preserve"> C218 / (24 * 'VRP Solver Console'!C11)</f>
        <v>7.9145833333333342E-3</v>
      </c>
    </row>
    <row r="219" spans="1:4" x14ac:dyDescent="0.25">
      <c r="A219" s="25" t="s">
        <v>4015</v>
      </c>
      <c r="B219" s="25" t="s">
        <v>4011</v>
      </c>
      <c r="C219" s="49">
        <v>12.260999999999999</v>
      </c>
      <c r="D219" s="26">
        <f xml:space="preserve"> C219 / (24 * 'VRP Solver Console'!C11)</f>
        <v>8.5145833333333323E-3</v>
      </c>
    </row>
    <row r="220" spans="1:4" x14ac:dyDescent="0.25">
      <c r="A220" s="25" t="s">
        <v>4015</v>
      </c>
      <c r="B220" s="25" t="s">
        <v>4012</v>
      </c>
      <c r="C220" s="50">
        <v>9.3670000000000009</v>
      </c>
      <c r="D220" s="27">
        <f xml:space="preserve"> C220 / (24 * 'VRP Solver Console'!C11)</f>
        <v>6.5048611111111114E-3</v>
      </c>
    </row>
    <row r="221" spans="1:4" x14ac:dyDescent="0.25">
      <c r="A221" s="25" t="s">
        <v>4015</v>
      </c>
      <c r="B221" s="25" t="s">
        <v>4013</v>
      </c>
      <c r="C221" s="49">
        <v>5.7519999999999998</v>
      </c>
      <c r="D221" s="26">
        <f xml:space="preserve"> C221 / (24 * 'VRP Solver Console'!C11)</f>
        <v>3.9944444444444446E-3</v>
      </c>
    </row>
    <row r="222" spans="1:4" x14ac:dyDescent="0.25">
      <c r="A222" s="25" t="s">
        <v>4015</v>
      </c>
      <c r="B222" s="25" t="s">
        <v>4014</v>
      </c>
      <c r="C222" s="50">
        <v>1.659</v>
      </c>
      <c r="D222" s="27">
        <f xml:space="preserve"> C222 / (24 * 'VRP Solver Console'!C11)</f>
        <v>1.1520833333333333E-3</v>
      </c>
    </row>
    <row r="223" spans="1:4" x14ac:dyDescent="0.25">
      <c r="A223" s="25" t="s">
        <v>4015</v>
      </c>
      <c r="B223" s="25" t="s">
        <v>4015</v>
      </c>
      <c r="C223" s="49">
        <v>0</v>
      </c>
      <c r="D223" s="26">
        <v>0</v>
      </c>
    </row>
    <row r="224" spans="1:4" x14ac:dyDescent="0.25">
      <c r="A224" s="25" t="s">
        <v>4015</v>
      </c>
      <c r="B224" s="25" t="s">
        <v>4016</v>
      </c>
      <c r="C224" s="50">
        <v>2.6949999999999998</v>
      </c>
      <c r="D224" s="27">
        <f xml:space="preserve"> C224 / (24 * 'VRP Solver Console'!C11)</f>
        <v>1.8715277777777777E-3</v>
      </c>
    </row>
    <row r="225" spans="1:4" x14ac:dyDescent="0.25">
      <c r="A225" s="25" t="s">
        <v>4015</v>
      </c>
      <c r="B225" s="25" t="s">
        <v>4017</v>
      </c>
      <c r="C225" s="49">
        <v>1.4490000000000001</v>
      </c>
      <c r="D225" s="26">
        <f xml:space="preserve"> C225 / (24 * 'VRP Solver Console'!C11)</f>
        <v>1.00625E-3</v>
      </c>
    </row>
    <row r="226" spans="1:4" x14ac:dyDescent="0.25">
      <c r="A226" s="25" t="s">
        <v>4016</v>
      </c>
      <c r="B226" s="25" t="s">
        <v>4002</v>
      </c>
      <c r="C226" s="50">
        <v>16.210999999999999</v>
      </c>
      <c r="D226" s="27">
        <f xml:space="preserve"> C226 / (24 * 'VRP Solver Console'!C11)</f>
        <v>1.1257638888888888E-2</v>
      </c>
    </row>
    <row r="227" spans="1:4" x14ac:dyDescent="0.25">
      <c r="A227" s="25" t="s">
        <v>4016</v>
      </c>
      <c r="B227" s="25" t="s">
        <v>4003</v>
      </c>
      <c r="C227" s="49">
        <v>8.5350000000000001</v>
      </c>
      <c r="D227" s="26">
        <f xml:space="preserve"> C227 / (24 * 'VRP Solver Console'!C11)</f>
        <v>5.9270833333333337E-3</v>
      </c>
    </row>
    <row r="228" spans="1:4" x14ac:dyDescent="0.25">
      <c r="A228" s="25" t="s">
        <v>4016</v>
      </c>
      <c r="B228" s="25" t="s">
        <v>4004</v>
      </c>
      <c r="C228" s="50">
        <v>10.837</v>
      </c>
      <c r="D228" s="27">
        <f xml:space="preserve"> C228 / (24 * 'VRP Solver Console'!C11)</f>
        <v>7.5256944444444442E-3</v>
      </c>
    </row>
    <row r="229" spans="1:4" x14ac:dyDescent="0.25">
      <c r="A229" s="25" t="s">
        <v>4016</v>
      </c>
      <c r="B229" s="25" t="s">
        <v>4005</v>
      </c>
      <c r="C229" s="49">
        <v>10.253</v>
      </c>
      <c r="D229" s="26">
        <f xml:space="preserve"> C229 / (24 * 'VRP Solver Console'!C11)</f>
        <v>7.1201388888888894E-3</v>
      </c>
    </row>
    <row r="230" spans="1:4" x14ac:dyDescent="0.25">
      <c r="A230" s="25" t="s">
        <v>4016</v>
      </c>
      <c r="B230" s="25" t="s">
        <v>4006</v>
      </c>
      <c r="C230" s="50">
        <v>5.827</v>
      </c>
      <c r="D230" s="27">
        <f xml:space="preserve"> C230 / (24 * 'VRP Solver Console'!C11)</f>
        <v>4.0465277777777774E-3</v>
      </c>
    </row>
    <row r="231" spans="1:4" x14ac:dyDescent="0.25">
      <c r="A231" s="25" t="s">
        <v>4016</v>
      </c>
      <c r="B231" s="25" t="s">
        <v>4007</v>
      </c>
      <c r="C231" s="49">
        <v>10.439</v>
      </c>
      <c r="D231" s="26">
        <f xml:space="preserve"> C231 / (24 * 'VRP Solver Console'!C11)</f>
        <v>7.2493055555555557E-3</v>
      </c>
    </row>
    <row r="232" spans="1:4" x14ac:dyDescent="0.25">
      <c r="A232" s="25" t="s">
        <v>4016</v>
      </c>
      <c r="B232" s="25" t="s">
        <v>4008</v>
      </c>
      <c r="C232" s="50">
        <v>6.2190000000000003</v>
      </c>
      <c r="D232" s="27">
        <f xml:space="preserve"> C232 / (24 * 'VRP Solver Console'!C11)</f>
        <v>4.3187500000000005E-3</v>
      </c>
    </row>
    <row r="233" spans="1:4" x14ac:dyDescent="0.25">
      <c r="A233" s="25" t="s">
        <v>4016</v>
      </c>
      <c r="B233" s="25" t="s">
        <v>4009</v>
      </c>
      <c r="C233" s="49">
        <v>7.1319999999999997</v>
      </c>
      <c r="D233" s="26">
        <f xml:space="preserve"> C233 / (24 * 'VRP Solver Console'!C11)</f>
        <v>4.9527777777777773E-3</v>
      </c>
    </row>
    <row r="234" spans="1:4" x14ac:dyDescent="0.25">
      <c r="A234" s="25" t="s">
        <v>4016</v>
      </c>
      <c r="B234" s="25" t="s">
        <v>4010</v>
      </c>
      <c r="C234" s="50">
        <v>14.629</v>
      </c>
      <c r="D234" s="27">
        <f xml:space="preserve"> C234 / (24 * 'VRP Solver Console'!C11)</f>
        <v>1.0159027777777777E-2</v>
      </c>
    </row>
    <row r="235" spans="1:4" x14ac:dyDescent="0.25">
      <c r="A235" s="25" t="s">
        <v>4016</v>
      </c>
      <c r="B235" s="25" t="s">
        <v>4011</v>
      </c>
      <c r="C235" s="49">
        <v>15.493</v>
      </c>
      <c r="D235" s="26">
        <f xml:space="preserve"> C235 / (24 * 'VRP Solver Console'!C11)</f>
        <v>1.0759027777777779E-2</v>
      </c>
    </row>
    <row r="236" spans="1:4" x14ac:dyDescent="0.25">
      <c r="A236" s="25" t="s">
        <v>4016</v>
      </c>
      <c r="B236" s="25" t="s">
        <v>4012</v>
      </c>
      <c r="C236" s="50">
        <v>12.599</v>
      </c>
      <c r="D236" s="27">
        <f xml:space="preserve"> C236 / (24 * 'VRP Solver Console'!C11)</f>
        <v>8.7493055555555553E-3</v>
      </c>
    </row>
    <row r="237" spans="1:4" x14ac:dyDescent="0.25">
      <c r="A237" s="25" t="s">
        <v>4016</v>
      </c>
      <c r="B237" s="25" t="s">
        <v>4013</v>
      </c>
      <c r="C237" s="49">
        <v>8.4480000000000004</v>
      </c>
      <c r="D237" s="26">
        <f xml:space="preserve"> C237 / (24 * 'VRP Solver Console'!C11)</f>
        <v>5.8666666666666667E-3</v>
      </c>
    </row>
    <row r="238" spans="1:4" x14ac:dyDescent="0.25">
      <c r="A238" s="25" t="s">
        <v>4016</v>
      </c>
      <c r="B238" s="25" t="s">
        <v>4014</v>
      </c>
      <c r="C238" s="50">
        <v>4.3550000000000004</v>
      </c>
      <c r="D238" s="27">
        <f xml:space="preserve"> C238 / (24 * 'VRP Solver Console'!C11)</f>
        <v>3.0243055555555557E-3</v>
      </c>
    </row>
    <row r="239" spans="1:4" x14ac:dyDescent="0.25">
      <c r="A239" s="25" t="s">
        <v>4016</v>
      </c>
      <c r="B239" s="25" t="s">
        <v>4015</v>
      </c>
      <c r="C239" s="49">
        <v>2.6949999999999998</v>
      </c>
      <c r="D239" s="26">
        <f xml:space="preserve"> C239 / (24 * 'VRP Solver Console'!C11)</f>
        <v>1.8715277777777777E-3</v>
      </c>
    </row>
    <row r="240" spans="1:4" x14ac:dyDescent="0.25">
      <c r="A240" s="25" t="s">
        <v>4016</v>
      </c>
      <c r="B240" s="25" t="s">
        <v>4016</v>
      </c>
      <c r="C240" s="50">
        <v>0</v>
      </c>
      <c r="D240" s="27">
        <v>0</v>
      </c>
    </row>
    <row r="241" spans="1:4" x14ac:dyDescent="0.25">
      <c r="A241" s="25" t="s">
        <v>4016</v>
      </c>
      <c r="B241" s="25" t="s">
        <v>4017</v>
      </c>
      <c r="C241" s="49">
        <v>1.2450000000000001</v>
      </c>
      <c r="D241" s="26">
        <f xml:space="preserve"> C241 / (24 * 'VRP Solver Console'!C11)</f>
        <v>8.6458333333333341E-4</v>
      </c>
    </row>
    <row r="242" spans="1:4" x14ac:dyDescent="0.25">
      <c r="A242" s="25" t="s">
        <v>4017</v>
      </c>
      <c r="B242" s="25" t="s">
        <v>4002</v>
      </c>
      <c r="C242" s="50">
        <v>14.429</v>
      </c>
      <c r="D242" s="27">
        <f xml:space="preserve"> C242 / (24 * 'VRP Solver Console'!C11)</f>
        <v>1.0020138888888889E-2</v>
      </c>
    </row>
    <row r="243" spans="1:4" x14ac:dyDescent="0.25">
      <c r="A243" s="25" t="s">
        <v>4017</v>
      </c>
      <c r="B243" s="25" t="s">
        <v>4003</v>
      </c>
      <c r="C243" s="49">
        <v>7.2889999999999997</v>
      </c>
      <c r="D243" s="26">
        <f xml:space="preserve"> C243 / (24 * 'VRP Solver Console'!C11)</f>
        <v>5.0618055555555555E-3</v>
      </c>
    </row>
    <row r="244" spans="1:4" x14ac:dyDescent="0.25">
      <c r="A244" s="25" t="s">
        <v>4017</v>
      </c>
      <c r="B244" s="25" t="s">
        <v>4004</v>
      </c>
      <c r="C244" s="50">
        <v>9.5909999999999993</v>
      </c>
      <c r="D244" s="27">
        <f xml:space="preserve"> C244 / (24 * 'VRP Solver Console'!C11)</f>
        <v>6.660416666666666E-3</v>
      </c>
    </row>
    <row r="245" spans="1:4" x14ac:dyDescent="0.25">
      <c r="A245" s="25" t="s">
        <v>4017</v>
      </c>
      <c r="B245" s="25" t="s">
        <v>4005</v>
      </c>
      <c r="C245" s="49">
        <v>9.0069999999999997</v>
      </c>
      <c r="D245" s="26">
        <f xml:space="preserve"> C245 / (24 * 'VRP Solver Console'!C11)</f>
        <v>6.2548611111111112E-3</v>
      </c>
    </row>
    <row r="246" spans="1:4" x14ac:dyDescent="0.25">
      <c r="A246" s="25" t="s">
        <v>4017</v>
      </c>
      <c r="B246" s="25" t="s">
        <v>4006</v>
      </c>
      <c r="C246" s="50">
        <v>4.5810000000000004</v>
      </c>
      <c r="D246" s="27">
        <f xml:space="preserve"> C246 / (24 * 'VRP Solver Console'!C11)</f>
        <v>3.1812500000000005E-3</v>
      </c>
    </row>
    <row r="247" spans="1:4" x14ac:dyDescent="0.25">
      <c r="A247" s="25" t="s">
        <v>4017</v>
      </c>
      <c r="B247" s="25" t="s">
        <v>4007</v>
      </c>
      <c r="C247" s="49">
        <v>8.359</v>
      </c>
      <c r="D247" s="26">
        <f xml:space="preserve"> C247 / (24 * 'VRP Solver Console'!C11)</f>
        <v>5.8048611111111113E-3</v>
      </c>
    </row>
    <row r="248" spans="1:4" x14ac:dyDescent="0.25">
      <c r="A248" s="25" t="s">
        <v>4017</v>
      </c>
      <c r="B248" s="25" t="s">
        <v>4008</v>
      </c>
      <c r="C248" s="50">
        <v>4.9729999999999999</v>
      </c>
      <c r="D248" s="27">
        <f xml:space="preserve"> C248 / (24 * 'VRP Solver Console'!C11)</f>
        <v>3.4534722222222219E-3</v>
      </c>
    </row>
    <row r="249" spans="1:4" x14ac:dyDescent="0.25">
      <c r="A249" s="25" t="s">
        <v>4017</v>
      </c>
      <c r="B249" s="25" t="s">
        <v>4009</v>
      </c>
      <c r="C249" s="49">
        <v>5.8860000000000001</v>
      </c>
      <c r="D249" s="26">
        <f xml:space="preserve"> C249 / (24 * 'VRP Solver Console'!C11)</f>
        <v>4.0875E-3</v>
      </c>
    </row>
    <row r="250" spans="1:4" x14ac:dyDescent="0.25">
      <c r="A250" s="25" t="s">
        <v>4017</v>
      </c>
      <c r="B250" s="25" t="s">
        <v>4010</v>
      </c>
      <c r="C250" s="50">
        <v>12.847</v>
      </c>
      <c r="D250" s="27">
        <f xml:space="preserve"> C250 / (24 * 'VRP Solver Console'!C11)</f>
        <v>8.9215277777777782E-3</v>
      </c>
    </row>
    <row r="251" spans="1:4" x14ac:dyDescent="0.25">
      <c r="A251" s="25" t="s">
        <v>4017</v>
      </c>
      <c r="B251" s="25" t="s">
        <v>4011</v>
      </c>
      <c r="C251" s="49">
        <v>13.711</v>
      </c>
      <c r="D251" s="26">
        <f xml:space="preserve"> C251 / (24 * 'VRP Solver Console'!C11)</f>
        <v>9.5215277777777781E-3</v>
      </c>
    </row>
    <row r="252" spans="1:4" x14ac:dyDescent="0.25">
      <c r="A252" s="25" t="s">
        <v>4017</v>
      </c>
      <c r="B252" s="25" t="s">
        <v>4012</v>
      </c>
      <c r="C252" s="50">
        <v>10.817</v>
      </c>
      <c r="D252" s="27">
        <f xml:space="preserve"> C252 / (24 * 'VRP Solver Console'!C11)</f>
        <v>7.5118055555555554E-3</v>
      </c>
    </row>
    <row r="253" spans="1:4" x14ac:dyDescent="0.25">
      <c r="A253" s="25" t="s">
        <v>4017</v>
      </c>
      <c r="B253" s="25" t="s">
        <v>4013</v>
      </c>
      <c r="C253" s="49">
        <v>7.202</v>
      </c>
      <c r="D253" s="26">
        <f xml:space="preserve"> C253 / (24 * 'VRP Solver Console'!C11)</f>
        <v>5.0013888888888886E-3</v>
      </c>
    </row>
    <row r="254" spans="1:4" x14ac:dyDescent="0.25">
      <c r="A254" s="25" t="s">
        <v>4017</v>
      </c>
      <c r="B254" s="25" t="s">
        <v>4014</v>
      </c>
      <c r="C254" s="50">
        <v>3.109</v>
      </c>
      <c r="D254" s="27">
        <f xml:space="preserve"> C254 / (24 * 'VRP Solver Console'!C11)</f>
        <v>2.1590277777777779E-3</v>
      </c>
    </row>
    <row r="255" spans="1:4" x14ac:dyDescent="0.25">
      <c r="A255" s="25" t="s">
        <v>4017</v>
      </c>
      <c r="B255" s="25" t="s">
        <v>4015</v>
      </c>
      <c r="C255" s="49">
        <v>1.4490000000000001</v>
      </c>
      <c r="D255" s="26">
        <f xml:space="preserve"> C255 / (24 * 'VRP Solver Console'!C11)</f>
        <v>1.00625E-3</v>
      </c>
    </row>
    <row r="256" spans="1:4" x14ac:dyDescent="0.25">
      <c r="A256" s="25" t="s">
        <v>4017</v>
      </c>
      <c r="B256" s="25" t="s">
        <v>4016</v>
      </c>
      <c r="C256" s="50">
        <v>1.2450000000000001</v>
      </c>
      <c r="D256" s="27">
        <f xml:space="preserve"> C256 / (24 * 'VRP Solver Console'!C11)</f>
        <v>8.6458333333333341E-4</v>
      </c>
    </row>
    <row r="257" spans="1:4" x14ac:dyDescent="0.25">
      <c r="A257" s="23" t="s">
        <v>4017</v>
      </c>
      <c r="B257" s="23" t="s">
        <v>4017</v>
      </c>
      <c r="C257" s="48">
        <v>0</v>
      </c>
      <c r="D257" s="24">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C73E4-FB06-4C3E-917E-CD36A9D38354}">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4002</v>
      </c>
      <c r="B2" s="51" t="s">
        <v>4020</v>
      </c>
      <c r="C2" s="51">
        <v>44</v>
      </c>
      <c r="D2" s="52">
        <v>0</v>
      </c>
      <c r="E2" s="52">
        <v>11.22</v>
      </c>
      <c r="F2" s="52">
        <v>1</v>
      </c>
      <c r="G2" s="52">
        <v>100</v>
      </c>
      <c r="H2" s="53">
        <v>0.25</v>
      </c>
      <c r="I2" s="54">
        <v>0.375</v>
      </c>
      <c r="J2" s="54">
        <v>0.375</v>
      </c>
      <c r="K2" s="51" t="s">
        <v>4002</v>
      </c>
      <c r="L2" s="55">
        <f>IFERROR(MATCH(K2,'1. Locais'!$B$2:$B$2,0) - 1," ")</f>
        <v>0</v>
      </c>
      <c r="M2" s="51">
        <v>1</v>
      </c>
    </row>
    <row r="3" spans="1:13" ht="15.75" thickTop="1" x14ac:dyDescent="0.25"/>
  </sheetData>
  <dataValidations count="6">
    <dataValidation type="decimal" operator="greaterThan" allowBlank="1" showInputMessage="1" showErrorMessage="1" error="Insira um valor não negativo" sqref="C2" xr:uid="{C64D30C6-47A7-4736-ABE7-4A106FD4CBEB}">
      <formula1>-0.0001</formula1>
    </dataValidation>
    <dataValidation type="decimal" operator="greaterThan" allowBlank="1" showInputMessage="1" showErrorMessage="1" error="Insira um valor não negativo" sqref="D2" xr:uid="{A3FE3F84-D59E-409C-90AC-B7EBDE904406}">
      <formula1>-0.0001</formula1>
    </dataValidation>
    <dataValidation type="decimal" operator="greaterThan" allowBlank="1" showInputMessage="1" showErrorMessage="1" error="Insira um valor não negativo" sqref="E2" xr:uid="{B0D6EBF5-39F2-4156-99D0-8714182414F1}">
      <formula1>-0.0001</formula1>
    </dataValidation>
    <dataValidation type="decimal" operator="greaterThan" allowBlank="1" showInputMessage="1" showErrorMessage="1" error="Insira um valor positivo" sqref="F2" xr:uid="{04B78177-8D9B-4D9B-B04D-C15A4F2A4E78}">
      <formula1>0</formula1>
    </dataValidation>
    <dataValidation type="whole" operator="greaterThan" allowBlank="1" showInputMessage="1" showErrorMessage="1" error="Insira um valor inteiro não negativo" sqref="G2" xr:uid="{05AA0041-0DC3-4DC7-B972-72DBE724E53A}">
      <formula1>-1</formula1>
    </dataValidation>
    <dataValidation type="decimal" operator="greaterThan" allowBlank="1" showInputMessage="1" showErrorMessage="1" error="Insira um valor positivo" sqref="J2" xr:uid="{5FE3DB38-CE66-4E5C-9BB9-A2E971BAF3F8}">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24D10069-C5A9-49A0-9683-53980FC55FD5}">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BAE66-26F1-4EF8-88B9-22828F7D75F7}">
  <dimension ref="A1:P23"/>
  <sheetViews>
    <sheetView tabSelected="1" workbookViewId="0"/>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1">
        <f ca="1">+I3</f>
        <v>-494.97029999999995</v>
      </c>
    </row>
    <row r="2" spans="1:16" s="18" customFormat="1" x14ac:dyDescent="0.25">
      <c r="A2" s="74"/>
      <c r="B2" s="74"/>
      <c r="C2" s="74"/>
      <c r="D2" s="74"/>
      <c r="E2" s="74"/>
      <c r="F2" s="74"/>
      <c r="G2" s="74"/>
      <c r="H2" s="74"/>
      <c r="I2" s="74"/>
      <c r="J2" s="74"/>
      <c r="K2" s="74"/>
      <c r="L2" s="74"/>
      <c r="M2" s="74"/>
      <c r="N2" s="74"/>
      <c r="O2" s="74"/>
      <c r="P2" s="74"/>
    </row>
    <row r="3" spans="1:16" s="18" customFormat="1" x14ac:dyDescent="0.25">
      <c r="A3" s="18" t="s">
        <v>1647</v>
      </c>
      <c r="B3" s="18" t="s">
        <v>4021</v>
      </c>
      <c r="F3" s="18" t="s">
        <v>1630</v>
      </c>
      <c r="G3" s="72">
        <f>COUNTA(B6:B21)</f>
        <v>16</v>
      </c>
      <c r="H3" s="18" t="s">
        <v>1154</v>
      </c>
      <c r="I3" s="73">
        <f ca="1">INDEX(K5:K21,G3 + 1)-(INDEX(F5:$F$21,G3+ 1) * '3. Veículos'!E2)- IF(INDIRECT("G3") &gt; 1, INDIRECT("'3. Veículos'!D2"), 0)</f>
        <v>-494.97029999999995</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Escola7</v>
      </c>
      <c r="C5" s="21">
        <f ca="1">IFERROR(MATCH(INDIRECT("B5"),'1. Locais'!B2:B17, 0) - 1," ")</f>
        <v>0</v>
      </c>
      <c r="D5" s="56">
        <f ca="1">IFERROR(IF(ISNUMBER(C5),INDEX('1. Locais'!D2:D17,C5 + 1),NA()),NA())</f>
        <v>-10.2185887</v>
      </c>
      <c r="E5" s="56">
        <f ca="1">IFERROR(IF(ISNUMBER(C5),INDEX('1. Locais'!E2:E17,C5 + 1),NA()),NA())</f>
        <v>-48.342193999999999</v>
      </c>
      <c r="F5" s="57">
        <v>0</v>
      </c>
      <c r="G5" s="58">
        <v>0</v>
      </c>
      <c r="H5" s="59"/>
      <c r="I5" s="59">
        <f>'3. Veículos'!H2</f>
        <v>0.25</v>
      </c>
      <c r="J5" s="58">
        <v>0</v>
      </c>
      <c r="K5" s="56">
        <v>0</v>
      </c>
      <c r="L5" s="57">
        <v>0</v>
      </c>
      <c r="M5" s="57">
        <v>0</v>
      </c>
      <c r="N5" s="57">
        <v>0</v>
      </c>
      <c r="O5" s="57">
        <f ca="1">IFERROR(IF(ISNUMBER(C5),IF(B6 = B5, 0, IF(B6 = "", 0, O6 + M6))," ")," ")</f>
        <v>0</v>
      </c>
      <c r="P5" s="56">
        <f ca="1">IFERROR(IF(ISNUMBER(C5),N5 + O5," ")," ")</f>
        <v>0</v>
      </c>
    </row>
    <row r="6" spans="1:16" x14ac:dyDescent="0.25">
      <c r="A6" s="25">
        <v>1</v>
      </c>
      <c r="B6" s="64" t="s">
        <v>4010</v>
      </c>
      <c r="C6" s="65">
        <f ca="1">IFERROR(MATCH(INDIRECT("B6"),'1. Locais'!B2:B17, 0) - 1," ")</f>
        <v>8</v>
      </c>
      <c r="D6" s="65">
        <f ca="1">IFERROR(IF(ISNUMBER(C6),INDEX('1. Locais'!D2:D17,C6 + 1),NA()),NA())</f>
        <v>-10.224122100000001</v>
      </c>
      <c r="E6" s="65">
        <f ca="1">IFERROR(IF(ISNUMBER(C6),INDEX('1. Locais'!E2:E17,C6 + 1),NA()),NA())</f>
        <v>-48.328195399999998</v>
      </c>
      <c r="F6" s="66">
        <f ca="1">IFERROR(IF(ISNUMBER(C6),INDEX('2. Distâncias'!C2:C257,C5*16+C6+ 1) +F5," ")," ")</f>
        <v>2.2090000000000001</v>
      </c>
      <c r="G6" s="67">
        <f ca="1">IFERROR(IF(ISNUMBER(C6),'3. Veículos'!F2 * INDEX('2. Distâncias'!D2:D257,C5*16+C6 + 1) +G5," ")," ")</f>
        <v>1.5340277777777778E-3</v>
      </c>
      <c r="H6" s="68">
        <f ca="1">IFERROR(IF(ISNUMBER(C6),'3. Veículos'!F2 * INDEX('2. Distâncias'!D2:D257,C5*16+C6 + 1) +I5," ")," ")</f>
        <v>0.25153402777777778</v>
      </c>
      <c r="I6" s="68">
        <f ca="1">IFERROR(IF(AND(C5&lt;&gt;C6,ISNUMBER(H6)),INDEX('1. Locais'!I2:I17,C6 + 1) + MAX(H6,INDEX('1. Locais'!F2:F17,C6 + 1))," ")," ")</f>
        <v>0.25153402777777778</v>
      </c>
      <c r="J6" s="67">
        <f ca="1">IFERROR(IF(AND(B6 = B5, B7 = ""), H6 - I5, I6 - I5)," ")</f>
        <v>1.53402777777778E-3</v>
      </c>
      <c r="K6" s="65">
        <f ca="1">IFERROR(IF(ISNUMBER(C6),INDEX('1. Locais'!L2:L17,C6 + 1) + K5," ")," ")</f>
        <v>0</v>
      </c>
      <c r="L6" s="66">
        <f ca="1">IFERROR(IF(ISNUMBER(C6),INDEX('1. Locais'!J2:J17,C6 + 1)," ")," ")</f>
        <v>0</v>
      </c>
      <c r="M6" s="66">
        <f ca="1">IFERROR(IF(ISNUMBER(C6),INDEX('1. Locais'!K2:K17,C6 + 1)," ")," ")</f>
        <v>0</v>
      </c>
      <c r="N6" s="66">
        <f ca="1">IFERROR(IF(ISNUMBER(C6),IF(B6 = B5, 0, L6 + N5)," ")," ")</f>
        <v>0</v>
      </c>
      <c r="O6" s="66">
        <f ca="1">IFERROR(IF(ISNUMBER(C6),IF(B7 = B5, 0, IF(B7 = "", 0, O7 + M7))," ")," ")</f>
        <v>0</v>
      </c>
      <c r="P6" s="65">
        <f ca="1">IFERROR(IF(ISNUMBER(C6),N6 + O6," ")," ")</f>
        <v>0</v>
      </c>
    </row>
    <row r="7" spans="1:16" x14ac:dyDescent="0.25">
      <c r="A7" s="25">
        <v>2</v>
      </c>
      <c r="B7" s="70" t="s">
        <v>4012</v>
      </c>
      <c r="C7" s="65">
        <f ca="1">IFERROR(MATCH(INDIRECT("B7"),'1. Locais'!B2:B17, 0) - 1," ")</f>
        <v>10</v>
      </c>
      <c r="D7" s="65">
        <f ca="1">IFERROR(IF(ISNUMBER(C7),INDEX('1. Locais'!D2:D17,C7 + 1),NA()),NA())</f>
        <v>-10.2301193</v>
      </c>
      <c r="E7" s="65">
        <f ca="1">IFERROR(IF(ISNUMBER(C7),INDEX('1. Locais'!E2:E17,C7 + 1),NA()),NA())</f>
        <v>-48.315149099999999</v>
      </c>
      <c r="F7" s="66">
        <f ca="1">IFERROR(IF(ISNUMBER(C7),INDEX('2. Distâncias'!C2:C257,C6*16+C7+ 1) +F6," ")," ")</f>
        <v>4.3979999999999997</v>
      </c>
      <c r="G7" s="67">
        <f ca="1">IFERROR(IF(ISNUMBER(C7),'3. Veículos'!F2 * INDEX('2. Distâncias'!D2:D257,C6*16+C7 + 1) +G6," ")," ")</f>
        <v>3.0541666666666668E-3</v>
      </c>
      <c r="H7" s="68">
        <f ca="1">IFERROR(IF(ISNUMBER(C7),'3. Veículos'!F2 * INDEX('2. Distâncias'!D2:D257,C6*16+C7 + 1) +I6," ")," ")</f>
        <v>0.25305416666666669</v>
      </c>
      <c r="I7" s="68">
        <f ca="1">IFERROR(IF(AND(C5&lt;&gt;C7,ISNUMBER(H7)),INDEX('1. Locais'!I2:I17,C7 + 1) + MAX(H7,INDEX('1. Locais'!F2:F17,C7 + 1))," ")," ")</f>
        <v>0.25305416666666669</v>
      </c>
      <c r="J7" s="67">
        <f ca="1">IFERROR(IF(AND(B7 = B5, B8 = ""), H7 - I5, I7 - I5)," ")</f>
        <v>3.0541666666666911E-3</v>
      </c>
      <c r="K7" s="65">
        <f ca="1">IFERROR(IF(ISNUMBER(C7),INDEX('1. Locais'!L2:L17,C7 + 1) + K6," ")," ")</f>
        <v>0</v>
      </c>
      <c r="L7" s="66">
        <f ca="1">IFERROR(IF(ISNUMBER(C7),INDEX('1. Locais'!J2:J17,C7 + 1)," ")," ")</f>
        <v>5</v>
      </c>
      <c r="M7" s="66">
        <f ca="1">IFERROR(IF(ISNUMBER(C7),INDEX('1. Locais'!K2:K17,C7 + 1)," ")," ")</f>
        <v>0</v>
      </c>
      <c r="N7" s="66">
        <f ca="1">IFERROR(IF(ISNUMBER(C7),IF(B7 = B5, 0, L7 + N6)," ")," ")</f>
        <v>5</v>
      </c>
      <c r="O7" s="66">
        <f ca="1">IFERROR(IF(ISNUMBER(C7),IF(B8 = B5, 0, IF(B8 = "", 0, O8 + M8))," ")," ")</f>
        <v>0</v>
      </c>
      <c r="P7" s="65">
        <f ca="1">IFERROR(IF(ISNUMBER(C7),N7 + O7," ")," ")</f>
        <v>5</v>
      </c>
    </row>
    <row r="8" spans="1:16" x14ac:dyDescent="0.25">
      <c r="A8" s="25">
        <v>3</v>
      </c>
      <c r="B8" s="64" t="s">
        <v>4016</v>
      </c>
      <c r="C8" s="65">
        <f ca="1">IFERROR(MATCH(INDIRECT("B8"),'1. Locais'!B2:B17, 0) - 1," ")</f>
        <v>14</v>
      </c>
      <c r="D8" s="65">
        <f ca="1">IFERROR(IF(ISNUMBER(C8),INDEX('1. Locais'!D2:D17,C8 + 1),NA()),NA())</f>
        <v>-10.2743854</v>
      </c>
      <c r="E8" s="65">
        <f ca="1">IFERROR(IF(ISNUMBER(C8),INDEX('1. Locais'!E2:E17,C8 + 1),NA()),NA())</f>
        <v>-48.275230999999998</v>
      </c>
      <c r="F8" s="66">
        <f ca="1">IFERROR(IF(ISNUMBER(C8),INDEX('2. Distâncias'!C2:C257,C7*16+C8+ 1) +F7," ")," ")</f>
        <v>13.632999999999999</v>
      </c>
      <c r="G8" s="67">
        <f ca="1">IFERROR(IF(ISNUMBER(C8),'3. Veículos'!F2 * INDEX('2. Distâncias'!D2:D257,C7*16+C8 + 1) +G7," ")," ")</f>
        <v>9.4673611111111104E-3</v>
      </c>
      <c r="H8" s="68">
        <f ca="1">IFERROR(IF(ISNUMBER(C8),'3. Veículos'!F2 * INDEX('2. Distâncias'!D2:D257,C7*16+C8 + 1) +I7," ")," ")</f>
        <v>0.25946736111111113</v>
      </c>
      <c r="I8" s="68">
        <f ca="1">IFERROR(IF(AND(C5&lt;&gt;C8,ISNUMBER(H8)),INDEX('1. Locais'!I2:I17,C8 + 1) + MAX(H8,INDEX('1. Locais'!F2:F17,C8 + 1))," ")," ")</f>
        <v>0.25946736111111113</v>
      </c>
      <c r="J8" s="67">
        <f ca="1">IFERROR(IF(AND(B8 = B5, B9 = ""), H8 - I5, I8 - I5)," ")</f>
        <v>9.4673611111111278E-3</v>
      </c>
      <c r="K8" s="65">
        <f ca="1">IFERROR(IF(ISNUMBER(C8),INDEX('1. Locais'!L2:L17,C8 + 1) + K7," ")," ")</f>
        <v>0</v>
      </c>
      <c r="L8" s="66">
        <f ca="1">IFERROR(IF(ISNUMBER(C8),INDEX('1. Locais'!J2:J17,C8 + 1)," ")," ")</f>
        <v>1</v>
      </c>
      <c r="M8" s="66">
        <f ca="1">IFERROR(IF(ISNUMBER(C8),INDEX('1. Locais'!K2:K17,C8 + 1)," ")," ")</f>
        <v>0</v>
      </c>
      <c r="N8" s="66">
        <f ca="1">IFERROR(IF(ISNUMBER(C8),IF(B8 = B5, 0, L8 + N7)," ")," ")</f>
        <v>6</v>
      </c>
      <c r="O8" s="66">
        <f ca="1">IFERROR(IF(ISNUMBER(C8),IF(B9 = B5, 0, IF(B9 = "", 0, O9 + M9))," ")," ")</f>
        <v>0</v>
      </c>
      <c r="P8" s="65">
        <f ca="1">IFERROR(IF(ISNUMBER(C8),N8 + O8," ")," ")</f>
        <v>6</v>
      </c>
    </row>
    <row r="9" spans="1:16" x14ac:dyDescent="0.25">
      <c r="A9" s="25">
        <v>4</v>
      </c>
      <c r="B9" s="70" t="s">
        <v>4017</v>
      </c>
      <c r="C9" s="65">
        <f ca="1">IFERROR(MATCH(INDIRECT("B9"),'1. Locais'!B2:B17, 0) - 1," ")</f>
        <v>15</v>
      </c>
      <c r="D9" s="65">
        <f ca="1">IFERROR(IF(ISNUMBER(C9),INDEX('1. Locais'!D2:D17,C9 + 1),NA()),NA())</f>
        <v>-10.263237200000001</v>
      </c>
      <c r="E9" s="65">
        <f ca="1">IFERROR(IF(ISNUMBER(C9),INDEX('1. Locais'!E2:E17,C9 + 1),NA()),NA())</f>
        <v>-48.274801799999999</v>
      </c>
      <c r="F9" s="66">
        <f ca="1">IFERROR(IF(ISNUMBER(C9),INDEX('2. Distâncias'!C2:C257,C8*16+C9+ 1) +F8," ")," ")</f>
        <v>14.878</v>
      </c>
      <c r="G9" s="67">
        <f ca="1">IFERROR(IF(ISNUMBER(C9),'3. Veículos'!F2 * INDEX('2. Distâncias'!D2:D257,C8*16+C9 + 1) +G8," ")," ")</f>
        <v>1.0331944444444444E-2</v>
      </c>
      <c r="H9" s="68">
        <f ca="1">IFERROR(IF(ISNUMBER(C9),'3. Veículos'!F2 * INDEX('2. Distâncias'!D2:D257,C8*16+C9 + 1) +I8," ")," ")</f>
        <v>0.26033194444444446</v>
      </c>
      <c r="I9" s="68">
        <f ca="1">IFERROR(IF(AND(C5&lt;&gt;C9,ISNUMBER(H9)),INDEX('1. Locais'!I2:I17,C9 + 1) + MAX(H9,INDEX('1. Locais'!F2:F17,C9 + 1))," ")," ")</f>
        <v>0.26033194444444446</v>
      </c>
      <c r="J9" s="67">
        <f ca="1">IFERROR(IF(AND(B9 = B5, B10 = ""), H9 - I5, I9 - I5)," ")</f>
        <v>1.0331944444444463E-2</v>
      </c>
      <c r="K9" s="65">
        <f ca="1">IFERROR(IF(ISNUMBER(C9),INDEX('1. Locais'!L2:L17,C9 + 1) + K8," ")," ")</f>
        <v>0</v>
      </c>
      <c r="L9" s="66">
        <f ca="1">IFERROR(IF(ISNUMBER(C9),INDEX('1. Locais'!J2:J17,C9 + 1)," ")," ")</f>
        <v>0</v>
      </c>
      <c r="M9" s="66">
        <f ca="1">IFERROR(IF(ISNUMBER(C9),INDEX('1. Locais'!K2:K17,C9 + 1)," ")," ")</f>
        <v>0</v>
      </c>
      <c r="N9" s="66">
        <f ca="1">IFERROR(IF(ISNUMBER(C9),IF(B9 = B5, 0, L9 + N8)," ")," ")</f>
        <v>6</v>
      </c>
      <c r="O9" s="66">
        <f ca="1">IFERROR(IF(ISNUMBER(C9),IF(B10 = B5, 0, IF(B10 = "", 0, O10 + M10))," ")," ")</f>
        <v>0</v>
      </c>
      <c r="P9" s="65">
        <f ca="1">IFERROR(IF(ISNUMBER(C9),N9 + O9," ")," ")</f>
        <v>6</v>
      </c>
    </row>
    <row r="10" spans="1:16" x14ac:dyDescent="0.25">
      <c r="A10" s="25">
        <v>5</v>
      </c>
      <c r="B10" s="64" t="s">
        <v>4015</v>
      </c>
      <c r="C10" s="65">
        <f ca="1">IFERROR(MATCH(INDIRECT("B10"),'1. Locais'!B2:B17, 0) - 1," ")</f>
        <v>13</v>
      </c>
      <c r="D10" s="65">
        <f ca="1">IFERROR(IF(ISNUMBER(C10),INDEX('1. Locais'!D2:D17,C10 + 1),NA()),NA())</f>
        <v>-10.2542846</v>
      </c>
      <c r="E10" s="65">
        <f ca="1">IFERROR(IF(ISNUMBER(C10),INDEX('1. Locais'!E2:E17,C10 + 1),NA()),NA())</f>
        <v>-48.283127399999998</v>
      </c>
      <c r="F10" s="66">
        <f ca="1">IFERROR(IF(ISNUMBER(C10),INDEX('2. Distâncias'!C2:C257,C9*16+C10+ 1) +F9," ")," ")</f>
        <v>16.327000000000002</v>
      </c>
      <c r="G10" s="67">
        <f ca="1">IFERROR(IF(ISNUMBER(C10),'3. Veículos'!F2 * INDEX('2. Distâncias'!D2:D257,C9*16+C10 + 1) +G9," ")," ")</f>
        <v>1.1338194444444444E-2</v>
      </c>
      <c r="H10" s="68">
        <f ca="1">IFERROR(IF(ISNUMBER(C10),'3. Veículos'!F2 * INDEX('2. Distâncias'!D2:D257,C9*16+C10 + 1) +I9," ")," ")</f>
        <v>0.26133819444444445</v>
      </c>
      <c r="I10" s="68">
        <f ca="1">IFERROR(IF(AND(C5&lt;&gt;C10,ISNUMBER(H10)),INDEX('1. Locais'!I2:I17,C10 + 1) + MAX(H10,INDEX('1. Locais'!F2:F17,C10 + 1))," ")," ")</f>
        <v>0.26133819444444445</v>
      </c>
      <c r="J10" s="67">
        <f ca="1">IFERROR(IF(AND(B10 = B5, B11 = ""), H10 - I5, I10 - I5)," ")</f>
        <v>1.1338194444444449E-2</v>
      </c>
      <c r="K10" s="65">
        <f ca="1">IFERROR(IF(ISNUMBER(C10),INDEX('1. Locais'!L2:L17,C10 + 1) + K9," ")," ")</f>
        <v>0</v>
      </c>
      <c r="L10" s="66">
        <f ca="1">IFERROR(IF(ISNUMBER(C10),INDEX('1. Locais'!J2:J17,C10 + 1)," ")," ")</f>
        <v>2</v>
      </c>
      <c r="M10" s="66">
        <f ca="1">IFERROR(IF(ISNUMBER(C10),INDEX('1. Locais'!K2:K17,C10 + 1)," ")," ")</f>
        <v>0</v>
      </c>
      <c r="N10" s="66">
        <f ca="1">IFERROR(IF(ISNUMBER(C10),IF(B10 = B5, 0, L10 + N9)," ")," ")</f>
        <v>8</v>
      </c>
      <c r="O10" s="66">
        <f ca="1">IFERROR(IF(ISNUMBER(C10),IF(B11 = B5, 0, IF(B11 = "", 0, O11 + M11))," ")," ")</f>
        <v>0</v>
      </c>
      <c r="P10" s="65">
        <f ca="1">IFERROR(IF(ISNUMBER(C10),N10 + O10," ")," ")</f>
        <v>8</v>
      </c>
    </row>
    <row r="11" spans="1:16" x14ac:dyDescent="0.25">
      <c r="A11" s="25">
        <v>6</v>
      </c>
      <c r="B11" s="70" t="s">
        <v>4004</v>
      </c>
      <c r="C11" s="65">
        <f ca="1">IFERROR(MATCH(INDIRECT("B11"),'1. Locais'!B2:B17, 0) - 1," ")</f>
        <v>2</v>
      </c>
      <c r="D11" s="65">
        <f ca="1">IFERROR(IF(ISNUMBER(C11),INDEX('1. Locais'!D2:D17,C11 + 1),NA()),NA())</f>
        <v>-10.2421262</v>
      </c>
      <c r="E11" s="65">
        <f ca="1">IFERROR(IF(ISNUMBER(C11),INDEX('1. Locais'!E2:E17,C11 + 1),NA()),NA())</f>
        <v>-48.220754999999997</v>
      </c>
      <c r="F11" s="66">
        <f ca="1">IFERROR(IF(ISNUMBER(C11),INDEX('2. Distâncias'!C2:C257,C10*16+C11+ 1) +F10," ")," ")</f>
        <v>24.468000000000004</v>
      </c>
      <c r="G11" s="67">
        <f ca="1">IFERROR(IF(ISNUMBER(C11),'3. Veículos'!F2 * INDEX('2. Distâncias'!D2:D257,C10*16+C11 + 1) +G10," ")," ")</f>
        <v>1.6991666666666665E-2</v>
      </c>
      <c r="H11" s="68">
        <f ca="1">IFERROR(IF(ISNUMBER(C11),'3. Veículos'!F2 * INDEX('2. Distâncias'!D2:D257,C10*16+C11 + 1) +I10," ")," ")</f>
        <v>0.26699166666666668</v>
      </c>
      <c r="I11" s="68">
        <f ca="1">IFERROR(IF(AND(C5&lt;&gt;C11,ISNUMBER(H11)),INDEX('1. Locais'!I2:I17,C11 + 1) + MAX(H11,INDEX('1. Locais'!F2:F17,C11 + 1))," ")," ")</f>
        <v>0.26699166666666668</v>
      </c>
      <c r="J11" s="67">
        <f ca="1">IFERROR(IF(AND(B11 = B5, B12 = ""), H11 - I5, I11 - I5)," ")</f>
        <v>1.6991666666666683E-2</v>
      </c>
      <c r="K11" s="65">
        <f ca="1">IFERROR(IF(ISNUMBER(C11),INDEX('1. Locais'!L2:L17,C11 + 1) + K10," ")," ")</f>
        <v>0</v>
      </c>
      <c r="L11" s="66">
        <f ca="1">IFERROR(IF(ISNUMBER(C11),INDEX('1. Locais'!J2:J17,C11 + 1)," ")," ")</f>
        <v>2</v>
      </c>
      <c r="M11" s="66">
        <f ca="1">IFERROR(IF(ISNUMBER(C11),INDEX('1. Locais'!K2:K17,C11 + 1)," ")," ")</f>
        <v>0</v>
      </c>
      <c r="N11" s="66">
        <f ca="1">IFERROR(IF(ISNUMBER(C11),IF(B11 = B5, 0, L11 + N10)," ")," ")</f>
        <v>10</v>
      </c>
      <c r="O11" s="66">
        <f ca="1">IFERROR(IF(ISNUMBER(C11),IF(B12 = B5, 0, IF(B12 = "", 0, O12 + M12))," ")," ")</f>
        <v>0</v>
      </c>
      <c r="P11" s="65">
        <f ca="1">IFERROR(IF(ISNUMBER(C11),N11 + O11," ")," ")</f>
        <v>10</v>
      </c>
    </row>
    <row r="12" spans="1:16" x14ac:dyDescent="0.25">
      <c r="A12" s="25">
        <v>7</v>
      </c>
      <c r="B12" s="64" t="s">
        <v>4005</v>
      </c>
      <c r="C12" s="65">
        <f ca="1">IFERROR(MATCH(INDIRECT("B12"),'1. Locais'!B2:B17, 0) - 1," ")</f>
        <v>3</v>
      </c>
      <c r="D12" s="65">
        <f ca="1">IFERROR(IF(ISNUMBER(C12),INDEX('1. Locais'!D2:D17,C12 + 1),NA()),NA())</f>
        <v>-10.238409799999999</v>
      </c>
      <c r="E12" s="65">
        <f ca="1">IFERROR(IF(ISNUMBER(C12),INDEX('1. Locais'!E2:E17,C12 + 1),NA()),NA())</f>
        <v>-48.2241882</v>
      </c>
      <c r="F12" s="66">
        <f ca="1">IFERROR(IF(ISNUMBER(C12),INDEX('2. Distâncias'!C2:C257,C11*16+C12+ 1) +F11," ")," ")</f>
        <v>25.051000000000002</v>
      </c>
      <c r="G12" s="67">
        <f ca="1">IFERROR(IF(ISNUMBER(C12),'3. Veículos'!F2 * INDEX('2. Distâncias'!D2:D257,C11*16+C12 + 1) +G11," ")," ")</f>
        <v>1.7396527777777778E-2</v>
      </c>
      <c r="H12" s="68">
        <f ca="1">IFERROR(IF(ISNUMBER(C12),'3. Veículos'!F2 * INDEX('2. Distâncias'!D2:D257,C11*16+C12 + 1) +I11," ")," ")</f>
        <v>0.26739652777777778</v>
      </c>
      <c r="I12" s="68">
        <f ca="1">IFERROR(IF(AND(C5&lt;&gt;C12,ISNUMBER(H12)),INDEX('1. Locais'!I2:I17,C12 + 1) + MAX(H12,INDEX('1. Locais'!F2:F17,C12 + 1))," ")," ")</f>
        <v>0.26739652777777778</v>
      </c>
      <c r="J12" s="67">
        <f ca="1">IFERROR(IF(AND(B12 = B5, B13 = ""), H12 - I5, I12 - I5)," ")</f>
        <v>1.7396527777777782E-2</v>
      </c>
      <c r="K12" s="65">
        <f ca="1">IFERROR(IF(ISNUMBER(C12),INDEX('1. Locais'!L2:L17,C12 + 1) + K11," ")," ")</f>
        <v>0</v>
      </c>
      <c r="L12" s="66">
        <f ca="1">IFERROR(IF(ISNUMBER(C12),INDEX('1. Locais'!J2:J17,C12 + 1)," ")," ")</f>
        <v>2</v>
      </c>
      <c r="M12" s="66">
        <f ca="1">IFERROR(IF(ISNUMBER(C12),INDEX('1. Locais'!K2:K17,C12 + 1)," ")," ")</f>
        <v>0</v>
      </c>
      <c r="N12" s="66">
        <f ca="1">IFERROR(IF(ISNUMBER(C12),IF(B12 = B5, 0, L12 + N11)," ")," ")</f>
        <v>12</v>
      </c>
      <c r="O12" s="66">
        <f ca="1">IFERROR(IF(ISNUMBER(C12),IF(B13 = B5, 0, IF(B13 = "", 0, O13 + M13))," ")," ")</f>
        <v>0</v>
      </c>
      <c r="P12" s="65">
        <f ca="1">IFERROR(IF(ISNUMBER(C12),N12 + O12," ")," ")</f>
        <v>12</v>
      </c>
    </row>
    <row r="13" spans="1:16" x14ac:dyDescent="0.25">
      <c r="A13" s="25">
        <v>8</v>
      </c>
      <c r="B13" s="70" t="s">
        <v>4003</v>
      </c>
      <c r="C13" s="65">
        <f ca="1">IFERROR(MATCH(INDIRECT("B13"),'1. Locais'!B2:B17, 0) - 1," ")</f>
        <v>1</v>
      </c>
      <c r="D13" s="65">
        <f ca="1">IFERROR(IF(ISNUMBER(C13),INDEX('1. Locais'!D2:D17,C13 + 1),NA()),NA())</f>
        <v>-10.2406319</v>
      </c>
      <c r="E13" s="65">
        <f ca="1">IFERROR(IF(ISNUMBER(C13),INDEX('1. Locais'!E2:E17,C13 + 1),NA()),NA())</f>
        <v>-48.244219600000001</v>
      </c>
      <c r="F13" s="66">
        <f ca="1">IFERROR(IF(ISNUMBER(C13),INDEX('2. Distâncias'!C2:C257,C12*16+C13+ 1) +F12," ")," ")</f>
        <v>28.261000000000003</v>
      </c>
      <c r="G13" s="67">
        <f ca="1">IFERROR(IF(ISNUMBER(C13),'3. Veículos'!F2 * INDEX('2. Distâncias'!D2:D257,C12*16+C13 + 1) +G12," ")," ")</f>
        <v>1.9625694444444446E-2</v>
      </c>
      <c r="H13" s="68">
        <f ca="1">IFERROR(IF(ISNUMBER(C13),'3. Veículos'!F2 * INDEX('2. Distâncias'!D2:D257,C12*16+C13 + 1) +I12," ")," ")</f>
        <v>0.26962569444444445</v>
      </c>
      <c r="I13" s="68">
        <f ca="1">IFERROR(IF(AND(C5&lt;&gt;C13,ISNUMBER(H13)),INDEX('1. Locais'!I2:I17,C13 + 1) + MAX(H13,INDEX('1. Locais'!F2:F17,C13 + 1))," ")," ")</f>
        <v>0.26962569444444445</v>
      </c>
      <c r="J13" s="67">
        <f ca="1">IFERROR(IF(AND(B13 = B5, B14 = ""), H13 - I5, I13 - I5)," ")</f>
        <v>1.9625694444444453E-2</v>
      </c>
      <c r="K13" s="65">
        <f ca="1">IFERROR(IF(ISNUMBER(C13),INDEX('1. Locais'!L2:L17,C13 + 1) + K12," ")," ")</f>
        <v>0</v>
      </c>
      <c r="L13" s="66">
        <f ca="1">IFERROR(IF(ISNUMBER(C13),INDEX('1. Locais'!J2:J17,C13 + 1)," ")," ")</f>
        <v>4</v>
      </c>
      <c r="M13" s="66">
        <f ca="1">IFERROR(IF(ISNUMBER(C13),INDEX('1. Locais'!K2:K17,C13 + 1)," ")," ")</f>
        <v>0</v>
      </c>
      <c r="N13" s="66">
        <f ca="1">IFERROR(IF(ISNUMBER(C13),IF(B13 = B5, 0, L13 + N12)," ")," ")</f>
        <v>16</v>
      </c>
      <c r="O13" s="66">
        <f ca="1">IFERROR(IF(ISNUMBER(C13),IF(B14 = B5, 0, IF(B14 = "", 0, O14 + M14))," ")," ")</f>
        <v>0</v>
      </c>
      <c r="P13" s="65">
        <f ca="1">IFERROR(IF(ISNUMBER(C13),N13 + O13," ")," ")</f>
        <v>16</v>
      </c>
    </row>
    <row r="14" spans="1:16" x14ac:dyDescent="0.25">
      <c r="A14" s="25">
        <v>9</v>
      </c>
      <c r="B14" s="64" t="s">
        <v>4009</v>
      </c>
      <c r="C14" s="65">
        <f ca="1">IFERROR(MATCH(INDIRECT("B14"),'1. Locais'!B2:B17, 0) - 1," ")</f>
        <v>7</v>
      </c>
      <c r="D14" s="65">
        <f ca="1">IFERROR(IF(ISNUMBER(C14),INDEX('1. Locais'!D2:D17,C14 + 1),NA()),NA())</f>
        <v>-10.2477339</v>
      </c>
      <c r="E14" s="65">
        <f ca="1">IFERROR(IF(ISNUMBER(C14),INDEX('1. Locais'!E2:E17,C14 + 1),NA()),NA())</f>
        <v>-48.249821599999997</v>
      </c>
      <c r="F14" s="66">
        <f ca="1">IFERROR(IF(ISNUMBER(C14),INDEX('2. Distâncias'!C2:C257,C13*16+C14+ 1) +F13," ")," ")</f>
        <v>29.663000000000004</v>
      </c>
      <c r="G14" s="67">
        <f ca="1">IFERROR(IF(ISNUMBER(C14),'3. Veículos'!F2 * INDEX('2. Distâncias'!D2:D257,C13*16+C14 + 1) +G13," ")," ")</f>
        <v>2.0599305555555558E-2</v>
      </c>
      <c r="H14" s="68">
        <f ca="1">IFERROR(IF(ISNUMBER(C14),'3. Veículos'!F2 * INDEX('2. Distâncias'!D2:D257,C13*16+C14 + 1) +I13," ")," ")</f>
        <v>0.27059930555555556</v>
      </c>
      <c r="I14" s="68">
        <f ca="1">IFERROR(IF(AND(C5&lt;&gt;C14,ISNUMBER(H14)),INDEX('1. Locais'!I2:I17,C14 + 1) + MAX(H14,INDEX('1. Locais'!F2:F17,C14 + 1))," ")," ")</f>
        <v>0.27059930555555556</v>
      </c>
      <c r="J14" s="67">
        <f ca="1">IFERROR(IF(AND(B14 = B5, B15 = ""), H14 - I5, I14 - I5)," ")</f>
        <v>2.0599305555555558E-2</v>
      </c>
      <c r="K14" s="65">
        <f ca="1">IFERROR(IF(ISNUMBER(C14),INDEX('1. Locais'!L2:L17,C14 + 1) + K13," ")," ")</f>
        <v>0</v>
      </c>
      <c r="L14" s="66">
        <f ca="1">IFERROR(IF(ISNUMBER(C14),INDEX('1. Locais'!J2:J17,C14 + 1)," ")," ")</f>
        <v>0</v>
      </c>
      <c r="M14" s="66">
        <f ca="1">IFERROR(IF(ISNUMBER(C14),INDEX('1. Locais'!K2:K17,C14 + 1)," ")," ")</f>
        <v>0</v>
      </c>
      <c r="N14" s="66">
        <f ca="1">IFERROR(IF(ISNUMBER(C14),IF(B14 = B5, 0, L14 + N13)," ")," ")</f>
        <v>16</v>
      </c>
      <c r="O14" s="66">
        <f ca="1">IFERROR(IF(ISNUMBER(C14),IF(B15 = B5, 0, IF(B15 = "", 0, O15 + M15))," ")," ")</f>
        <v>0</v>
      </c>
      <c r="P14" s="65">
        <f ca="1">IFERROR(IF(ISNUMBER(C14),N14 + O14," ")," ")</f>
        <v>16</v>
      </c>
    </row>
    <row r="15" spans="1:16" x14ac:dyDescent="0.25">
      <c r="A15" s="25">
        <v>10</v>
      </c>
      <c r="B15" s="70" t="s">
        <v>4008</v>
      </c>
      <c r="C15" s="65">
        <f ca="1">IFERROR(MATCH(INDIRECT("B15"),'1. Locais'!B2:B17, 0) - 1," ")</f>
        <v>6</v>
      </c>
      <c r="D15" s="65">
        <f ca="1">IFERROR(IF(ISNUMBER(C15),INDEX('1. Locais'!D2:D17,C15 + 1),NA()),NA())</f>
        <v>-10.2511083</v>
      </c>
      <c r="E15" s="65">
        <f ca="1">IFERROR(IF(ISNUMBER(C15),INDEX('1. Locais'!E2:E17,C15 + 1),NA()),NA())</f>
        <v>-48.257515300000001</v>
      </c>
      <c r="F15" s="66">
        <f ca="1">IFERROR(IF(ISNUMBER(C15),INDEX('2. Distâncias'!C2:C257,C14*16+C15+ 1) +F14," ")," ")</f>
        <v>30.575000000000003</v>
      </c>
      <c r="G15" s="67">
        <f ca="1">IFERROR(IF(ISNUMBER(C15),'3. Veículos'!F2 * INDEX('2. Distâncias'!D2:D257,C14*16+C15 + 1) +G14," ")," ")</f>
        <v>2.1232638888888891E-2</v>
      </c>
      <c r="H15" s="68">
        <f ca="1">IFERROR(IF(ISNUMBER(C15),'3. Veículos'!F2 * INDEX('2. Distâncias'!D2:D257,C14*16+C15 + 1) +I14," ")," ")</f>
        <v>0.27123263888888888</v>
      </c>
      <c r="I15" s="68">
        <f ca="1">IFERROR(IF(AND(C5&lt;&gt;C15,ISNUMBER(H15)),INDEX('1. Locais'!I2:I17,C15 + 1) + MAX(H15,INDEX('1. Locais'!F2:F17,C15 + 1))," ")," ")</f>
        <v>0.27123263888888888</v>
      </c>
      <c r="J15" s="67">
        <f ca="1">IFERROR(IF(AND(B15 = B5, B16 = ""), H15 - I5, I15 - I5)," ")</f>
        <v>2.1232638888888877E-2</v>
      </c>
      <c r="K15" s="65">
        <f ca="1">IFERROR(IF(ISNUMBER(C15),INDEX('1. Locais'!L2:L17,C15 + 1) + K14," ")," ")</f>
        <v>0</v>
      </c>
      <c r="L15" s="66">
        <f ca="1">IFERROR(IF(ISNUMBER(C15),INDEX('1. Locais'!J2:J17,C15 + 1)," ")," ")</f>
        <v>1</v>
      </c>
      <c r="M15" s="66">
        <f ca="1">IFERROR(IF(ISNUMBER(C15),INDEX('1. Locais'!K2:K17,C15 + 1)," ")," ")</f>
        <v>0</v>
      </c>
      <c r="N15" s="66">
        <f ca="1">IFERROR(IF(ISNUMBER(C15),IF(B15 = B5, 0, L15 + N14)," ")," ")</f>
        <v>17</v>
      </c>
      <c r="O15" s="66">
        <f ca="1">IFERROR(IF(ISNUMBER(C15),IF(B16 = B5, 0, IF(B16 = "", 0, O16 + M16))," ")," ")</f>
        <v>0</v>
      </c>
      <c r="P15" s="65">
        <f ca="1">IFERROR(IF(ISNUMBER(C15),N15 + O15," ")," ")</f>
        <v>17</v>
      </c>
    </row>
    <row r="16" spans="1:16" x14ac:dyDescent="0.25">
      <c r="A16" s="25">
        <v>11</v>
      </c>
      <c r="B16" s="64" t="s">
        <v>4014</v>
      </c>
      <c r="C16" s="65">
        <f ca="1">IFERROR(MATCH(INDIRECT("B16"),'1. Locais'!B2:B17, 0) - 1," ")</f>
        <v>12</v>
      </c>
      <c r="D16" s="65">
        <f ca="1">IFERROR(IF(ISNUMBER(C16),INDEX('1. Locais'!D2:D17,C16 + 1),NA()),NA())</f>
        <v>-10.2459422</v>
      </c>
      <c r="E16" s="65">
        <f ca="1">IFERROR(IF(ISNUMBER(C16),INDEX('1. Locais'!E2:E17,C16 + 1),NA()),NA())</f>
        <v>-48.270878400000001</v>
      </c>
      <c r="F16" s="66">
        <f ca="1">IFERROR(IF(ISNUMBER(C16),INDEX('2. Distâncias'!C2:C257,C15*16+C16+ 1) +F15," ")," ")</f>
        <v>32.439</v>
      </c>
      <c r="G16" s="67">
        <f ca="1">IFERROR(IF(ISNUMBER(C16),'3. Veículos'!F2 * INDEX('2. Distâncias'!D2:D257,C15*16+C16 + 1) +G15," ")," ")</f>
        <v>2.2527083333333336E-2</v>
      </c>
      <c r="H16" s="68">
        <f ca="1">IFERROR(IF(ISNUMBER(C16),'3. Veículos'!F2 * INDEX('2. Distâncias'!D2:D257,C15*16+C16 + 1) +I15," ")," ")</f>
        <v>0.27252708333333331</v>
      </c>
      <c r="I16" s="68">
        <f ca="1">IFERROR(IF(AND(C5&lt;&gt;C16,ISNUMBER(H16)),INDEX('1. Locais'!I2:I17,C16 + 1) + MAX(H16,INDEX('1. Locais'!F2:F17,C16 + 1))," ")," ")</f>
        <v>0.27252708333333331</v>
      </c>
      <c r="J16" s="67">
        <f ca="1">IFERROR(IF(AND(B16 = B5, B17 = ""), H16 - I5, I16 - I5)," ")</f>
        <v>2.2527083333333309E-2</v>
      </c>
      <c r="K16" s="65">
        <f ca="1">IFERROR(IF(ISNUMBER(C16),INDEX('1. Locais'!L2:L17,C16 + 1) + K15," ")," ")</f>
        <v>0</v>
      </c>
      <c r="L16" s="66">
        <f ca="1">IFERROR(IF(ISNUMBER(C16),INDEX('1. Locais'!J2:J17,C16 + 1)," ")," ")</f>
        <v>5</v>
      </c>
      <c r="M16" s="66">
        <f ca="1">IFERROR(IF(ISNUMBER(C16),INDEX('1. Locais'!K2:K17,C16 + 1)," ")," ")</f>
        <v>0</v>
      </c>
      <c r="N16" s="66">
        <f ca="1">IFERROR(IF(ISNUMBER(C16),IF(B16 = B5, 0, L16 + N15)," ")," ")</f>
        <v>22</v>
      </c>
      <c r="O16" s="66">
        <f ca="1">IFERROR(IF(ISNUMBER(C16),IF(B17 = B5, 0, IF(B17 = "", 0, O17 + M17))," ")," ")</f>
        <v>0</v>
      </c>
      <c r="P16" s="65">
        <f ca="1">IFERROR(IF(ISNUMBER(C16),N16 + O16," ")," ")</f>
        <v>22</v>
      </c>
    </row>
    <row r="17" spans="1:16" x14ac:dyDescent="0.25">
      <c r="A17" s="25">
        <v>12</v>
      </c>
      <c r="B17" s="70" t="s">
        <v>4006</v>
      </c>
      <c r="C17" s="65">
        <f ca="1">IFERROR(MATCH(INDIRECT("B17"),'1. Locais'!B2:B17, 0) - 1," ")</f>
        <v>4</v>
      </c>
      <c r="D17" s="65">
        <f ca="1">IFERROR(IF(ISNUMBER(C17),INDEX('1. Locais'!D2:D17,C17 + 1),NA()),NA())</f>
        <v>-10.239022200000001</v>
      </c>
      <c r="E17" s="65">
        <f ca="1">IFERROR(IF(ISNUMBER(C17),INDEX('1. Locais'!E2:E17,C17 + 1),NA()),NA())</f>
        <v>-48.281985599999999</v>
      </c>
      <c r="F17" s="66">
        <f ca="1">IFERROR(IF(ISNUMBER(C17),INDEX('2. Distâncias'!C2:C257,C16*16+C17+ 1) +F16," ")," ")</f>
        <v>33.911000000000001</v>
      </c>
      <c r="G17" s="67">
        <f ca="1">IFERROR(IF(ISNUMBER(C17),'3. Veículos'!F2 * INDEX('2. Distâncias'!D2:D257,C16*16+C17 + 1) +G16," ")," ")</f>
        <v>2.3549305555555559E-2</v>
      </c>
      <c r="H17" s="68">
        <f ca="1">IFERROR(IF(ISNUMBER(C17),'3. Veículos'!F2 * INDEX('2. Distâncias'!D2:D257,C16*16+C17 + 1) +I16," ")," ")</f>
        <v>0.27354930555555551</v>
      </c>
      <c r="I17" s="68">
        <f ca="1">IFERROR(IF(AND(C5&lt;&gt;C17,ISNUMBER(H17)),INDEX('1. Locais'!I2:I17,C17 + 1) + MAX(H17,INDEX('1. Locais'!F2:F17,C17 + 1))," ")," ")</f>
        <v>0.27354930555555551</v>
      </c>
      <c r="J17" s="67">
        <f ca="1">IFERROR(IF(AND(B17 = B5, B18 = ""), H17 - I5, I17 - I5)," ")</f>
        <v>2.3549305555555511E-2</v>
      </c>
      <c r="K17" s="65">
        <f ca="1">IFERROR(IF(ISNUMBER(C17),INDEX('1. Locais'!L2:L17,C17 + 1) + K16," ")," ")</f>
        <v>0</v>
      </c>
      <c r="L17" s="66">
        <f ca="1">IFERROR(IF(ISNUMBER(C17),INDEX('1. Locais'!J2:J17,C17 + 1)," ")," ")</f>
        <v>4</v>
      </c>
      <c r="M17" s="66">
        <f ca="1">IFERROR(IF(ISNUMBER(C17),INDEX('1. Locais'!K2:K17,C17 + 1)," ")," ")</f>
        <v>0</v>
      </c>
      <c r="N17" s="66">
        <f ca="1">IFERROR(IF(ISNUMBER(C17),IF(B17 = B5, 0, L17 + N16)," ")," ")</f>
        <v>26</v>
      </c>
      <c r="O17" s="66">
        <f ca="1">IFERROR(IF(ISNUMBER(C17),IF(B18 = B5, 0, IF(B18 = "", 0, O18 + M18))," ")," ")</f>
        <v>0</v>
      </c>
      <c r="P17" s="65">
        <f ca="1">IFERROR(IF(ISNUMBER(C17),N17 + O17," ")," ")</f>
        <v>26</v>
      </c>
    </row>
    <row r="18" spans="1:16" x14ac:dyDescent="0.25">
      <c r="A18" s="25">
        <v>13</v>
      </c>
      <c r="B18" s="64" t="s">
        <v>4013</v>
      </c>
      <c r="C18" s="65">
        <f ca="1">IFERROR(MATCH(INDIRECT("B18"),'1. Locais'!B2:B17, 0) - 1," ")</f>
        <v>11</v>
      </c>
      <c r="D18" s="65">
        <f ca="1">IFERROR(IF(ISNUMBER(C18),INDEX('1. Locais'!D2:D17,C18 + 1),NA()),NA())</f>
        <v>-10.2383124</v>
      </c>
      <c r="E18" s="65">
        <f ca="1">IFERROR(IF(ISNUMBER(C18),INDEX('1. Locais'!E2:E17,C18 + 1),NA()),NA())</f>
        <v>-48.300901199999998</v>
      </c>
      <c r="F18" s="66">
        <f ca="1">IFERROR(IF(ISNUMBER(C18),INDEX('2. Distâncias'!C2:C257,C17*16+C18+ 1) +F17," ")," ")</f>
        <v>36.530999999999999</v>
      </c>
      <c r="G18" s="67">
        <f ca="1">IFERROR(IF(ISNUMBER(C18),'3. Veículos'!F2 * INDEX('2. Distâncias'!D2:D257,C17*16+C18 + 1) +G17," ")," ")</f>
        <v>2.5368750000000002E-2</v>
      </c>
      <c r="H18" s="68">
        <f ca="1">IFERROR(IF(ISNUMBER(C18),'3. Veículos'!F2 * INDEX('2. Distâncias'!D2:D257,C17*16+C18 + 1) +I17," ")," ")</f>
        <v>0.27536874999999994</v>
      </c>
      <c r="I18" s="68">
        <f ca="1">IFERROR(IF(AND(C5&lt;&gt;C18,ISNUMBER(H18)),INDEX('1. Locais'!I2:I17,C18 + 1) + MAX(H18,INDEX('1. Locais'!F2:F17,C18 + 1))," ")," ")</f>
        <v>0.27536874999999994</v>
      </c>
      <c r="J18" s="67">
        <f ca="1">IFERROR(IF(AND(B18 = B5, B19 = ""), H18 - I5, I18 - I5)," ")</f>
        <v>2.536874999999994E-2</v>
      </c>
      <c r="K18" s="65">
        <f ca="1">IFERROR(IF(ISNUMBER(C18),INDEX('1. Locais'!L2:L17,C18 + 1) + K17," ")," ")</f>
        <v>0</v>
      </c>
      <c r="L18" s="66">
        <f ca="1">IFERROR(IF(ISNUMBER(C18),INDEX('1. Locais'!J2:J17,C18 + 1)," ")," ")</f>
        <v>1</v>
      </c>
      <c r="M18" s="66">
        <f ca="1">IFERROR(IF(ISNUMBER(C18),INDEX('1. Locais'!K2:K17,C18 + 1)," ")," ")</f>
        <v>0</v>
      </c>
      <c r="N18" s="66">
        <f ca="1">IFERROR(IF(ISNUMBER(C18),IF(B18 = B5, 0, L18 + N17)," ")," ")</f>
        <v>27</v>
      </c>
      <c r="O18" s="66">
        <f ca="1">IFERROR(IF(ISNUMBER(C18),IF(B19 = B5, 0, IF(B19 = "", 0, O19 + M19))," ")," ")</f>
        <v>0</v>
      </c>
      <c r="P18" s="65">
        <f ca="1">IFERROR(IF(ISNUMBER(C18),N18 + O18," ")," ")</f>
        <v>27</v>
      </c>
    </row>
    <row r="19" spans="1:16" x14ac:dyDescent="0.25">
      <c r="A19" s="25">
        <v>14</v>
      </c>
      <c r="B19" s="70" t="s">
        <v>4007</v>
      </c>
      <c r="C19" s="65">
        <f ca="1">IFERROR(MATCH(INDIRECT("B19"),'1. Locais'!B2:B17, 0) - 1," ")</f>
        <v>5</v>
      </c>
      <c r="D19" s="65">
        <f ca="1">IFERROR(IF(ISNUMBER(C19),INDEX('1. Locais'!D2:D17,C19 + 1),NA()),NA())</f>
        <v>-10.229994899999999</v>
      </c>
      <c r="E19" s="65">
        <f ca="1">IFERROR(IF(ISNUMBER(C19),INDEX('1. Locais'!E2:E17,C19 + 1),NA()),NA())</f>
        <v>-48.310142200000001</v>
      </c>
      <c r="F19" s="66">
        <f ca="1">IFERROR(IF(ISNUMBER(C19),INDEX('2. Distâncias'!C2:C257,C18*16+C19+ 1) +F18," ")," ")</f>
        <v>37.991999999999997</v>
      </c>
      <c r="G19" s="67">
        <f ca="1">IFERROR(IF(ISNUMBER(C19),'3. Veículos'!F2 * INDEX('2. Distâncias'!D2:D257,C18*16+C19 + 1) +G18," ")," ")</f>
        <v>2.6383333333333335E-2</v>
      </c>
      <c r="H19" s="68">
        <f ca="1">IFERROR(IF(ISNUMBER(C19),'3. Veículos'!F2 * INDEX('2. Distâncias'!D2:D257,C18*16+C19 + 1) +I18," ")," ")</f>
        <v>0.27638333333333326</v>
      </c>
      <c r="I19" s="68">
        <f ca="1">IFERROR(IF(AND(C5&lt;&gt;C19,ISNUMBER(H19)),INDEX('1. Locais'!I2:I17,C19 + 1) + MAX(H19,INDEX('1. Locais'!F2:F17,C19 + 1))," ")," ")</f>
        <v>0.27638333333333326</v>
      </c>
      <c r="J19" s="67">
        <f ca="1">IFERROR(IF(AND(B19 = B5, B20 = ""), H19 - I5, I19 - I5)," ")</f>
        <v>2.6383333333333259E-2</v>
      </c>
      <c r="K19" s="65">
        <f ca="1">IFERROR(IF(ISNUMBER(C19),INDEX('1. Locais'!L2:L17,C19 + 1) + K18," ")," ")</f>
        <v>0</v>
      </c>
      <c r="L19" s="66">
        <f ca="1">IFERROR(IF(ISNUMBER(C19),INDEX('1. Locais'!J2:J17,C19 + 1)," ")," ")</f>
        <v>0</v>
      </c>
      <c r="M19" s="66">
        <f ca="1">IFERROR(IF(ISNUMBER(C19),INDEX('1. Locais'!K2:K17,C19 + 1)," ")," ")</f>
        <v>0</v>
      </c>
      <c r="N19" s="66">
        <f ca="1">IFERROR(IF(ISNUMBER(C19),IF(B19 = B5, 0, L19 + N18)," ")," ")</f>
        <v>27</v>
      </c>
      <c r="O19" s="66">
        <f ca="1">IFERROR(IF(ISNUMBER(C19),IF(B20 = B5, 0, IF(B20 = "", 0, O20 + M20))," ")," ")</f>
        <v>0</v>
      </c>
      <c r="P19" s="65">
        <f ca="1">IFERROR(IF(ISNUMBER(C19),N19 + O19," ")," ")</f>
        <v>27</v>
      </c>
    </row>
    <row r="20" spans="1:16" x14ac:dyDescent="0.25">
      <c r="A20" s="25">
        <v>15</v>
      </c>
      <c r="B20" s="64" t="s">
        <v>4011</v>
      </c>
      <c r="C20" s="65">
        <f ca="1">IFERROR(MATCH(INDIRECT("B20"),'1. Locais'!B2:B17, 0) - 1," ")</f>
        <v>9</v>
      </c>
      <c r="D20" s="65">
        <f ca="1">IFERROR(IF(ISNUMBER(C20),INDEX('1. Locais'!D2:D17,C20 + 1),NA()),NA())</f>
        <v>-10.2210813</v>
      </c>
      <c r="E20" s="65">
        <f ca="1">IFERROR(IF(ISNUMBER(C20),INDEX('1. Locais'!E2:E17,C20 + 1),NA()),NA())</f>
        <v>-48.3372934</v>
      </c>
      <c r="F20" s="66">
        <f ca="1">IFERROR(IF(ISNUMBER(C20),INDEX('2. Distâncias'!C2:C257,C19*16+C20+ 1) +F19," ")," ")</f>
        <v>43.342999999999996</v>
      </c>
      <c r="G20" s="67">
        <f ca="1">IFERROR(IF(ISNUMBER(C20),'3. Veículos'!F2 * INDEX('2. Distâncias'!D2:D257,C19*16+C20 + 1) +G19," ")," ")</f>
        <v>3.0099305555555556E-2</v>
      </c>
      <c r="H20" s="68">
        <f ca="1">IFERROR(IF(ISNUMBER(C20),'3. Veículos'!F2 * INDEX('2. Distâncias'!D2:D257,C19*16+C20 + 1) +I19," ")," ")</f>
        <v>0.28009930555555546</v>
      </c>
      <c r="I20" s="68">
        <f ca="1">IFERROR(IF(AND(C5&lt;&gt;C20,ISNUMBER(H20)),INDEX('1. Locais'!I2:I17,C20 + 1) + MAX(H20,INDEX('1. Locais'!F2:F17,C20 + 1))," ")," ")</f>
        <v>0.28009930555555546</v>
      </c>
      <c r="J20" s="67">
        <f ca="1">IFERROR(IF(AND(B20 = B5, B21 = ""), H20 - I5, I20 - I5)," ")</f>
        <v>3.0099305555555456E-2</v>
      </c>
      <c r="K20" s="65">
        <f ca="1">IFERROR(IF(ISNUMBER(C20),INDEX('1. Locais'!L2:L17,C20 + 1) + K19," ")," ")</f>
        <v>0</v>
      </c>
      <c r="L20" s="66">
        <f ca="1">IFERROR(IF(ISNUMBER(C20),INDEX('1. Locais'!J2:J17,C20 + 1)," ")," ")</f>
        <v>3</v>
      </c>
      <c r="M20" s="66">
        <f ca="1">IFERROR(IF(ISNUMBER(C20),INDEX('1. Locais'!K2:K17,C20 + 1)," ")," ")</f>
        <v>0</v>
      </c>
      <c r="N20" s="66">
        <f ca="1">IFERROR(IF(ISNUMBER(C20),IF(B20 = B5, 0, L20 + N19)," ")," ")</f>
        <v>30</v>
      </c>
      <c r="O20" s="66">
        <f ca="1">IFERROR(IF(ISNUMBER(C20),IF(B21 = B5, 0, IF(B21 = "", 0, O21 + M21))," ")," ")</f>
        <v>0</v>
      </c>
      <c r="P20" s="65">
        <f ca="1">IFERROR(IF(ISNUMBER(C20),N20 + O20," ")," ")</f>
        <v>30</v>
      </c>
    </row>
    <row r="21" spans="1:16" x14ac:dyDescent="0.25">
      <c r="A21" s="23">
        <v>16</v>
      </c>
      <c r="B21" s="69" t="s">
        <v>4002</v>
      </c>
      <c r="C21" s="60">
        <f ca="1">IFERROR(MATCH(INDIRECT("B21"),'1. Locais'!B2:B17, 0) - 1," ")</f>
        <v>0</v>
      </c>
      <c r="D21" s="60">
        <f ca="1">IFERROR(IF(ISNUMBER(C21),INDEX('1. Locais'!D2:D17,C21 + 1),NA()),NA())</f>
        <v>-10.2185887</v>
      </c>
      <c r="E21" s="60">
        <f ca="1">IFERROR(IF(ISNUMBER(C21),INDEX('1. Locais'!E2:E17,C21 + 1),NA()),NA())</f>
        <v>-48.342193999999999</v>
      </c>
      <c r="F21" s="61">
        <f ca="1">IFERROR(IF(ISNUMBER(C21),INDEX('2. Distâncias'!C2:C257,C20*16+C21+ 1) +F20," ")," ")</f>
        <v>44.114999999999995</v>
      </c>
      <c r="G21" s="62">
        <f ca="1">IFERROR(IF(ISNUMBER(C21),'3. Veículos'!F2 * INDEX('2. Distâncias'!D2:D257,C20*16+C21 + 1) +G20," ")," ")</f>
        <v>3.0635416666666668E-2</v>
      </c>
      <c r="H21" s="63">
        <f ca="1">IFERROR(IF(ISNUMBER(C21),'3. Veículos'!F2 * INDEX('2. Distâncias'!D2:D257,C20*16+C21 + 1) +I20," ")," ")</f>
        <v>0.28063541666666658</v>
      </c>
      <c r="I21" s="63" t="str">
        <f ca="1">IFERROR(IF(AND(C5&lt;&gt;C21,ISNUMBER(H21)),INDEX('1. Locais'!I2:I17,C21 + 1) + MAX(H21,INDEX('1. Locais'!F2:F17,C21 + 1))," ")," ")</f>
        <v xml:space="preserve"> </v>
      </c>
      <c r="J21" s="62">
        <f ca="1">IFERROR(IF(AND(B21 = B5, B22 = ""), H21 - I5, I21 - I5)," ")</f>
        <v>3.0635416666666582E-2</v>
      </c>
      <c r="K21" s="60">
        <f ca="1">IFERROR(IF(ISNUMBER(C21),INDEX('1. Locais'!L2:L17,C21 + 1) + K20," ")," ")</f>
        <v>0</v>
      </c>
      <c r="L21" s="61">
        <f ca="1">IFERROR(IF(ISNUMBER(C21),INDEX('1. Locais'!J2:J17,C21 + 1)," ")," ")</f>
        <v>0</v>
      </c>
      <c r="M21" s="61">
        <f ca="1">IFERROR(IF(ISNUMBER(C21),INDEX('1. Locais'!K2:K17,C21 + 1)," ")," ")</f>
        <v>0</v>
      </c>
      <c r="N21" s="61">
        <f ca="1">IFERROR(IF(ISNUMBER(C21),IF(B21 = B5, 0, L21 + N20)," ")," ")</f>
        <v>0</v>
      </c>
      <c r="O21" s="61">
        <f ca="1">IFERROR(IF(ISNUMBER(C21),IF(B22 = B5, 0, IF(B22 = "", 0, O22 + M22))," ")," ")</f>
        <v>0</v>
      </c>
      <c r="P21" s="60">
        <f ca="1">IFERROR(IF(ISNUMBER(C21),N21 + O21," ")," ")</f>
        <v>0</v>
      </c>
    </row>
    <row r="23" spans="1:16" x14ac:dyDescent="0.25">
      <c r="A23" s="18" t="s">
        <v>1120</v>
      </c>
    </row>
  </sheetData>
  <conditionalFormatting sqref="F6:F21">
    <cfRule type="cellIs" dxfId="10" priority="4" stopIfTrue="1" operator="equal">
      <formula>" "</formula>
    </cfRule>
  </conditionalFormatting>
  <conditionalFormatting sqref="P6:P21">
    <cfRule type="cellIs" dxfId="8" priority="3" stopIfTrue="1" operator="equal">
      <formula>" "</formula>
    </cfRule>
  </conditionalFormatting>
  <conditionalFormatting sqref="P6:P21">
    <cfRule type="cellIs" dxfId="6" priority="57" stopIfTrue="1" operator="lessThan">
      <formula>0</formula>
    </cfRule>
  </conditionalFormatting>
  <conditionalFormatting sqref="G6:G21">
    <cfRule type="cellIs" dxfId="5" priority="2" stopIfTrue="1" operator="equal">
      <formula>" "</formula>
    </cfRule>
  </conditionalFormatting>
  <conditionalFormatting sqref="J6:J21">
    <cfRule type="cellIs" dxfId="3" priority="1" stopIfTrue="1" operator="equal">
      <formula>" "</formula>
    </cfRule>
  </conditionalFormatting>
  <conditionalFormatting sqref="I3">
    <cfRule type="expression" dxfId="1" priority="60" stopIfTrue="1">
      <formula>ISERROR(I3)</formula>
    </cfRule>
  </conditionalFormatting>
  <conditionalFormatting sqref="B1">
    <cfRule type="expression" dxfId="0" priority="61"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BA028EB4-B151-41EB-BE67-D594C5E4E44A}">
            <xm:f>(60 * HOUR(H5) + MINUTE(H5)) &gt;(60 * HOUR(INDEX('1. Locais'!G2:G17,C5 + 1)) +MINUTE(INDEX('1. Locais'!G2:G17,C5 + 1)))</xm:f>
            <x14:dxf>
              <fill>
                <patternFill>
                  <bgColor indexed="10"/>
                </patternFill>
              </fill>
            </x14:dxf>
          </x14:cfRule>
          <xm:sqref>H5</xm:sqref>
        </x14:conditionalFormatting>
        <x14:conditionalFormatting xmlns:xm="http://schemas.microsoft.com/office/excel/2006/main">
          <x14:cfRule type="expression" priority="6" stopIfTrue="1" id="{28B5A650-92CA-4AC3-B861-8438FF758B9E}">
            <xm:f>(60 * HOUR(I5) + MINUTE(I5)) &gt;(60 * HOUR(INDEX('1. Locais'!G2:G17,C5 + 1)) +MINUTE(INDEX('1. Locais'!G2:G17,C5 + 1)))</xm:f>
            <x14:dxf>
              <fill>
                <patternFill>
                  <bgColor indexed="10"/>
                </patternFill>
              </fill>
            </x14:dxf>
          </x14:cfRule>
          <xm:sqref>I5</xm:sqref>
        </x14:conditionalFormatting>
        <x14:conditionalFormatting xmlns:xm="http://schemas.microsoft.com/office/excel/2006/main">
          <x14:cfRule type="cellIs" priority="7" stopIfTrue="1" operator="lessThan" id="{5037337D-AC67-443B-8D6E-60DCAE3581F6}">
            <xm:f>INDEX('1. Locais'!F2:F17,C6 + 1)</xm:f>
            <x14:dxf>
              <fill>
                <patternFill>
                  <bgColor indexed="52"/>
                </patternFill>
              </fill>
            </x14:dxf>
          </x14:cfRule>
          <x14:cfRule type="expression" priority="8" stopIfTrue="1" id="{4392EFF3-A258-4B40-9DEC-5904632E48B6}">
            <xm:f>(60 * HOUR(H6) + MINUTE(H6)) &gt;(60 * HOUR(INDEX('1. Locais'!G2:G17,C6 + 1)) +MINUTE(INDEX('1. Locais'!G2:G17,C6 + 1)))</xm:f>
            <x14:dxf>
              <fill>
                <patternFill>
                  <bgColor indexed="10"/>
                </patternFill>
              </fill>
            </x14:dxf>
          </x14:cfRule>
          <xm:sqref>H6</xm:sqref>
        </x14:conditionalFormatting>
        <x14:conditionalFormatting xmlns:xm="http://schemas.microsoft.com/office/excel/2006/main">
          <x14:cfRule type="expression" priority="9" stopIfTrue="1" id="{F4897B7C-9789-48FA-B98C-437CB90F1073}">
            <xm:f>(60 * HOUR(I6) + MINUTE(I6)) &gt;(60 * HOUR(INDEX('1. Locais'!G2:G17,C6 + 1)) +MINUTE(INDEX('1. Locais'!G2:G17,C6 + 1)))</xm:f>
            <x14:dxf>
              <fill>
                <patternFill>
                  <bgColor indexed="10"/>
                </patternFill>
              </fill>
            </x14:dxf>
          </x14:cfRule>
          <xm:sqref>I6</xm:sqref>
        </x14:conditionalFormatting>
        <x14:conditionalFormatting xmlns:xm="http://schemas.microsoft.com/office/excel/2006/main">
          <x14:cfRule type="cellIs" priority="10" stopIfTrue="1" operator="lessThan" id="{8BE99638-3248-4B7C-86E6-DE4D3828E2D0}">
            <xm:f>INDEX('1. Locais'!F2:F17,C7 + 1)</xm:f>
            <x14:dxf>
              <fill>
                <patternFill>
                  <bgColor indexed="52"/>
                </patternFill>
              </fill>
            </x14:dxf>
          </x14:cfRule>
          <x14:cfRule type="expression" priority="11" stopIfTrue="1" id="{48D112A1-01AD-4808-9EDA-5F8FD90DC1E1}">
            <xm:f>(60 * HOUR(H7) + MINUTE(H7)) &gt;(60 * HOUR(INDEX('1. Locais'!G2:G17,C7 + 1)) +MINUTE(INDEX('1. Locais'!G2:G17,C7 + 1)))</xm:f>
            <x14:dxf>
              <fill>
                <patternFill>
                  <bgColor indexed="10"/>
                </patternFill>
              </fill>
            </x14:dxf>
          </x14:cfRule>
          <xm:sqref>H7</xm:sqref>
        </x14:conditionalFormatting>
        <x14:conditionalFormatting xmlns:xm="http://schemas.microsoft.com/office/excel/2006/main">
          <x14:cfRule type="expression" priority="12" stopIfTrue="1" id="{D8622E01-2E11-4292-BB41-1AF56E9B3727}">
            <xm:f>(60 * HOUR(I7) + MINUTE(I7)) &gt;(60 * HOUR(INDEX('1. Locais'!G2:G17,C7 + 1)) +MINUTE(INDEX('1. Locais'!G2:G17,C7 + 1)))</xm:f>
            <x14:dxf>
              <fill>
                <patternFill>
                  <bgColor indexed="10"/>
                </patternFill>
              </fill>
            </x14:dxf>
          </x14:cfRule>
          <xm:sqref>I7</xm:sqref>
        </x14:conditionalFormatting>
        <x14:conditionalFormatting xmlns:xm="http://schemas.microsoft.com/office/excel/2006/main">
          <x14:cfRule type="cellIs" priority="13" stopIfTrue="1" operator="lessThan" id="{CD77B75E-F463-4A9D-AD10-8D9D2FF41812}">
            <xm:f>INDEX('1. Locais'!F2:F17,C8 + 1)</xm:f>
            <x14:dxf>
              <fill>
                <patternFill>
                  <bgColor indexed="52"/>
                </patternFill>
              </fill>
            </x14:dxf>
          </x14:cfRule>
          <x14:cfRule type="expression" priority="14" stopIfTrue="1" id="{0F58A852-BBCE-4456-A571-90DA1FCC7E76}">
            <xm:f>(60 * HOUR(H8) + MINUTE(H8)) &gt;(60 * HOUR(INDEX('1. Locais'!G2:G17,C8 + 1)) +MINUTE(INDEX('1. Locais'!G2:G17,C8 + 1)))</xm:f>
            <x14:dxf>
              <fill>
                <patternFill>
                  <bgColor indexed="10"/>
                </patternFill>
              </fill>
            </x14:dxf>
          </x14:cfRule>
          <xm:sqref>H8</xm:sqref>
        </x14:conditionalFormatting>
        <x14:conditionalFormatting xmlns:xm="http://schemas.microsoft.com/office/excel/2006/main">
          <x14:cfRule type="expression" priority="15" stopIfTrue="1" id="{3ED9A91D-4ADD-414C-A634-88B404ED94C9}">
            <xm:f>(60 * HOUR(I8) + MINUTE(I8)) &gt;(60 * HOUR(INDEX('1. Locais'!G2:G17,C8 + 1)) +MINUTE(INDEX('1. Locais'!G2:G17,C8 + 1)))</xm:f>
            <x14:dxf>
              <fill>
                <patternFill>
                  <bgColor indexed="10"/>
                </patternFill>
              </fill>
            </x14:dxf>
          </x14:cfRule>
          <xm:sqref>I8</xm:sqref>
        </x14:conditionalFormatting>
        <x14:conditionalFormatting xmlns:xm="http://schemas.microsoft.com/office/excel/2006/main">
          <x14:cfRule type="cellIs" priority="16" stopIfTrue="1" operator="lessThan" id="{19728A5B-8C86-4BD5-A6D4-6AD55EC18CCD}">
            <xm:f>INDEX('1. Locais'!F2:F17,C9 + 1)</xm:f>
            <x14:dxf>
              <fill>
                <patternFill>
                  <bgColor indexed="52"/>
                </patternFill>
              </fill>
            </x14:dxf>
          </x14:cfRule>
          <x14:cfRule type="expression" priority="17" stopIfTrue="1" id="{4E2B1C69-C73E-441A-80A1-2251180DEFE7}">
            <xm:f>(60 * HOUR(H9) + MINUTE(H9)) &gt;(60 * HOUR(INDEX('1. Locais'!G2:G17,C9 + 1)) +MINUTE(INDEX('1. Locais'!G2:G17,C9 + 1)))</xm:f>
            <x14:dxf>
              <fill>
                <patternFill>
                  <bgColor indexed="10"/>
                </patternFill>
              </fill>
            </x14:dxf>
          </x14:cfRule>
          <xm:sqref>H9</xm:sqref>
        </x14:conditionalFormatting>
        <x14:conditionalFormatting xmlns:xm="http://schemas.microsoft.com/office/excel/2006/main">
          <x14:cfRule type="expression" priority="18" stopIfTrue="1" id="{3AC76317-B644-4289-9D2B-66E3260A8C2D}">
            <xm:f>(60 * HOUR(I9) + MINUTE(I9)) &gt;(60 * HOUR(INDEX('1. Locais'!G2:G17,C9 + 1)) +MINUTE(INDEX('1. Locais'!G2:G17,C9 + 1)))</xm:f>
            <x14:dxf>
              <fill>
                <patternFill>
                  <bgColor indexed="10"/>
                </patternFill>
              </fill>
            </x14:dxf>
          </x14:cfRule>
          <xm:sqref>I9</xm:sqref>
        </x14:conditionalFormatting>
        <x14:conditionalFormatting xmlns:xm="http://schemas.microsoft.com/office/excel/2006/main">
          <x14:cfRule type="cellIs" priority="19" stopIfTrue="1" operator="lessThan" id="{50914793-D67E-4E25-AF40-BEA4ADF2A793}">
            <xm:f>INDEX('1. Locais'!F2:F17,C10 + 1)</xm:f>
            <x14:dxf>
              <fill>
                <patternFill>
                  <bgColor indexed="52"/>
                </patternFill>
              </fill>
            </x14:dxf>
          </x14:cfRule>
          <x14:cfRule type="expression" priority="20" stopIfTrue="1" id="{FFDD6675-DADC-489A-9C8D-FDC184AF268B}">
            <xm:f>(60 * HOUR(H10) + MINUTE(H10)) &gt;(60 * HOUR(INDEX('1. Locais'!G2:G17,C10 + 1)) +MINUTE(INDEX('1. Locais'!G2:G17,C10 + 1)))</xm:f>
            <x14:dxf>
              <fill>
                <patternFill>
                  <bgColor indexed="10"/>
                </patternFill>
              </fill>
            </x14:dxf>
          </x14:cfRule>
          <xm:sqref>H10</xm:sqref>
        </x14:conditionalFormatting>
        <x14:conditionalFormatting xmlns:xm="http://schemas.microsoft.com/office/excel/2006/main">
          <x14:cfRule type="expression" priority="21" stopIfTrue="1" id="{CEA8AF73-B966-4CCD-97C0-CECFE31482D0}">
            <xm:f>(60 * HOUR(I10) + MINUTE(I10)) &gt;(60 * HOUR(INDEX('1. Locais'!G2:G17,C10 + 1)) +MINUTE(INDEX('1. Locais'!G2:G17,C10 + 1)))</xm:f>
            <x14:dxf>
              <fill>
                <patternFill>
                  <bgColor indexed="10"/>
                </patternFill>
              </fill>
            </x14:dxf>
          </x14:cfRule>
          <xm:sqref>I10</xm:sqref>
        </x14:conditionalFormatting>
        <x14:conditionalFormatting xmlns:xm="http://schemas.microsoft.com/office/excel/2006/main">
          <x14:cfRule type="cellIs" priority="22" stopIfTrue="1" operator="lessThan" id="{2BC8B0E7-FFE0-4BFA-93FD-47DBA36D6517}">
            <xm:f>INDEX('1. Locais'!F2:F17,C11 + 1)</xm:f>
            <x14:dxf>
              <fill>
                <patternFill>
                  <bgColor indexed="52"/>
                </patternFill>
              </fill>
            </x14:dxf>
          </x14:cfRule>
          <x14:cfRule type="expression" priority="23" stopIfTrue="1" id="{B8EA55CE-4EE1-45F5-9DF6-5AFE2814092C}">
            <xm:f>(60 * HOUR(H11) + MINUTE(H11)) &gt;(60 * HOUR(INDEX('1. Locais'!G2:G17,C11 + 1)) +MINUTE(INDEX('1. Locais'!G2:G17,C11 + 1)))</xm:f>
            <x14:dxf>
              <fill>
                <patternFill>
                  <bgColor indexed="10"/>
                </patternFill>
              </fill>
            </x14:dxf>
          </x14:cfRule>
          <xm:sqref>H11</xm:sqref>
        </x14:conditionalFormatting>
        <x14:conditionalFormatting xmlns:xm="http://schemas.microsoft.com/office/excel/2006/main">
          <x14:cfRule type="expression" priority="24" stopIfTrue="1" id="{D18657D2-C7FA-4D43-B96F-61E7F8403B74}">
            <xm:f>(60 * HOUR(I11) + MINUTE(I11)) &gt;(60 * HOUR(INDEX('1. Locais'!G2:G17,C11 + 1)) +MINUTE(INDEX('1. Locais'!G2:G17,C11 + 1)))</xm:f>
            <x14:dxf>
              <fill>
                <patternFill>
                  <bgColor indexed="10"/>
                </patternFill>
              </fill>
            </x14:dxf>
          </x14:cfRule>
          <xm:sqref>I11</xm:sqref>
        </x14:conditionalFormatting>
        <x14:conditionalFormatting xmlns:xm="http://schemas.microsoft.com/office/excel/2006/main">
          <x14:cfRule type="cellIs" priority="25" stopIfTrue="1" operator="lessThan" id="{F55255E2-5750-407F-9FE6-DB3A577A2580}">
            <xm:f>INDEX('1. Locais'!F2:F17,C12 + 1)</xm:f>
            <x14:dxf>
              <fill>
                <patternFill>
                  <bgColor indexed="52"/>
                </patternFill>
              </fill>
            </x14:dxf>
          </x14:cfRule>
          <x14:cfRule type="expression" priority="26" stopIfTrue="1" id="{1F7D27FE-9BDD-4EF6-A9BA-D7B9977ED965}">
            <xm:f>(60 * HOUR(H12) + MINUTE(H12)) &gt;(60 * HOUR(INDEX('1. Locais'!G2:G17,C12 + 1)) +MINUTE(INDEX('1. Locais'!G2:G17,C12 + 1)))</xm:f>
            <x14:dxf>
              <fill>
                <patternFill>
                  <bgColor indexed="10"/>
                </patternFill>
              </fill>
            </x14:dxf>
          </x14:cfRule>
          <xm:sqref>H12</xm:sqref>
        </x14:conditionalFormatting>
        <x14:conditionalFormatting xmlns:xm="http://schemas.microsoft.com/office/excel/2006/main">
          <x14:cfRule type="expression" priority="27" stopIfTrue="1" id="{1601CF8F-FD9F-4256-BBB9-CAD1386419A0}">
            <xm:f>(60 * HOUR(I12) + MINUTE(I12)) &gt;(60 * HOUR(INDEX('1. Locais'!G2:G17,C12 + 1)) +MINUTE(INDEX('1. Locais'!G2:G17,C12 + 1)))</xm:f>
            <x14:dxf>
              <fill>
                <patternFill>
                  <bgColor indexed="10"/>
                </patternFill>
              </fill>
            </x14:dxf>
          </x14:cfRule>
          <xm:sqref>I12</xm:sqref>
        </x14:conditionalFormatting>
        <x14:conditionalFormatting xmlns:xm="http://schemas.microsoft.com/office/excel/2006/main">
          <x14:cfRule type="cellIs" priority="28" stopIfTrue="1" operator="lessThan" id="{A1FB60DD-9EEC-4F55-8664-0DA3FFA20222}">
            <xm:f>INDEX('1. Locais'!F2:F17,C13 + 1)</xm:f>
            <x14:dxf>
              <fill>
                <patternFill>
                  <bgColor indexed="52"/>
                </patternFill>
              </fill>
            </x14:dxf>
          </x14:cfRule>
          <x14:cfRule type="expression" priority="29" stopIfTrue="1" id="{6866287F-CB32-4B21-A7BB-ED730B1F9E05}">
            <xm:f>(60 * HOUR(H13) + MINUTE(H13)) &gt;(60 * HOUR(INDEX('1. Locais'!G2:G17,C13 + 1)) +MINUTE(INDEX('1. Locais'!G2:G17,C13 + 1)))</xm:f>
            <x14:dxf>
              <fill>
                <patternFill>
                  <bgColor indexed="10"/>
                </patternFill>
              </fill>
            </x14:dxf>
          </x14:cfRule>
          <xm:sqref>H13</xm:sqref>
        </x14:conditionalFormatting>
        <x14:conditionalFormatting xmlns:xm="http://schemas.microsoft.com/office/excel/2006/main">
          <x14:cfRule type="expression" priority="30" stopIfTrue="1" id="{4383A952-5E26-4A5A-AE91-374D476239A8}">
            <xm:f>(60 * HOUR(I13) + MINUTE(I13)) &gt;(60 * HOUR(INDEX('1. Locais'!G2:G17,C13 + 1)) +MINUTE(INDEX('1. Locais'!G2:G17,C13 + 1)))</xm:f>
            <x14:dxf>
              <fill>
                <patternFill>
                  <bgColor indexed="10"/>
                </patternFill>
              </fill>
            </x14:dxf>
          </x14:cfRule>
          <xm:sqref>I13</xm:sqref>
        </x14:conditionalFormatting>
        <x14:conditionalFormatting xmlns:xm="http://schemas.microsoft.com/office/excel/2006/main">
          <x14:cfRule type="cellIs" priority="31" stopIfTrue="1" operator="lessThan" id="{FA2FC8FD-03C7-486D-8AC8-DD291B72F3D3}">
            <xm:f>INDEX('1. Locais'!F2:F17,C14 + 1)</xm:f>
            <x14:dxf>
              <fill>
                <patternFill>
                  <bgColor indexed="52"/>
                </patternFill>
              </fill>
            </x14:dxf>
          </x14:cfRule>
          <x14:cfRule type="expression" priority="32" stopIfTrue="1" id="{4AD35ACA-E54A-46A9-A7D0-DF5F66FCE2F0}">
            <xm:f>(60 * HOUR(H14) + MINUTE(H14)) &gt;(60 * HOUR(INDEX('1. Locais'!G2:G17,C14 + 1)) +MINUTE(INDEX('1. Locais'!G2:G17,C14 + 1)))</xm:f>
            <x14:dxf>
              <fill>
                <patternFill>
                  <bgColor indexed="10"/>
                </patternFill>
              </fill>
            </x14:dxf>
          </x14:cfRule>
          <xm:sqref>H14</xm:sqref>
        </x14:conditionalFormatting>
        <x14:conditionalFormatting xmlns:xm="http://schemas.microsoft.com/office/excel/2006/main">
          <x14:cfRule type="expression" priority="33" stopIfTrue="1" id="{F6F64357-0353-41CD-9989-DCDBC80BE1AC}">
            <xm:f>(60 * HOUR(I14) + MINUTE(I14)) &gt;(60 * HOUR(INDEX('1. Locais'!G2:G17,C14 + 1)) +MINUTE(INDEX('1. Locais'!G2:G17,C14 + 1)))</xm:f>
            <x14:dxf>
              <fill>
                <patternFill>
                  <bgColor indexed="10"/>
                </patternFill>
              </fill>
            </x14:dxf>
          </x14:cfRule>
          <xm:sqref>I14</xm:sqref>
        </x14:conditionalFormatting>
        <x14:conditionalFormatting xmlns:xm="http://schemas.microsoft.com/office/excel/2006/main">
          <x14:cfRule type="cellIs" priority="34" stopIfTrue="1" operator="lessThan" id="{28A65809-6D9D-4D46-B210-4274DBC2EDD5}">
            <xm:f>INDEX('1. Locais'!F2:F17,C15 + 1)</xm:f>
            <x14:dxf>
              <fill>
                <patternFill>
                  <bgColor indexed="52"/>
                </patternFill>
              </fill>
            </x14:dxf>
          </x14:cfRule>
          <xm:sqref>H15</xm:sqref>
        </x14:conditionalFormatting>
        <x14:conditionalFormatting xmlns:xm="http://schemas.microsoft.com/office/excel/2006/main">
          <x14:cfRule type="expression" priority="35" stopIfTrue="1" id="{F2100751-3D79-4E79-B75D-EE7783B511E3}">
            <xm:f>(60 * HOUR(H15) + MINUTE(H15)) &gt;(60 * HOUR(INDEX('1. Locais'!G2:G17,C15 + 1)) +MINUTE(INDEX('1. Locais'!G2:G17,C15 + 1)))</xm:f>
            <x14:dxf>
              <fill>
                <patternFill>
                  <bgColor indexed="10"/>
                </patternFill>
              </fill>
            </x14:dxf>
          </x14:cfRule>
          <xm:sqref>H15</xm:sqref>
        </x14:conditionalFormatting>
        <x14:conditionalFormatting xmlns:xm="http://schemas.microsoft.com/office/excel/2006/main">
          <x14:cfRule type="expression" priority="36" stopIfTrue="1" id="{FEFF452A-3994-44A4-B324-5609DD27AD8E}">
            <xm:f>(60 * HOUR(I15) + MINUTE(I15)) &gt;(60 * HOUR(INDEX('1. Locais'!G2:G17,C15 + 1)) +MINUTE(INDEX('1. Locais'!G2:G17,C15 + 1)))</xm:f>
            <x14:dxf>
              <fill>
                <patternFill>
                  <bgColor indexed="10"/>
                </patternFill>
              </fill>
            </x14:dxf>
          </x14:cfRule>
          <xm:sqref>I15</xm:sqref>
        </x14:conditionalFormatting>
        <x14:conditionalFormatting xmlns:xm="http://schemas.microsoft.com/office/excel/2006/main">
          <x14:cfRule type="cellIs" priority="37" stopIfTrue="1" operator="lessThan" id="{1B06A5D4-5321-468C-8A2D-60E984AAEF57}">
            <xm:f>INDEX('1. Locais'!F2:F17,C16 + 1)</xm:f>
            <x14:dxf>
              <fill>
                <patternFill>
                  <bgColor indexed="52"/>
                </patternFill>
              </fill>
            </x14:dxf>
          </x14:cfRule>
          <xm:sqref>H16</xm:sqref>
        </x14:conditionalFormatting>
        <x14:conditionalFormatting xmlns:xm="http://schemas.microsoft.com/office/excel/2006/main">
          <x14:cfRule type="expression" priority="38" stopIfTrue="1" id="{24978169-7387-48EE-8E59-F07C15D44053}">
            <xm:f>(60 * HOUR(H16) + MINUTE(H16)) &gt;(60 * HOUR(INDEX('1. Locais'!G2:G17,C16 + 1)) +MINUTE(INDEX('1. Locais'!G2:G17,C16 + 1)))</xm:f>
            <x14:dxf>
              <fill>
                <patternFill>
                  <bgColor indexed="10"/>
                </patternFill>
              </fill>
            </x14:dxf>
          </x14:cfRule>
          <xm:sqref>H16</xm:sqref>
        </x14:conditionalFormatting>
        <x14:conditionalFormatting xmlns:xm="http://schemas.microsoft.com/office/excel/2006/main">
          <x14:cfRule type="expression" priority="39" stopIfTrue="1" id="{2CE1F88A-D898-4629-AD9C-0CFB501CA8D9}">
            <xm:f>(60 * HOUR(I16) + MINUTE(I16)) &gt;(60 * HOUR(INDEX('1. Locais'!G2:G17,C16 + 1)) +MINUTE(INDEX('1. Locais'!G2:G17,C16 + 1)))</xm:f>
            <x14:dxf>
              <fill>
                <patternFill>
                  <bgColor indexed="10"/>
                </patternFill>
              </fill>
            </x14:dxf>
          </x14:cfRule>
          <xm:sqref>I16</xm:sqref>
        </x14:conditionalFormatting>
        <x14:conditionalFormatting xmlns:xm="http://schemas.microsoft.com/office/excel/2006/main">
          <x14:cfRule type="cellIs" priority="40" stopIfTrue="1" operator="lessThan" id="{5D207155-5CC2-49EE-8006-3E4F94CF9C57}">
            <xm:f>INDEX('1. Locais'!F2:F17,C17 + 1)</xm:f>
            <x14:dxf>
              <fill>
                <patternFill>
                  <bgColor indexed="52"/>
                </patternFill>
              </fill>
            </x14:dxf>
          </x14:cfRule>
          <xm:sqref>H17</xm:sqref>
        </x14:conditionalFormatting>
        <x14:conditionalFormatting xmlns:xm="http://schemas.microsoft.com/office/excel/2006/main">
          <x14:cfRule type="expression" priority="41" stopIfTrue="1" id="{71491180-D8E6-4529-8DCF-D6999C4CAF3A}">
            <xm:f>(60 * HOUR(H17) + MINUTE(H17)) &gt;(60 * HOUR(INDEX('1. Locais'!G2:G17,C17 + 1)) +MINUTE(INDEX('1. Locais'!G2:G17,C17 + 1)))</xm:f>
            <x14:dxf>
              <fill>
                <patternFill>
                  <bgColor indexed="10"/>
                </patternFill>
              </fill>
            </x14:dxf>
          </x14:cfRule>
          <xm:sqref>H17</xm:sqref>
        </x14:conditionalFormatting>
        <x14:conditionalFormatting xmlns:xm="http://schemas.microsoft.com/office/excel/2006/main">
          <x14:cfRule type="expression" priority="42" stopIfTrue="1" id="{E7F37C34-DD6E-4C44-92F8-591F52776D02}">
            <xm:f>(60 * HOUR(I17) + MINUTE(I17)) &gt;(60 * HOUR(INDEX('1. Locais'!G2:G17,C17 + 1)) +MINUTE(INDEX('1. Locais'!G2:G17,C17 + 1)))</xm:f>
            <x14:dxf>
              <fill>
                <patternFill>
                  <bgColor indexed="10"/>
                </patternFill>
              </fill>
            </x14:dxf>
          </x14:cfRule>
          <xm:sqref>I17</xm:sqref>
        </x14:conditionalFormatting>
        <x14:conditionalFormatting xmlns:xm="http://schemas.microsoft.com/office/excel/2006/main">
          <x14:cfRule type="cellIs" priority="43" stopIfTrue="1" operator="lessThan" id="{6BE0FF88-FF19-4F92-BDFE-919E346ABF43}">
            <xm:f>INDEX('1. Locais'!F2:F17,C18 + 1)</xm:f>
            <x14:dxf>
              <fill>
                <patternFill>
                  <bgColor indexed="52"/>
                </patternFill>
              </fill>
            </x14:dxf>
          </x14:cfRule>
          <xm:sqref>H18</xm:sqref>
        </x14:conditionalFormatting>
        <x14:conditionalFormatting xmlns:xm="http://schemas.microsoft.com/office/excel/2006/main">
          <x14:cfRule type="expression" priority="44" stopIfTrue="1" id="{8DF8D6FB-2015-40C6-931F-08D2ACF3947A}">
            <xm:f>(60 * HOUR(H18) + MINUTE(H18)) &gt;(60 * HOUR(INDEX('1. Locais'!G2:G17,C18 + 1)) +MINUTE(INDEX('1. Locais'!G2:G17,C18 + 1)))</xm:f>
            <x14:dxf>
              <fill>
                <patternFill>
                  <bgColor indexed="10"/>
                </patternFill>
              </fill>
            </x14:dxf>
          </x14:cfRule>
          <xm:sqref>H18</xm:sqref>
        </x14:conditionalFormatting>
        <x14:conditionalFormatting xmlns:xm="http://schemas.microsoft.com/office/excel/2006/main">
          <x14:cfRule type="expression" priority="45" stopIfTrue="1" id="{BC721B89-176A-4B25-85A0-D6A4A3ABB4CC}">
            <xm:f>(60 * HOUR(I18) + MINUTE(I18)) &gt;(60 * HOUR(INDEX('1. Locais'!G2:G17,C18 + 1)) +MINUTE(INDEX('1. Locais'!G2:G17,C18 + 1)))</xm:f>
            <x14:dxf>
              <fill>
                <patternFill>
                  <bgColor indexed="10"/>
                </patternFill>
              </fill>
            </x14:dxf>
          </x14:cfRule>
          <xm:sqref>I18</xm:sqref>
        </x14:conditionalFormatting>
        <x14:conditionalFormatting xmlns:xm="http://schemas.microsoft.com/office/excel/2006/main">
          <x14:cfRule type="cellIs" priority="46" stopIfTrue="1" operator="lessThan" id="{9F13E914-3C6C-47C9-98A4-035C46CBB0A5}">
            <xm:f>INDEX('1. Locais'!F2:F17,C19 + 1)</xm:f>
            <x14:dxf>
              <fill>
                <patternFill>
                  <bgColor indexed="52"/>
                </patternFill>
              </fill>
            </x14:dxf>
          </x14:cfRule>
          <xm:sqref>H19</xm:sqref>
        </x14:conditionalFormatting>
        <x14:conditionalFormatting xmlns:xm="http://schemas.microsoft.com/office/excel/2006/main">
          <x14:cfRule type="expression" priority="47" stopIfTrue="1" id="{9A263CBD-EF12-4926-B486-3C49843A8BCB}">
            <xm:f>(60 * HOUR(H19) + MINUTE(H19)) &gt;(60 * HOUR(INDEX('1. Locais'!G2:G17,C19 + 1)) +MINUTE(INDEX('1. Locais'!G2:G17,C19 + 1)))</xm:f>
            <x14:dxf>
              <fill>
                <patternFill>
                  <bgColor indexed="10"/>
                </patternFill>
              </fill>
            </x14:dxf>
          </x14:cfRule>
          <xm:sqref>H19</xm:sqref>
        </x14:conditionalFormatting>
        <x14:conditionalFormatting xmlns:xm="http://schemas.microsoft.com/office/excel/2006/main">
          <x14:cfRule type="expression" priority="48" stopIfTrue="1" id="{3CA9CEF4-5E34-4180-AADE-525CE7EE68B9}">
            <xm:f>(60 * HOUR(I19) + MINUTE(I19)) &gt;(60 * HOUR(INDEX('1. Locais'!G2:G17,C19 + 1)) +MINUTE(INDEX('1. Locais'!G2:G17,C19 + 1)))</xm:f>
            <x14:dxf>
              <fill>
                <patternFill>
                  <bgColor indexed="10"/>
                </patternFill>
              </fill>
            </x14:dxf>
          </x14:cfRule>
          <xm:sqref>I19</xm:sqref>
        </x14:conditionalFormatting>
        <x14:conditionalFormatting xmlns:xm="http://schemas.microsoft.com/office/excel/2006/main">
          <x14:cfRule type="cellIs" priority="49" stopIfTrue="1" operator="lessThan" id="{C342FD23-284D-46B4-8126-502B0CA2BAAA}">
            <xm:f>INDEX('1. Locais'!F2:F17,C20 + 1)</xm:f>
            <x14:dxf>
              <fill>
                <patternFill>
                  <bgColor indexed="52"/>
                </patternFill>
              </fill>
            </x14:dxf>
          </x14:cfRule>
          <xm:sqref>H20</xm:sqref>
        </x14:conditionalFormatting>
        <x14:conditionalFormatting xmlns:xm="http://schemas.microsoft.com/office/excel/2006/main">
          <x14:cfRule type="expression" priority="50" stopIfTrue="1" id="{632D5A32-CCF3-420B-9918-D89A0A8B6CE0}">
            <xm:f>(60 * HOUR(H20) + MINUTE(H20)) &gt;(60 * HOUR(INDEX('1. Locais'!G2:G17,C20 + 1)) +MINUTE(INDEX('1. Locais'!G2:G17,C20 + 1)))</xm:f>
            <x14:dxf>
              <fill>
                <patternFill>
                  <bgColor indexed="10"/>
                </patternFill>
              </fill>
            </x14:dxf>
          </x14:cfRule>
          <xm:sqref>H20</xm:sqref>
        </x14:conditionalFormatting>
        <x14:conditionalFormatting xmlns:xm="http://schemas.microsoft.com/office/excel/2006/main">
          <x14:cfRule type="expression" priority="51" stopIfTrue="1" id="{D433937D-7791-4515-95DF-EF7CDE46EF84}">
            <xm:f>(60 * HOUR(I20) + MINUTE(I20)) &gt;(60 * HOUR(INDEX('1. Locais'!G2:G17,C20 + 1)) +MINUTE(INDEX('1. Locais'!G2:G17,C20 + 1)))</xm:f>
            <x14:dxf>
              <fill>
                <patternFill>
                  <bgColor indexed="10"/>
                </patternFill>
              </fill>
            </x14:dxf>
          </x14:cfRule>
          <xm:sqref>I20</xm:sqref>
        </x14:conditionalFormatting>
        <x14:conditionalFormatting xmlns:xm="http://schemas.microsoft.com/office/excel/2006/main">
          <x14:cfRule type="cellIs" priority="52" stopIfTrue="1" operator="lessThan" id="{CE3B0C44-EC5B-4823-995C-03D4846FC9B2}">
            <xm:f>INDEX('1. Locais'!F2:F17,C21 + 1)</xm:f>
            <x14:dxf>
              <fill>
                <patternFill>
                  <bgColor indexed="52"/>
                </patternFill>
              </fill>
            </x14:dxf>
          </x14:cfRule>
          <xm:sqref>H21</xm:sqref>
        </x14:conditionalFormatting>
        <x14:conditionalFormatting xmlns:xm="http://schemas.microsoft.com/office/excel/2006/main">
          <x14:cfRule type="expression" priority="53" stopIfTrue="1" id="{CCCE6809-7DAB-47D1-A855-6781E2B22C9B}">
            <xm:f>(60 * HOUR(H21) + MINUTE(H21)) &gt;(60 * HOUR(INDEX('1. Locais'!G2:G17,C21 + 1)) +MINUTE(INDEX('1. Locais'!G2:G17,C21 + 1)))</xm:f>
            <x14:dxf>
              <fill>
                <patternFill>
                  <bgColor indexed="10"/>
                </patternFill>
              </fill>
            </x14:dxf>
          </x14:cfRule>
          <xm:sqref>H21</xm:sqref>
        </x14:conditionalFormatting>
        <x14:conditionalFormatting xmlns:xm="http://schemas.microsoft.com/office/excel/2006/main">
          <x14:cfRule type="expression" priority="54" stopIfTrue="1" id="{E0F208CD-72AA-4CF8-BAAE-EC1D371C8538}">
            <xm:f>(60 * HOUR(I21) + MINUTE(I21)) &gt;(60 * HOUR(INDEX('1. Locais'!G2:G17,C21 + 1)) +MINUTE(INDEX('1. Locais'!G2:G17,C21 + 1)))</xm:f>
            <x14:dxf>
              <fill>
                <patternFill>
                  <bgColor indexed="10"/>
                </patternFill>
              </fill>
            </x14:dxf>
          </x14:cfRule>
          <xm:sqref>I21</xm:sqref>
        </x14:conditionalFormatting>
        <x14:conditionalFormatting xmlns:xm="http://schemas.microsoft.com/office/excel/2006/main">
          <x14:cfRule type="cellIs" priority="55" stopIfTrue="1" operator="greaterThan" id="{9C07B8B7-A68C-450C-A991-206AE0A04E42}">
            <xm:f>'3. Veículos'!$G$2</xm:f>
            <x14:dxf>
              <fill>
                <patternFill>
                  <bgColor indexed="10"/>
                </patternFill>
              </fill>
            </x14:dxf>
          </x14:cfRule>
          <xm:sqref>F6:F21</xm:sqref>
        </x14:conditionalFormatting>
        <x14:conditionalFormatting xmlns:xm="http://schemas.microsoft.com/office/excel/2006/main">
          <x14:cfRule type="cellIs" priority="56" stopIfTrue="1" operator="greaterThan" id="{8625E04F-996C-450F-A479-E6233F701245}">
            <xm:f>'3. Veículos'!$C$2</xm:f>
            <x14:dxf>
              <fill>
                <patternFill>
                  <bgColor indexed="10"/>
                </patternFill>
              </fill>
            </x14:dxf>
          </x14:cfRule>
          <xm:sqref>P6:P21</xm:sqref>
        </x14:conditionalFormatting>
        <x14:conditionalFormatting xmlns:xm="http://schemas.microsoft.com/office/excel/2006/main">
          <x14:cfRule type="cellIs" priority="58" stopIfTrue="1" operator="greaterThan" id="{F58BCBCC-292E-466C-A9D4-E66AF0664B4D}">
            <xm:f>'3. Veículos'!$I$2</xm:f>
            <x14:dxf>
              <fill>
                <patternFill>
                  <bgColor indexed="10"/>
                </patternFill>
              </fill>
            </x14:dxf>
          </x14:cfRule>
          <xm:sqref>G6:G21</xm:sqref>
        </x14:conditionalFormatting>
        <x14:conditionalFormatting xmlns:xm="http://schemas.microsoft.com/office/excel/2006/main">
          <x14:cfRule type="cellIs" priority="59" stopIfTrue="1" operator="greaterThan" id="{C554BB8B-3C57-4EBC-9CC9-4A7C9135DB50}">
            <xm:f>'3. Veículos'!$J$2</xm:f>
            <x14:dxf>
              <fill>
                <patternFill>
                  <bgColor indexed="10"/>
                </patternFill>
              </fill>
            </x14:dxf>
          </x14:cfRule>
          <xm:sqref>J6:J21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95548FE-F039-40F2-872B-0DC391B79C88}">
          <x14:formula1>
            <xm:f>'1. Locais'!$B$2:$B$18</xm:f>
          </x14:formula1>
          <xm:sqref>B6:B21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687DB-43C7-4686-9D7E-83B854558D79}">
  <dimension ref="A1"/>
  <sheetViews>
    <sheetView zoomScale="94" zoomScaleNormal="94" workbookViewId="0"/>
  </sheetViews>
  <sheetFormatPr defaultRowHeight="15" x14ac:dyDescent="0.25"/>
  <sheetData/>
  <pageMargins left="0.511811024" right="0.511811024" top="0.78740157499999996" bottom="0.78740157499999996" header="0.31496062000000002" footer="0.31496062000000002"/>
  <drawing r:id="rId1"/>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8</vt:i4>
      </vt:variant>
    </vt:vector>
  </HeadingPairs>
  <TitlesOfParts>
    <vt:vector size="8" baseType="lpstr">
      <vt:lpstr>VRP Solver Console</vt:lpstr>
      <vt:lpstr>MultiLanguageMenuItems</vt:lpstr>
      <vt:lpstr>MultiLanguageInterface</vt:lpstr>
      <vt:lpstr>1. Locais</vt:lpstr>
      <vt:lpstr>2. Distâncias</vt:lpstr>
      <vt:lpstr>3. Veículos</vt:lpstr>
      <vt:lpstr>4. Solução</vt:lpstr>
      <vt:lpstr>5.Visualização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2021-04-02T21:35:12Z</dcterms:modified>
</cp:coreProperties>
</file>